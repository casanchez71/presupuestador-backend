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Mat" sheetId="1" r:id="rId5"/>
    <sheet state="visible" name="00_MO" sheetId="2" r:id="rId6"/>
    <sheet state="visible" name="00_Eq" sheetId="3" r:id="rId7"/>
    <sheet state="visible" name="00_Sub" sheetId="4" r:id="rId8"/>
    <sheet state="visible" name="00_JEF + ESTR" sheetId="5" r:id="rId9"/>
    <sheet state="visible" name="01_C&amp;P" sheetId="6" r:id="rId10"/>
    <sheet state="visible" name="01_VENTA" sheetId="7" r:id="rId11"/>
    <sheet state="visible" name="2.2." sheetId="8" r:id="rId12"/>
    <sheet state="visible" name="2.3." sheetId="9" r:id="rId13"/>
    <sheet state="visible" name="3.1" sheetId="10" r:id="rId14"/>
    <sheet state="visible" name="3.3" sheetId="11" r:id="rId15"/>
    <sheet state="visible" name="3.4" sheetId="12" r:id="rId16"/>
    <sheet state="visible" name="3.5" sheetId="13" r:id="rId17"/>
    <sheet state="visible" name="3.6" sheetId="14" r:id="rId18"/>
    <sheet state="visible" name="3.7" sheetId="15" r:id="rId19"/>
    <sheet state="visible" name="4.1" sheetId="16" r:id="rId20"/>
    <sheet state="visible" name="4.1-2" sheetId="17" r:id="rId21"/>
    <sheet state="visible" name="4.2" sheetId="18" r:id="rId22"/>
    <sheet state="visible" name="4.3" sheetId="19" r:id="rId23"/>
    <sheet state="visible" name="4.5" sheetId="20" r:id="rId24"/>
    <sheet state="visible" name="5.1" sheetId="21" r:id="rId25"/>
    <sheet state="visible" name="TIEMPOS" sheetId="22" r:id="rId26"/>
    <sheet state="visible" name="01_RESUMEN MAT." sheetId="23" r:id="rId27"/>
    <sheet state="visible" name="01_RESUMEN MAT M.O." sheetId="24" r:id="rId28"/>
    <sheet state="visible" name="01_RESUMEN SERV. M.O." sheetId="25" r:id="rId2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350 x dia 
</t>
      </text>
    </comment>
    <comment authorId="0" ref="H12">
      <text>
        <t xml:space="preserve">4 mallas de 50m + Hierros del 12 
</t>
      </text>
    </comment>
    <comment authorId="0" ref="I17">
      <text>
        <t xml:space="preserve">DIA DE GENTE Y VOLQUETE
</t>
      </text>
    </comment>
    <comment authorId="0" ref="D21">
      <text>
        <t xml:space="preserve">TODO LA PRIMERA FAJA SOBRE EL LAGO, + CANTEROS + GARDEN BLOCK
</t>
      </text>
    </comment>
    <comment authorId="0" ref="E33">
      <text>
        <t xml:space="preserve">SINTELAX + LADRILLO + NYLON
</t>
      </text>
    </comment>
    <comment authorId="0" ref="D80">
      <text>
        <t xml:space="preserve">ES EL 20 % DE LA FILA</t>
      </text>
    </comment>
    <comment authorId="0" ref="D81">
      <text>
        <t xml:space="preserve">ES EL 80 % DE LA FILA</t>
      </text>
    </comment>
    <comment authorId="0" ref="E81">
      <text>
        <t xml:space="preserve">EXCAVAMOS SOLO 10
</t>
      </text>
    </comment>
    <comment authorId="0" ref="D82">
      <text>
        <t xml:space="preserve">ES EL 20 % DE LA FILA</t>
      </text>
    </comment>
    <comment authorId="0" ref="D83">
      <text>
        <t xml:space="preserve">ES EL 80 % DE LA FILA</t>
      </text>
    </comment>
    <comment authorId="0" ref="E83">
      <text>
        <t xml:space="preserve">EXCAVAMOS SOLO 10
</t>
      </text>
    </comment>
    <comment authorId="0" ref="D100">
      <text>
        <t xml:space="preserve">Echo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0">
      <text>
        <t xml:space="preserve">Nos llevan 26 dias por que retira 15 camiones por dia (3 camiones en un dia que van y vienen 5 veces)</t>
      </text>
    </comment>
    <comment authorId="0" ref="E71">
      <text>
        <t xml:space="preserve">Camion de 6 y podira ser 8, 1,5 de esponjamiento
</t>
      </text>
    </comment>
    <comment authorId="0" ref="H71">
      <text>
        <t xml:space="preserve">30 VALOR VIAJE DE CAMION (150.000 X DIA / 5 VIAJES) + 25 DE DE DESCARGA+ 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9">
      <text>
        <t xml:space="preserve">VALOR COMPACTADO
</t>
      </text>
    </comment>
    <comment authorId="0" ref="E70">
      <text>
        <t xml:space="preserve">26 M x dia DE DESPARRAME CON MINI Y LE AGREGAMOS 5 dias DE PERSONAS CORTANDO Y COMPACTANDO (4 PERSONAS APROX)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">
      <text>
        <t xml:space="preserve">0,075 es la seccion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">
      <text>
        <t xml:space="preserve">2 postes x cantero
</t>
      </text>
    </comment>
    <comment authorId="0" ref="E27">
      <text>
        <t xml:space="preserve">2 x dia</t>
      </text>
    </comment>
  </commentList>
</comments>
</file>

<file path=xl/sharedStrings.xml><?xml version="1.0" encoding="utf-8"?>
<sst xmlns="http://schemas.openxmlformats.org/spreadsheetml/2006/main" count="2384" uniqueCount="835">
  <si>
    <t>MATERIALES</t>
  </si>
  <si>
    <t>CODIGO</t>
  </si>
  <si>
    <t>MATERIALES CORRALON</t>
  </si>
  <si>
    <t>UNIDAD</t>
  </si>
  <si>
    <t>PRECIO CON IVA</t>
  </si>
  <si>
    <t>PRECIO SIN IVA</t>
  </si>
  <si>
    <t>DESCUENTO</t>
  </si>
  <si>
    <t>PRECIO CON DESCUENTO</t>
  </si>
  <si>
    <t>REFERENCIA</t>
  </si>
  <si>
    <t>FECHA</t>
  </si>
  <si>
    <t>ARG</t>
  </si>
  <si>
    <t xml:space="preserve">Arena a granel (1m3) </t>
  </si>
  <si>
    <t>m3</t>
  </si>
  <si>
    <t>Su Corralon</t>
  </si>
  <si>
    <t>AR</t>
  </si>
  <si>
    <t xml:space="preserve">Bolson de Arena (1m3) </t>
  </si>
  <si>
    <t>PIEG</t>
  </si>
  <si>
    <t>Piedra a granel (1m3)</t>
  </si>
  <si>
    <t>PIEP</t>
  </si>
  <si>
    <t>Bolson de Piedra partida (1m3)</t>
  </si>
  <si>
    <t>PIE</t>
  </si>
  <si>
    <t>Bolson de Piedra (1m3)</t>
  </si>
  <si>
    <t>CEM</t>
  </si>
  <si>
    <t>Bolsa Cemento "Loma Negra" 50 k (u)</t>
  </si>
  <si>
    <t>u</t>
  </si>
  <si>
    <t>CAL</t>
  </si>
  <si>
    <t>Bolsa Cal "Cacique" 25 k (u)</t>
  </si>
  <si>
    <t>ML</t>
  </si>
  <si>
    <t>PLASTICOR</t>
  </si>
  <si>
    <t>Bolsa Plasticor 40k (u)</t>
  </si>
  <si>
    <t>CER</t>
  </si>
  <si>
    <t>Ceresita 20 k (u)</t>
  </si>
  <si>
    <t>LP18</t>
  </si>
  <si>
    <t>Ladrillo Portante 18 (u)</t>
  </si>
  <si>
    <t>LP12</t>
  </si>
  <si>
    <t>Ladrillo Portante 12 (u)</t>
  </si>
  <si>
    <t>LH18</t>
  </si>
  <si>
    <t>Ladrillo Hueco 18 (u)</t>
  </si>
  <si>
    <t>LH12</t>
  </si>
  <si>
    <t>Ladrillo Hueco 12 (u)</t>
  </si>
  <si>
    <t>LH8</t>
  </si>
  <si>
    <t>Ladrillo Hueco 8 (u)</t>
  </si>
  <si>
    <t>LCOM</t>
  </si>
  <si>
    <t xml:space="preserve">Ladrillo Comun </t>
  </si>
  <si>
    <t>LCOMVIST</t>
  </si>
  <si>
    <t>Ladrillo Comun Vista</t>
  </si>
  <si>
    <t>LPINT</t>
  </si>
  <si>
    <t>Pavimento Intertrabado</t>
  </si>
  <si>
    <t>m2</t>
  </si>
  <si>
    <t>LGB</t>
  </si>
  <si>
    <t>Garden Block 38x38x8cm (1m2)</t>
  </si>
  <si>
    <t>ml</t>
  </si>
  <si>
    <t>LDC</t>
  </si>
  <si>
    <t>Deck Liston Hormigon Cemento Piso Durmiente 100 X 12 Cms (1m2)</t>
  </si>
  <si>
    <t>YES</t>
  </si>
  <si>
    <t>Bolsa Yeso Tuyango 30 k (u)</t>
  </si>
  <si>
    <t>ES</t>
  </si>
  <si>
    <t>Cascote / Escombro (m3)</t>
  </si>
  <si>
    <t>TOS8</t>
  </si>
  <si>
    <t>Tosca</t>
  </si>
  <si>
    <t>NICO</t>
  </si>
  <si>
    <t>TOS30</t>
  </si>
  <si>
    <t>TN</t>
  </si>
  <si>
    <t>BOLSON Tierra negra</t>
  </si>
  <si>
    <t>CL2</t>
  </si>
  <si>
    <t>Clavos 2" punta paris (k)</t>
  </si>
  <si>
    <t>k</t>
  </si>
  <si>
    <t>Naclelio</t>
  </si>
  <si>
    <t>CL2.5</t>
  </si>
  <si>
    <t>Clavos 2,5" punta paris (k)</t>
  </si>
  <si>
    <t>AL</t>
  </si>
  <si>
    <t>Alambre Fardo (k)</t>
  </si>
  <si>
    <t>ES24</t>
  </si>
  <si>
    <t>Cascote / Escombro cada 24 m3 (m3)</t>
  </si>
  <si>
    <t>DISCO PORC</t>
  </si>
  <si>
    <t>Disco Amoladora para porcelanato. marca aliafor</t>
  </si>
  <si>
    <t>DISCO</t>
  </si>
  <si>
    <t>Disco Ascerradora</t>
  </si>
  <si>
    <t>DIS</t>
  </si>
  <si>
    <t>Disco corte</t>
  </si>
  <si>
    <t>VI7</t>
  </si>
  <si>
    <t>Vigueta pretensada de hormigon 7m</t>
  </si>
  <si>
    <t>VI6</t>
  </si>
  <si>
    <t>Vigueta pretensada de hormigon 6m</t>
  </si>
  <si>
    <t>VI-EPS</t>
  </si>
  <si>
    <t xml:space="preserve">Ladrillos Telgopor 12x40x100 </t>
  </si>
  <si>
    <t>P-pro</t>
  </si>
  <si>
    <t>Protex 215 x 1kg</t>
  </si>
  <si>
    <t>Tecnolibertador</t>
  </si>
  <si>
    <t>z-sell</t>
  </si>
  <si>
    <t>Adhesivo Zocalos Sellador Rellenador Atrim 420gr</t>
  </si>
  <si>
    <t>ME</t>
  </si>
  <si>
    <t>MECHA ROTOPERCUTORA</t>
  </si>
  <si>
    <t>EPS</t>
  </si>
  <si>
    <t>EPS aislante para techos 1x1 30mm 15 Kg Pack 5u</t>
  </si>
  <si>
    <t>MATERIALES ACERO</t>
  </si>
  <si>
    <t>M3,5</t>
  </si>
  <si>
    <t>Malla Φ 3,5 (2 m x 5 m) (hierros cada 0,18 x 0,18 m) - menos de 50 u (u)</t>
  </si>
  <si>
    <t>Mallas Ya</t>
  </si>
  <si>
    <t>M5</t>
  </si>
  <si>
    <t>Malla Φ 5 (2 m x 5 m) (hierros cada 0,18 x 0,18 m) - menos de 50 u (u)</t>
  </si>
  <si>
    <t>M5,5</t>
  </si>
  <si>
    <t>Malla Φ 5,5 (2 m x 5 m) (hierros cada 0,18 x 0,18 m) - menos de 50 u (u)</t>
  </si>
  <si>
    <t>M3,5M</t>
  </si>
  <si>
    <t>Malla Φ 3,5 (2 m x 5 m) (hierros cada 0,18 x 0,18 m) - mas de 50 u (u)</t>
  </si>
  <si>
    <t>M5M</t>
  </si>
  <si>
    <t>Malla Φ 5  (2 m x 5 m) (hierros cada 0,18 x 0,18 m) - mas de 50 u (u)</t>
  </si>
  <si>
    <t xml:space="preserve">Malla Φ 5,5  (2 m x 5 m) (hierros cada 0,18 x 0,18 m) </t>
  </si>
  <si>
    <t>M6</t>
  </si>
  <si>
    <t xml:space="preserve">Malla Φ 6  (2 m x 5 m) (hierros cada 0,15 x 0,15 m) </t>
  </si>
  <si>
    <t>M8</t>
  </si>
  <si>
    <t xml:space="preserve">Malla Φ 8  (2 m x 5 m) (hierros cada 0,15 x 0,15 m) </t>
  </si>
  <si>
    <t>M8-Q335</t>
  </si>
  <si>
    <t>Malla Φ 8  Q335 (2,4 m x 6 m) (hierros cada 0,15 x 0,15 m)</t>
  </si>
  <si>
    <t>HADN6</t>
  </si>
  <si>
    <t xml:space="preserve">Hierros ADN 420 Φ 6 </t>
  </si>
  <si>
    <t>HADN8</t>
  </si>
  <si>
    <t>Hierros ADN 420 Φ 8</t>
  </si>
  <si>
    <t>HADN10</t>
  </si>
  <si>
    <t>Hierros ADN 420Φ 10</t>
  </si>
  <si>
    <t>HADN12</t>
  </si>
  <si>
    <t>Hierros ADN 420 Φ 12</t>
  </si>
  <si>
    <t>HADN16</t>
  </si>
  <si>
    <t>Hierros ADN 420 Φ 16</t>
  </si>
  <si>
    <t>HADN20</t>
  </si>
  <si>
    <t>Hierros ADN 420 Φ 20</t>
  </si>
  <si>
    <t>HADN25</t>
  </si>
  <si>
    <t>Hierros ADN 420 Φ 25</t>
  </si>
  <si>
    <t>HADN6K</t>
  </si>
  <si>
    <t>Hierros ADN 420 Φ 6 (k)</t>
  </si>
  <si>
    <t>HADN8K</t>
  </si>
  <si>
    <t>Hierros ADN 420 Φ 8 (k)</t>
  </si>
  <si>
    <t>HADN10K</t>
  </si>
  <si>
    <t>Hierros ADN 420Φ 10 (k)</t>
  </si>
  <si>
    <t>HADN12K</t>
  </si>
  <si>
    <t>Hierros ADN 420 Φ 12 (k)</t>
  </si>
  <si>
    <t>HADN16K</t>
  </si>
  <si>
    <t>Hierros ADN 420 Φ 16 (k)</t>
  </si>
  <si>
    <t>HADN20K</t>
  </si>
  <si>
    <t>Hierros ADN 420 Φ 20 (k)</t>
  </si>
  <si>
    <t>HADN25K</t>
  </si>
  <si>
    <t>Hierros ADN 420 Φ 25 (k)</t>
  </si>
  <si>
    <t>Materiales Urquiza</t>
  </si>
  <si>
    <t>HL16</t>
  </si>
  <si>
    <t>Hierros Liso Φ 16 - l=6 m</t>
  </si>
  <si>
    <t>m</t>
  </si>
  <si>
    <t>PRECIO EN USD</t>
  </si>
  <si>
    <t>BNA</t>
  </si>
  <si>
    <t>MATERIALES PLOMERIA</t>
  </si>
  <si>
    <t>LAVAT</t>
  </si>
  <si>
    <t>Lavatorio DECA (SOBRE MESADA)</t>
  </si>
  <si>
    <t>INOD</t>
  </si>
  <si>
    <t>Inodoro FERRUM</t>
  </si>
  <si>
    <t>INOD-BID</t>
  </si>
  <si>
    <t>Indoro y Bidet completos FERRUM</t>
  </si>
  <si>
    <t>PDP</t>
  </si>
  <si>
    <t>Pileta de patio AWADUCT</t>
  </si>
  <si>
    <t>GRIF-TOI</t>
  </si>
  <si>
    <t>Grfieria Lavatorio FV</t>
  </si>
  <si>
    <t>GRIF-COC</t>
  </si>
  <si>
    <t>Griferia mocomando cocina movible FV</t>
  </si>
  <si>
    <t>GRIF-CS</t>
  </si>
  <si>
    <t>Griferia CANILLA DE SERVICIO</t>
  </si>
  <si>
    <t>GRIF-DUCHA</t>
  </si>
  <si>
    <t>Grfieria Ducha FV</t>
  </si>
  <si>
    <t>GRIF-BID</t>
  </si>
  <si>
    <t>Grfieria Bide FV</t>
  </si>
  <si>
    <t>PDP-REJ</t>
  </si>
  <si>
    <t>Rejilla ATRIM Pileta Patio Reversible 12x12 Cuadrada Acero I</t>
  </si>
  <si>
    <t>INOD-DEP</t>
  </si>
  <si>
    <t>Deposito Capea Italiana Apoyo</t>
  </si>
  <si>
    <t>Hokama</t>
  </si>
  <si>
    <t xml:space="preserve">Inodoro Capea Italiana Largo </t>
  </si>
  <si>
    <t>PL-E</t>
  </si>
  <si>
    <t xml:space="preserve">Embudo Pluvial 110 "Awaduct" </t>
  </si>
  <si>
    <t>PL-TRI</t>
  </si>
  <si>
    <t>Tritubo 40 mm (3 mm espesor)</t>
  </si>
  <si>
    <t>Mercado Libre</t>
  </si>
  <si>
    <t>PL-FAJA</t>
  </si>
  <si>
    <t>Faja Advertencia Blanca</t>
  </si>
  <si>
    <t>PL-CAM30</t>
  </si>
  <si>
    <t>Tapa y Marco Hormigon para Camara Inspeccion 0,6 x 0,6 m</t>
  </si>
  <si>
    <t>Darsie Web</t>
  </si>
  <si>
    <t>PL-CAM60</t>
  </si>
  <si>
    <t>AF-TAN2000</t>
  </si>
  <si>
    <t>Tanque De Agua Waterplast Vertical Tricapa 2000l</t>
  </si>
  <si>
    <t>CL-PPN40</t>
  </si>
  <si>
    <t>Caño PVC 40 mm - long= 4 m AWADUCT</t>
  </si>
  <si>
    <t>CL-PPN63</t>
  </si>
  <si>
    <t>Caño PVC 63 mm - long= 4 m AWADUCT</t>
  </si>
  <si>
    <t>CL-PPN110</t>
  </si>
  <si>
    <t>Caño PVC 110 mm - long= 4 m AWADUCT</t>
  </si>
  <si>
    <t>PL-PVC110</t>
  </si>
  <si>
    <t>PL-PVC110-3.2</t>
  </si>
  <si>
    <t>Caño PVC 110 mm - long= 4 m (espesor 3,2mm)</t>
  </si>
  <si>
    <t>Jose Luis</t>
  </si>
  <si>
    <t>PL-PVC160</t>
  </si>
  <si>
    <t>Caño PVC 160 mm - long= 4 m</t>
  </si>
  <si>
    <t>PL-PVC400</t>
  </si>
  <si>
    <t>Caño PVC 400 mm - long= 6 m</t>
  </si>
  <si>
    <t>PL-PVC600</t>
  </si>
  <si>
    <t>Caño PVC 600 mm - por metro</t>
  </si>
  <si>
    <t>PL-HA400</t>
  </si>
  <si>
    <t>Caño Hormigon Armado 400 mm</t>
  </si>
  <si>
    <t>PL-HA500</t>
  </si>
  <si>
    <t>Caño Hormigon Armado 500 mm</t>
  </si>
  <si>
    <t>PL-CN1/2</t>
  </si>
  <si>
    <t>Caño Riego Negro 1/2" - rollo 100 m</t>
  </si>
  <si>
    <t>PL-CN1</t>
  </si>
  <si>
    <t>Caño Riego Negro 1 1/2" - rollo 50 m</t>
  </si>
  <si>
    <t>PL-CN2</t>
  </si>
  <si>
    <t>Caño Riego Negro 2" - rollo 100 m</t>
  </si>
  <si>
    <t>PL-SAL1</t>
  </si>
  <si>
    <t>Caño Saladillo 1"</t>
  </si>
  <si>
    <t>PL-SAL2</t>
  </si>
  <si>
    <t>Caño Saladillo 2"</t>
  </si>
  <si>
    <t>MN</t>
  </si>
  <si>
    <t>Manguera Negra Polietileno Agua Riego 3/4 Pulgada K4 100m</t>
  </si>
  <si>
    <t>C-400Lts</t>
  </si>
  <si>
    <t>Tanque Cisterna Single Waterplast 400L dim 88 h 82</t>
  </si>
  <si>
    <t>C-600Lts</t>
  </si>
  <si>
    <t>Tanque Cisterna Single Waterplast 600L dim 92 h 109</t>
  </si>
  <si>
    <t>MATERIALES MOBILIARIO Y MESADAS</t>
  </si>
  <si>
    <t>MES-TOI</t>
  </si>
  <si>
    <t>Mesada de granito para toilet (40x100 aprox)</t>
  </si>
  <si>
    <t xml:space="preserve">Casa Nazaret </t>
  </si>
  <si>
    <t>MATERIALES AISLACION E IMPERMEABILIZACION</t>
  </si>
  <si>
    <t>A-MEAS45</t>
  </si>
  <si>
    <t>Membrana Asfaltica Maxiplas MAXI450 x 40 kg</t>
  </si>
  <si>
    <t>kg</t>
  </si>
  <si>
    <t>Tecno Libertador</t>
  </si>
  <si>
    <t>A-EMAS</t>
  </si>
  <si>
    <t>Emulsion Asfaltica Ormiflex 7 x 200 l</t>
  </si>
  <si>
    <t>l</t>
  </si>
  <si>
    <t>A-MLA</t>
  </si>
  <si>
    <t>Membrana Liquida Acrilica "Protex" 20 kg (u)</t>
  </si>
  <si>
    <t>A-MLP</t>
  </si>
  <si>
    <t>Membrana Liquida Poliuretanica "Protex" 20 kg (u)</t>
  </si>
  <si>
    <t>A-NY200100m2</t>
  </si>
  <si>
    <t>Nylon 200 Micrones (100 m2 x rollo)</t>
  </si>
  <si>
    <t>A-NY20050m2</t>
  </si>
  <si>
    <t>Nylon 200 Micrones (50 m2 x rollo)</t>
  </si>
  <si>
    <t>A-SELLPU40</t>
  </si>
  <si>
    <t>Sellador Protex PU40 600 cc</t>
  </si>
  <si>
    <t>PROTEX</t>
  </si>
  <si>
    <t>PROTEX 20 kg x caja</t>
  </si>
  <si>
    <t>ME-ASF</t>
  </si>
  <si>
    <t>INERTOLTECH caja 18 lts Imprimación Membranas Base Asfáltica</t>
  </si>
  <si>
    <t>ME-LIQ</t>
  </si>
  <si>
    <t>Protex Techos Acrilico Blanco X 20 Kgs Membrana Liquida Blanco Mate</t>
  </si>
  <si>
    <t>A-MEAS36</t>
  </si>
  <si>
    <t>Membrana Asfaltica Maxiplas MAXI450 x 36 kg</t>
  </si>
  <si>
    <t>PI-ASF</t>
  </si>
  <si>
    <t>Pintura Impermeabilizante Asfáltica Secado Rápido X 18 Lts</t>
  </si>
  <si>
    <t>MATERIALES FENOLICOS</t>
  </si>
  <si>
    <t>F-MIR</t>
  </si>
  <si>
    <t>Fenolico 18mm Miraluz</t>
  </si>
  <si>
    <t>F-GR2</t>
  </si>
  <si>
    <t>Fenolico 18mm Grandis 2 Buenas</t>
  </si>
  <si>
    <t>F-GR1</t>
  </si>
  <si>
    <t>Fenolico 18mm Grandis 1 Buena</t>
  </si>
  <si>
    <t>Giardili</t>
  </si>
  <si>
    <t>F-IND</t>
  </si>
  <si>
    <t>Fenolico 18mm Industrial</t>
  </si>
  <si>
    <t>F-PI</t>
  </si>
  <si>
    <t>Fenolico scarp 18mm Pino cic</t>
  </si>
  <si>
    <t>F-T</t>
  </si>
  <si>
    <t>Tabla 1 x 4 x 3,66 m (50 U)</t>
  </si>
  <si>
    <t>F-P</t>
  </si>
  <si>
    <t xml:space="preserve">Puntal 3 x 3 x 3,66 m </t>
  </si>
  <si>
    <t>PUN</t>
  </si>
  <si>
    <t>Puntal</t>
  </si>
  <si>
    <t>nico p</t>
  </si>
  <si>
    <t>F-TSAL</t>
  </si>
  <si>
    <t>Tabla saligna 1"x5" 3m</t>
  </si>
  <si>
    <t>MATERIALES DURLOCK</t>
  </si>
  <si>
    <t>D-PL9.5</t>
  </si>
  <si>
    <t>Placa Durlock 9,5 mm 1,20 x 2,40 m (u)</t>
  </si>
  <si>
    <t>Siderplac</t>
  </si>
  <si>
    <t>D-PL12.5</t>
  </si>
  <si>
    <t>Placa Durlock 12,5 mm 1,20 x 2,40 m (u)</t>
  </si>
  <si>
    <t>D-S35</t>
  </si>
  <si>
    <t>Solera 35 x 30 x 2600 mm x 0,5 mm (u)</t>
  </si>
  <si>
    <t>D-S70</t>
  </si>
  <si>
    <t>Solera 70 x 30 x 2600 mm x 0,5 mm (u)</t>
  </si>
  <si>
    <t>D-M34</t>
  </si>
  <si>
    <t>Montante 34 x 30 x 2600 mm x 0,5 mm (u)</t>
  </si>
  <si>
    <t>D-M69</t>
  </si>
  <si>
    <t>Montante 69 x 30 x 2600 mm x 0,5 mm (u)</t>
  </si>
  <si>
    <t>D-POM</t>
  </si>
  <si>
    <t>Perfil Omega</t>
  </si>
  <si>
    <t>D-T1</t>
  </si>
  <si>
    <t>Tornillo T1 Mecha 8 x 9/16" (u)</t>
  </si>
  <si>
    <t>D-T2</t>
  </si>
  <si>
    <t>Tornillo T2 Aguja 6 x 1" (u)</t>
  </si>
  <si>
    <t>D-MAS</t>
  </si>
  <si>
    <t>Masilla "Anclaflex Plus" x 32 k (u)</t>
  </si>
  <si>
    <t>D-CIN</t>
  </si>
  <si>
    <t>Cinta Papel Microperforada 150 m (u)</t>
  </si>
  <si>
    <t>D-END</t>
  </si>
  <si>
    <t>Enduido Interior "Encove" x 25 k (u)</t>
  </si>
  <si>
    <t>D-FIJ</t>
  </si>
  <si>
    <t>Fijacion del 8 (Tornillo y Tarugo)</t>
  </si>
  <si>
    <t>D-BUN</t>
  </si>
  <si>
    <t>Buña Z Perimetral 0,36 mm x 2600 mm</t>
  </si>
  <si>
    <t>YE</t>
  </si>
  <si>
    <t>Yeso "Tuyango" x 30 k (u)</t>
  </si>
  <si>
    <t>D-PL60</t>
  </si>
  <si>
    <t>Placa Deco Clasic Texturada Clasica 0,060 m x 0,060 m</t>
  </si>
  <si>
    <t>D-PER</t>
  </si>
  <si>
    <t>Perimetrales</t>
  </si>
  <si>
    <t>D-LAR</t>
  </si>
  <si>
    <t>Largueros</t>
  </si>
  <si>
    <t>D-TRA</t>
  </si>
  <si>
    <t>Travesaños 0,61 m</t>
  </si>
  <si>
    <t>D-AL14</t>
  </si>
  <si>
    <t>Alambre Galvanizado Nro 14</t>
  </si>
  <si>
    <t>Fijaciones</t>
  </si>
  <si>
    <t>D-SELL</t>
  </si>
  <si>
    <t xml:space="preserve">Sellador Indifugo Promat </t>
  </si>
  <si>
    <t>D-MATA</t>
  </si>
  <si>
    <t>Mat Aislante</t>
  </si>
  <si>
    <t>MATERIALES STEEL FRAME</t>
  </si>
  <si>
    <t>SF-PGC200</t>
  </si>
  <si>
    <t>Pefil PGC 200 (2,54mm) 200 x 80 x 6000</t>
  </si>
  <si>
    <t>SF-PGU150</t>
  </si>
  <si>
    <t>Perfil PGU 150 (2,54 mm) 150 x 40 x 6000</t>
  </si>
  <si>
    <t>SF-PGC150</t>
  </si>
  <si>
    <t>Perfil PGC 150 (2,54 mm) 150 x 40 x 6000</t>
  </si>
  <si>
    <t>SF-PGU70</t>
  </si>
  <si>
    <t>Perfil PGU 70 (0,94mm) 70 x 35 x 6000</t>
  </si>
  <si>
    <t>SF-PGC70</t>
  </si>
  <si>
    <t>Perfil PGC 70 (0,94 mm) 70 x 40 x 6000</t>
  </si>
  <si>
    <t>SF-OSB</t>
  </si>
  <si>
    <t>Placa OSB (18,3 mm) 1,22 x 2,44</t>
  </si>
  <si>
    <t>SF-POME</t>
  </si>
  <si>
    <t>Perfil PGO 22 (0,94 mm) x 3,00 m</t>
  </si>
  <si>
    <t>SF-TYBEK</t>
  </si>
  <si>
    <t>Barrera de Agua y Viento TYBEK 1,5 x 20 m (30 m2)</t>
  </si>
  <si>
    <t>REVESTIMIENTOS STEEL FRAME</t>
  </si>
  <si>
    <t>REV-HDG</t>
  </si>
  <si>
    <t>Revestimiento Tipo Hunter Douglass</t>
  </si>
  <si>
    <t>MATERIALES PINTURA</t>
  </si>
  <si>
    <t>RENDIMIENTO</t>
  </si>
  <si>
    <t>RE-PLI20</t>
  </si>
  <si>
    <t>Pintura Latex Interior Blanco Mate "Loxon" 20 l (u)</t>
  </si>
  <si>
    <t>12M2 X LITRO</t>
  </si>
  <si>
    <t>RE-PLI1</t>
  </si>
  <si>
    <t>Pintura Latex Interior Blanco Mate "AlbaLatex" 1 l (u)</t>
  </si>
  <si>
    <t>Pisano San Miguel</t>
  </si>
  <si>
    <t>RE-END15</t>
  </si>
  <si>
    <t>Enduido Plastico Interior 15 l (u)</t>
  </si>
  <si>
    <t>Quimtex</t>
  </si>
  <si>
    <t>RE-END20</t>
  </si>
  <si>
    <t>Enduido Interior Exterior Talento - Polacrin 20 l (u)</t>
  </si>
  <si>
    <t>3M2 X LITRO</t>
  </si>
  <si>
    <t>RE-PLIC</t>
  </si>
  <si>
    <t>Latex Cielorraso Loxon-Sherwin Williams 20 l (u)</t>
  </si>
  <si>
    <t>RE-PINC25</t>
  </si>
  <si>
    <t>Pincel Nro 25</t>
  </si>
  <si>
    <t>RE-PINC15</t>
  </si>
  <si>
    <t>Pincel Nro 15</t>
  </si>
  <si>
    <t>RE-ROD</t>
  </si>
  <si>
    <t>Rodillo</t>
  </si>
  <si>
    <t>RE-LIJ220</t>
  </si>
  <si>
    <t>Lija al Agua Nro 220</t>
  </si>
  <si>
    <t>RE-LIJ150</t>
  </si>
  <si>
    <t>Lija al Agua Nro 150</t>
  </si>
  <si>
    <t>RE-CAR</t>
  </si>
  <si>
    <t>Rollo Carton Corrugado</t>
  </si>
  <si>
    <t>RE-CIN</t>
  </si>
  <si>
    <t>Cinta de Papel Azul nro 36</t>
  </si>
  <si>
    <t>RE-FIJ</t>
  </si>
  <si>
    <t>Fijador Sellador - Sellaplast Sinteplast Al Agua 10 Litros Color Incoloro</t>
  </si>
  <si>
    <t>100M2 X UNIDAD</t>
  </si>
  <si>
    <t>RE-CONVO</t>
  </si>
  <si>
    <t xml:space="preserve">Convertidor de Oxido </t>
  </si>
  <si>
    <t>RE-SINSAT</t>
  </si>
  <si>
    <t>Sintetico Satinado Blanco 1 l</t>
  </si>
  <si>
    <t>RE-TBASE</t>
  </si>
  <si>
    <t>Base Para Revestimiento Plástico- Quimtex Cuarzo Base - 18lt</t>
  </si>
  <si>
    <t>8M2 X LITRO</t>
  </si>
  <si>
    <t>RE-TARQ</t>
  </si>
  <si>
    <t>Quimtex Vallarta - Revestimiento Plastico A Rodillo - 27(k)</t>
  </si>
  <si>
    <t>1KG X M2</t>
  </si>
  <si>
    <t>Latex Frente "Albion" 20 l (u)</t>
  </si>
  <si>
    <t>RE-ANTIOX</t>
  </si>
  <si>
    <t>Antioxido Blanco 4 l (u)</t>
  </si>
  <si>
    <t>MATERIALES REVESTIMIENTO PISOS</t>
  </si>
  <si>
    <t>RP-PORC</t>
  </si>
  <si>
    <t>PORCELANATO VILLAGRES 82X141,5 CATHEDRAL CEMENT (2,32m2 x caja)</t>
  </si>
  <si>
    <t>TUCSON CERAMICOS</t>
  </si>
  <si>
    <t>RP-CER</t>
  </si>
  <si>
    <t>CERAMICA 74X74 CER METROPOLE PUL ( 3,24m2 x caja)</t>
  </si>
  <si>
    <t>PR-PASC1</t>
  </si>
  <si>
    <t>Pastina Klaukol para Ceramica x 1kg</t>
  </si>
  <si>
    <t>PR-PASP1</t>
  </si>
  <si>
    <t>Pastina Klaukol para Porcelanato x 1kg</t>
  </si>
  <si>
    <t>RP-KP</t>
  </si>
  <si>
    <t>Klaukol Porcellanato 25 k</t>
  </si>
  <si>
    <t>RP-KC</t>
  </si>
  <si>
    <t>Klaukol Ceramica 25 k</t>
  </si>
  <si>
    <t>RP-NIVPORC</t>
  </si>
  <si>
    <t>Tornillos Niveladores Porcelanato 750u + 80 Tuercas</t>
  </si>
  <si>
    <t>RP-NIVCER</t>
  </si>
  <si>
    <t>Niveladores Ceramicos - Cuna 150u y Arcos 150u</t>
  </si>
  <si>
    <t>MATERIALES ELECTRICIDAD</t>
  </si>
  <si>
    <t>IE-CC1.5</t>
  </si>
  <si>
    <t>Caño Corrugado Blanco 1 1/2" - 38 mm (rollo 25m)</t>
  </si>
  <si>
    <t>Spot</t>
  </si>
  <si>
    <t>IE-TAB</t>
  </si>
  <si>
    <t xml:space="preserve">Tablero con todo. </t>
  </si>
  <si>
    <t>IE-ART</t>
  </si>
  <si>
    <t>Artefacto de luz.</t>
  </si>
  <si>
    <t>Cabeza</t>
  </si>
  <si>
    <t>IE-BOCA</t>
  </si>
  <si>
    <t>Boca Cambre (caja, cable, modulo)</t>
  </si>
  <si>
    <t>\</t>
  </si>
  <si>
    <t>MATERIALES EDTRUCTURA DE HIERRO</t>
  </si>
  <si>
    <t>CH-GSINUS28</t>
  </si>
  <si>
    <t>Chapa Galvanizada Sinus N27 Color Zinc</t>
  </si>
  <si>
    <t>MATERIALES NORTE</t>
  </si>
  <si>
    <t>CH-GSINUS25</t>
  </si>
  <si>
    <t>Chapa Galvanizada Sinus N25 Color Zinc</t>
  </si>
  <si>
    <t>CH-GT10125</t>
  </si>
  <si>
    <t>Chapa Galvanizada T101 N25 Color Zinc</t>
  </si>
  <si>
    <t>CH-CSINUS27</t>
  </si>
  <si>
    <t>Chapa Cincalum Sinus N27 Color Aluminizada</t>
  </si>
  <si>
    <t>CH-CSINUS25</t>
  </si>
  <si>
    <t>Chapa Cincalum Sinus N25 Color Aluminizada</t>
  </si>
  <si>
    <t>CH-CT10127</t>
  </si>
  <si>
    <t>Chapa Cincalum T101 N27 Color Aluminizada</t>
  </si>
  <si>
    <t>CH-CT10125</t>
  </si>
  <si>
    <t>Chapa Cincalum T101 N25 Color Aluminizada</t>
  </si>
  <si>
    <t>CH-PPSINUS25</t>
  </si>
  <si>
    <t>Chapa Prepintada Sinus N25</t>
  </si>
  <si>
    <t>CH-PPT10125</t>
  </si>
  <si>
    <t>Chapa Prepintada T101N25</t>
  </si>
  <si>
    <t>TE-30x50x2</t>
  </si>
  <si>
    <t>Tubo Estructural 30 x 50 x 2,0 mm - 6 m largo</t>
  </si>
  <si>
    <t>TE-40X40X1.6</t>
  </si>
  <si>
    <t xml:space="preserve">Tubo Estructural 40 x 40 x 1,6 mm </t>
  </si>
  <si>
    <t>TE-40X40X2</t>
  </si>
  <si>
    <t xml:space="preserve">Tubo Estructural 40 x 40 x 2,0 mm </t>
  </si>
  <si>
    <t>TE-100X50X2</t>
  </si>
  <si>
    <t>Tubo Estructural 100 x 50 x 2,0 mm - 6 m largo</t>
  </si>
  <si>
    <t>U</t>
  </si>
  <si>
    <t>TE-150x50</t>
  </si>
  <si>
    <t>Tubo Estructural 150 x 50 x 2,0 mm</t>
  </si>
  <si>
    <t>HIERROTODO</t>
  </si>
  <si>
    <t>TE-200x100</t>
  </si>
  <si>
    <t>Tubo Estructural 200 x 100 x 3,2 mm</t>
  </si>
  <si>
    <t>TE-300x150</t>
  </si>
  <si>
    <t>Tubo Estructural 300 x 150</t>
  </si>
  <si>
    <t>TE-160x3,2</t>
  </si>
  <si>
    <t>Tubo Estructural 160 mm diametro x 3,2 mm - 6 m largo</t>
  </si>
  <si>
    <t>TE-152x2</t>
  </si>
  <si>
    <t>Tubo Estructural 152 mm diametro x 2,0 mm - 6 m largo</t>
  </si>
  <si>
    <t>PC-100x45x2</t>
  </si>
  <si>
    <t xml:space="preserve"> Perfil C 100 x 45  (2,0mm) - 12 m largo</t>
  </si>
  <si>
    <t>PC-140X60X2</t>
  </si>
  <si>
    <t xml:space="preserve"> Perfil C 140 x 60 (2,0mm) - 12 m largo</t>
  </si>
  <si>
    <t>PU-160</t>
  </si>
  <si>
    <t>Perfiol U 160 (2,0mm) - 12 m largo</t>
  </si>
  <si>
    <t>PC</t>
  </si>
  <si>
    <t>Perfil C Acero</t>
  </si>
  <si>
    <t>CH-TAM2</t>
  </si>
  <si>
    <t>Tornillo Autoperforante 2" (bolsa 100 u)</t>
  </si>
  <si>
    <t>CH-C22</t>
  </si>
  <si>
    <t>Chapa Calibre 22 (1,00 x 2,00 m)</t>
  </si>
  <si>
    <t>CH-C25</t>
  </si>
  <si>
    <t>Chapa Calibre 25 (1,22 x 2,44m)</t>
  </si>
  <si>
    <t>ZINGUERIA</t>
  </si>
  <si>
    <t>Z-CAN</t>
  </si>
  <si>
    <t>Canaleta de Zinc</t>
  </si>
  <si>
    <t>Z-BOR</t>
  </si>
  <si>
    <t>Borde Cubierta</t>
  </si>
  <si>
    <t>HORMIGON</t>
  </si>
  <si>
    <t>H8</t>
  </si>
  <si>
    <t>Hormigon H8</t>
  </si>
  <si>
    <t>Piuterra</t>
  </si>
  <si>
    <t>H21</t>
  </si>
  <si>
    <t>Hormigon H21</t>
  </si>
  <si>
    <t>HBA</t>
  </si>
  <si>
    <t>H30</t>
  </si>
  <si>
    <t>Hormigon H30</t>
  </si>
  <si>
    <t>H30P</t>
  </si>
  <si>
    <t>Hormigon H30 Pavimento</t>
  </si>
  <si>
    <t>HRDC150</t>
  </si>
  <si>
    <t>RDC 150</t>
  </si>
  <si>
    <t>HEND</t>
  </si>
  <si>
    <t>Endurecedor de hormigon (25k)</t>
  </si>
  <si>
    <t>Policemento</t>
  </si>
  <si>
    <t>25/0/2024</t>
  </si>
  <si>
    <t>HBP</t>
  </si>
  <si>
    <t>BOMBA PLUMA</t>
  </si>
  <si>
    <t>HBPT</t>
  </si>
  <si>
    <t>TRASLADO BOMBA PLUMA</t>
  </si>
  <si>
    <t>MADERA</t>
  </si>
  <si>
    <t>M-QC200</t>
  </si>
  <si>
    <t>Tabla De Quebracho Colorado 1" X 20 CM. X 2.00 M.</t>
  </si>
  <si>
    <t>ORO ROJO TODO EN QUEBRACHO</t>
  </si>
  <si>
    <t>M-QC250</t>
  </si>
  <si>
    <t>Tabla De Quebracho Colorado 1" X 20 CM. X 2.50 M.</t>
  </si>
  <si>
    <t>M-P-CETOL</t>
  </si>
  <si>
    <t>Cetol Duración Extrema Satinado Secado Rápido 4 L Madera Mm Color Natural</t>
  </si>
  <si>
    <t>M-QP180</t>
  </si>
  <si>
    <t>PUNTAL DE QUEBRACHO 2X3 X 180m</t>
  </si>
  <si>
    <t>MANO DE OBRA</t>
  </si>
  <si>
    <t>MO-CA</t>
  </si>
  <si>
    <t>Capataz</t>
  </si>
  <si>
    <t>MO-PU</t>
  </si>
  <si>
    <t>Puntero</t>
  </si>
  <si>
    <t>MO-OF</t>
  </si>
  <si>
    <t>Oficial</t>
  </si>
  <si>
    <t>MO-AY</t>
  </si>
  <si>
    <t>Ayudante</t>
  </si>
  <si>
    <t>MO-G</t>
  </si>
  <si>
    <t>Gervacio</t>
  </si>
  <si>
    <t>EQUIPOS</t>
  </si>
  <si>
    <t xml:space="preserve">FECHA </t>
  </si>
  <si>
    <t>E-MC</t>
  </si>
  <si>
    <t>Mini Cargadora</t>
  </si>
  <si>
    <t>E-MCM</t>
  </si>
  <si>
    <t>Mini Cargadora con martillo</t>
  </si>
  <si>
    <t>E-ME</t>
  </si>
  <si>
    <t>Mini Excavadora</t>
  </si>
  <si>
    <t>E-MP</t>
  </si>
  <si>
    <t>Motopison</t>
  </si>
  <si>
    <t>E-RP</t>
  </si>
  <si>
    <t>Retropala</t>
  </si>
  <si>
    <t>E-VC</t>
  </si>
  <si>
    <t>Vibrocompactador</t>
  </si>
  <si>
    <t>E-MN</t>
  </si>
  <si>
    <t>Motoniveladora</t>
  </si>
  <si>
    <t>E-CAMCH</t>
  </si>
  <si>
    <t>Camion Chasis</t>
  </si>
  <si>
    <t>E-REG</t>
  </si>
  <si>
    <t>Regador</t>
  </si>
  <si>
    <t>E-MAR</t>
  </si>
  <si>
    <t>Martillete</t>
  </si>
  <si>
    <t>E-ASC</t>
  </si>
  <si>
    <t>Ascerradora</t>
  </si>
  <si>
    <t>E-RET</t>
  </si>
  <si>
    <t>Retiro x camion</t>
  </si>
  <si>
    <t>E-MR</t>
  </si>
  <si>
    <t>Mini Retro</t>
  </si>
  <si>
    <t>MS-TM3</t>
  </si>
  <si>
    <t>TOSCA x M3</t>
  </si>
  <si>
    <t>MS-TCA</t>
  </si>
  <si>
    <t xml:space="preserve">TOSCA X CAMION </t>
  </si>
  <si>
    <t>MS-ER</t>
  </si>
  <si>
    <t>EXCAVACION Y RETIRO</t>
  </si>
  <si>
    <t>MS-TC</t>
  </si>
  <si>
    <t>TOSCA COMPACTADA</t>
  </si>
  <si>
    <t>MS-ARBOL</t>
  </si>
  <si>
    <t>RETIRO DE ARBOL</t>
  </si>
  <si>
    <t>E-CAM</t>
  </si>
  <si>
    <t>Camioneta</t>
  </si>
  <si>
    <t>E-TRAS</t>
  </si>
  <si>
    <t>TRASLADO DE MAQUINARIA</t>
  </si>
  <si>
    <t>SUBCONTRATOS</t>
  </si>
  <si>
    <t>SUB-PI</t>
  </si>
  <si>
    <t>Pintura Interior: 1Mano Enduido + Yeso, 1 Mano Enduido, 2 a 3 Manos de Pintura</t>
  </si>
  <si>
    <t>SUB-PIC</t>
  </si>
  <si>
    <t>Pintura Interior Cielorraso</t>
  </si>
  <si>
    <t>SUB-PET</t>
  </si>
  <si>
    <t>Pintura Exterior Tarquini</t>
  </si>
  <si>
    <t>SUB-PE</t>
  </si>
  <si>
    <t>Pintura Exterior</t>
  </si>
  <si>
    <t xml:space="preserve">Pintura Interior </t>
  </si>
  <si>
    <t>SUB-END</t>
  </si>
  <si>
    <t>Enduido</t>
  </si>
  <si>
    <t>SUB-PPS</t>
  </si>
  <si>
    <t>Pintura Puerta Simple Hoja</t>
  </si>
  <si>
    <t>SUB-PPD</t>
  </si>
  <si>
    <t>Pintura Puerta Doble Hoja</t>
  </si>
  <si>
    <t>SUB-CIE</t>
  </si>
  <si>
    <t xml:space="preserve">Instalacion de Cielorraso Durlock. Incluye Materiales. </t>
  </si>
  <si>
    <t>SUB-CIEDES</t>
  </si>
  <si>
    <t xml:space="preserve">Instalacion de Cielorraso Desmontable. Incluye Materiales. </t>
  </si>
  <si>
    <t>SUB-CIECO</t>
  </si>
  <si>
    <t xml:space="preserve">Instalacion de Cielorraso Durlock Cortineros.  Incluye Materiales. </t>
  </si>
  <si>
    <t>SUB-CIECA</t>
  </si>
  <si>
    <t xml:space="preserve">Instalacion de Cajon Durlock.  Incluye Materiales. </t>
  </si>
  <si>
    <t>SUB-CIEGL</t>
  </si>
  <si>
    <t xml:space="preserve">Instalacion de Cielorraso Durlock Garganta Led.   Incluye Materiales. </t>
  </si>
  <si>
    <t>SUB-TAB</t>
  </si>
  <si>
    <t xml:space="preserve">Instalacion de Tabique Durlock.  Incluye Materiales. </t>
  </si>
  <si>
    <t>SUB-BZ</t>
  </si>
  <si>
    <t xml:space="preserve">Instlacion Buña Z.  Incluye Materiales. </t>
  </si>
  <si>
    <t>SUB-CAN</t>
  </si>
  <si>
    <t xml:space="preserve">Instalacion Cantonera.  Incluye Materiales. </t>
  </si>
  <si>
    <t>SUB-E-BOC</t>
  </si>
  <si>
    <t>Boca. Incluye Materiales.</t>
  </si>
  <si>
    <t>boca</t>
  </si>
  <si>
    <t>MDO Y MAT</t>
  </si>
  <si>
    <t>CABEZA</t>
  </si>
  <si>
    <t>SUB-E-COL</t>
  </si>
  <si>
    <t>Colocacion de artefatcos</t>
  </si>
  <si>
    <t xml:space="preserve">MDO </t>
  </si>
  <si>
    <t>SUB-E-AAC</t>
  </si>
  <si>
    <t xml:space="preserve">Alimentacion aire acondicionado con split. </t>
  </si>
  <si>
    <t>SUB-E-TAB</t>
  </si>
  <si>
    <t>Instalacion de Tablero para 100 bocas (casa chica). Incluye alimentacion desde el pilar.</t>
  </si>
  <si>
    <t>SUB-ZING</t>
  </si>
  <si>
    <t>Zinguero</t>
  </si>
  <si>
    <t>SUB-PIS</t>
  </si>
  <si>
    <t>Pisero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</si>
  <si>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</si>
  <si>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CEFERINO</t>
  </si>
  <si>
    <t>SUB-COR</t>
  </si>
  <si>
    <t>CORDON</t>
  </si>
  <si>
    <t>MOVIMIENTO DE SUELOS</t>
  </si>
  <si>
    <t>MS-MC</t>
  </si>
  <si>
    <t xml:space="preserve">MINICARGADORA </t>
  </si>
  <si>
    <t>MS-MCM</t>
  </si>
  <si>
    <t>MINICARGADORA CON MARTILLO</t>
  </si>
  <si>
    <t>MS-MR</t>
  </si>
  <si>
    <t>MINIRETRO EXCAVADORA</t>
  </si>
  <si>
    <t>MS-T</t>
  </si>
  <si>
    <t>MS-RV</t>
  </si>
  <si>
    <t>RETIRO X VIAJE</t>
  </si>
  <si>
    <t>BQ</t>
  </si>
  <si>
    <t>BAÑO QUIMICO</t>
  </si>
  <si>
    <t>Perfracion</t>
  </si>
  <si>
    <t>Perforacion  para bobas de 7.5 HP de 17m3/h materiales y mo</t>
  </si>
  <si>
    <t>cac antes</t>
  </si>
  <si>
    <t>cac ahora</t>
  </si>
  <si>
    <t>JEFATURA DE OBRA (mes)</t>
  </si>
  <si>
    <t>Jefatura de Obra</t>
  </si>
  <si>
    <t>x</t>
  </si>
  <si>
    <t>Jefe de Obra</t>
  </si>
  <si>
    <t>Gastos Estructura</t>
  </si>
  <si>
    <t>Nafta Jefe de Obra</t>
  </si>
  <si>
    <t>Nafta x</t>
  </si>
  <si>
    <t>Guille</t>
  </si>
  <si>
    <t>Herramientas</t>
  </si>
  <si>
    <t>NOMBRE DE LA OBRA</t>
  </si>
  <si>
    <t xml:space="preserve">PLANILLA COMPUTO Y PRESPUPUESTO </t>
  </si>
  <si>
    <t>ITEM</t>
  </si>
  <si>
    <t xml:space="preserve">DESCRIPCIÓN </t>
  </si>
  <si>
    <t>CANTIDAD</t>
  </si>
  <si>
    <t>SUBTOTAL 01: GASTOS DIRECTOS</t>
  </si>
  <si>
    <t>SUBTOTAL 02: GASTOS INDIRECTOS</t>
  </si>
  <si>
    <t>SUBTOTAL 03: BENEFICIOS</t>
  </si>
  <si>
    <t>TOTAL (NETO)</t>
  </si>
  <si>
    <t>V.UNITARIO</t>
  </si>
  <si>
    <t>V.GENERAL</t>
  </si>
  <si>
    <t>V. GENERAL</t>
  </si>
  <si>
    <t>V. UNITARIO</t>
  </si>
  <si>
    <t>MAT.</t>
  </si>
  <si>
    <t>M.O.: JORNALES</t>
  </si>
  <si>
    <t>M.O.: EQUIPOS</t>
  </si>
  <si>
    <t>M.O.: MATERIALES</t>
  </si>
  <si>
    <t>M.O.: SUBCONTRATOS</t>
  </si>
  <si>
    <t>M.O.</t>
  </si>
  <si>
    <t>GENERAL</t>
  </si>
  <si>
    <t>M.O</t>
  </si>
  <si>
    <t>1- TAREAS PRELIMINARES</t>
  </si>
  <si>
    <t>OBRADOR</t>
  </si>
  <si>
    <t>mes</t>
  </si>
  <si>
    <t>REPLANTEO Y NIVELACION</t>
  </si>
  <si>
    <t>gl</t>
  </si>
  <si>
    <t>CERCO DE OBRA (Malla de seguridad permietral)</t>
  </si>
  <si>
    <t>LIMPIZA PERIODICA DE OBRA</t>
  </si>
  <si>
    <t>ACARREO DE MATERIALES</t>
  </si>
  <si>
    <t>LIMPIEZA FINAL DE OBRA</t>
  </si>
  <si>
    <t>2- MOVIMEINTO DE SUELOS</t>
  </si>
  <si>
    <t>RETIRO DE ARBOLES DE MENOR PORTE (No incluye los tres arboles existentes de gran porte)</t>
  </si>
  <si>
    <t>EXCAVACION Y RETIRO DE SUELO VEGETAL EXISTENTE (Escalones 20 cm de altura con pendiente de 5cm. Secotor de intertrabado/ garden block + contrapiso + tosca = 50 cm. Sector de Cantero 20 cm)</t>
  </si>
  <si>
    <t>m³</t>
  </si>
  <si>
    <t>RELLENO, COMPACTACION Y NIVELACION CON SUELO SELECCIONADO TIPO A4 (En sectores de intertrabado y deck de cemento)</t>
  </si>
  <si>
    <t>3- SOLADOS</t>
  </si>
  <si>
    <t xml:space="preserve">EJECUCION DE CONTRAPISO DE H8 EN VEREDA ATERRAZADA </t>
  </si>
  <si>
    <t>m²</t>
  </si>
  <si>
    <t>EJECUCION DE CONTRAPISO DE H8 EN VEREDA SOBRE LATERAL DE CALLE</t>
  </si>
  <si>
    <t>EJECUCION DE ESCALON DE HORMIGON ARMADO CURVO CON ZAPATA PARA CONTECION DE SUELO</t>
  </si>
  <si>
    <t>CORDON PERIMETRAL DE 10X10 SOBRE LATERAL DE CALLE</t>
  </si>
  <si>
    <t>COLOCACION DE GARDEN BLOCK</t>
  </si>
  <si>
    <t>COLOCACION DE BLOQUES INTERTRABADO DE CEMENTO</t>
  </si>
  <si>
    <t>COLOCACION DE PISO DECK DE CEMENTO</t>
  </si>
  <si>
    <t>4- INSTALACIONES</t>
  </si>
  <si>
    <t>INSTALACION DE RIEGO. (Incluye manguera, abrazaderas, aspesrores)</t>
  </si>
  <si>
    <t>4.1-2</t>
  </si>
  <si>
    <t>PERFORACION CON BOMBA DE RIEGO DE UN 1/2 CABALLO + CISTERNA DE 500 Lts</t>
  </si>
  <si>
    <t>INSTALACION DE CANILLAS DE SERVICIO (no incluye materiales ni mano de caños)</t>
  </si>
  <si>
    <t>unid</t>
  </si>
  <si>
    <t>BOCAS DE ILUMINACION. (No incluye artefactos)</t>
  </si>
  <si>
    <t>ILUMINACION ENTIERRO DE CABLE SUBTERRANEO CUBIERTO CON LADRILLOS Y MALLA (no incluye empalmes)</t>
  </si>
  <si>
    <t>INSTALACION ELECTRICA DE TABLERO Y PILAR</t>
  </si>
  <si>
    <t>5- CANTEROS</t>
  </si>
  <si>
    <t>CANTEROS (A razon de redondear el presupuesto se toma una medida y cantidad estimada de 4,5x2m  h 40cm)</t>
  </si>
  <si>
    <t xml:space="preserve"> 6- MUELLE</t>
  </si>
  <si>
    <t>MUELLE</t>
  </si>
  <si>
    <t>SUBTOTAL 01 - COSTOS DIRECTOS</t>
  </si>
  <si>
    <t>IMPREVISTOS</t>
  </si>
  <si>
    <t>GASTOS ESTRUCTURA</t>
  </si>
  <si>
    <t>JEFATURA DE OBRA</t>
  </si>
  <si>
    <t>SUBTOTAL 02 - COSTOS INDIRECTOS</t>
  </si>
  <si>
    <t>BENEFICIO ANTES DE IMPUESTOS</t>
  </si>
  <si>
    <t>va</t>
  </si>
  <si>
    <t>GASATOS FINANCIEROS</t>
  </si>
  <si>
    <t>SUBTOTAL 03 - BENEFICIOS</t>
  </si>
  <si>
    <t>INGRESOS BRUTOS</t>
  </si>
  <si>
    <t>IMPUESTO AL CHEQUE</t>
  </si>
  <si>
    <t>IVA</t>
  </si>
  <si>
    <t>TOTAL (FINAL)</t>
  </si>
  <si>
    <t>CALCULO METROS</t>
  </si>
  <si>
    <t>HACER PISO (TRAMO DEL MEIDO)</t>
  </si>
  <si>
    <t>Profundidad de excavacion en m</t>
  </si>
  <si>
    <t>Nivel de tierra</t>
  </si>
  <si>
    <t>m3 de excavacion</t>
  </si>
  <si>
    <t>E1</t>
  </si>
  <si>
    <t>E2</t>
  </si>
  <si>
    <t>E3</t>
  </si>
  <si>
    <t>E4</t>
  </si>
  <si>
    <t>TOTAL</t>
  </si>
  <si>
    <t>M2</t>
  </si>
  <si>
    <t>M3</t>
  </si>
  <si>
    <t>Paquete 50 cm</t>
  </si>
  <si>
    <t>DECK DE CEMENTO</t>
  </si>
  <si>
    <t>en estos de los 50 que bajamos un 30 no va</t>
  </si>
  <si>
    <t>BLOQUES DE CEMENTO</t>
  </si>
  <si>
    <t>digamos que en las fajas 2 y 3 un 20 % lo excavamos entero</t>
  </si>
  <si>
    <t>Paquete 10 cm</t>
  </si>
  <si>
    <t>GARDEN BLOCK M2</t>
  </si>
  <si>
    <t>CANTEROS</t>
  </si>
  <si>
    <t>EXCAVACION</t>
  </si>
  <si>
    <t>retiro de laterales</t>
  </si>
  <si>
    <t>retiro de medio</t>
  </si>
  <si>
    <t>al medio le restamos 40 extras en el garden block y canteros que son</t>
  </si>
  <si>
    <t>cantero o garden block</t>
  </si>
  <si>
    <t>e2.2</t>
  </si>
  <si>
    <t>e3.3</t>
  </si>
  <si>
    <t>total</t>
  </si>
  <si>
    <t>tosca</t>
  </si>
  <si>
    <t>CORDON ML</t>
  </si>
  <si>
    <t>FAJA DE CONTENCION</t>
  </si>
  <si>
    <t>C1</t>
  </si>
  <si>
    <t>C2</t>
  </si>
  <si>
    <t>C3</t>
  </si>
  <si>
    <t>C4</t>
  </si>
  <si>
    <t>EL ENCUENTRO</t>
  </si>
  <si>
    <t>Arq. Andres Yanibeli</t>
  </si>
  <si>
    <t>Pilar, 21 de Agosto de 2025.</t>
  </si>
  <si>
    <t>6-PROYECTO EJECUTIVO</t>
  </si>
  <si>
    <t>VALOR DE PROYECTO EJECUTIVO 10% DE LA TOTALIDAD DE LA OBRA</t>
  </si>
  <si>
    <t>TOTAL + PROYECTO EJECUTIVO</t>
  </si>
  <si>
    <t>V. UNITARIO GENERAL</t>
  </si>
  <si>
    <t>VALOR GENERAL</t>
  </si>
  <si>
    <t>6-MUELLE</t>
  </si>
  <si>
    <t>6.A-1</t>
  </si>
  <si>
    <t>MUELLE OPCION A EN DECK DE PINO TRATADO A PRESION 80 m de baranda</t>
  </si>
  <si>
    <t>6.A-2</t>
  </si>
  <si>
    <t>MUELLE OPCION A EN EUCALIPTUS COLORADO 80 m de baranda</t>
  </si>
  <si>
    <t>6.A-3</t>
  </si>
  <si>
    <t>MUELLE OPCION A EN CUMARU BRASILERO 80 m de baranda</t>
  </si>
  <si>
    <t>6.A-4</t>
  </si>
  <si>
    <t>MUELLE OPCION A EN LAPACHO AMAZONICO 80 m de baranda</t>
  </si>
  <si>
    <t>6.A-5</t>
  </si>
  <si>
    <t>MUELLE OPCION A EN WPC IMPORTADO PREMIUM 80 m de baranda</t>
  </si>
  <si>
    <t>6.B-1</t>
  </si>
  <si>
    <t>MUELLE OPCION B EN DECK DE PINO TRATADO A PRESION 450 m de baranda</t>
  </si>
  <si>
    <t>6.B-2</t>
  </si>
  <si>
    <t>MUELLE OPCION B EN EUCALIPTUS COLORADO 450 m de baranda</t>
  </si>
  <si>
    <t>6.B-3</t>
  </si>
  <si>
    <t>MUELLE OPCION B EN CUMARU BRASILERO 450 m de baranda</t>
  </si>
  <si>
    <t>6.B-4</t>
  </si>
  <si>
    <t>MUELLE OPCION B EN LAPACHO AMAZONICO 450 m de baranda</t>
  </si>
  <si>
    <t xml:space="preserve">NOTAS: </t>
  </si>
  <si>
    <t xml:space="preserve">* Todos los valores aqui expresados son mas IVA. </t>
  </si>
  <si>
    <t>* La forma: Adelanto sera a definir- certificaciones quincenales contra avance ajustables por el indice general de la construcción de la CAC. Mes base Jun 25 = $16.643,40</t>
  </si>
  <si>
    <t xml:space="preserve">* Validez del presupeusto: 10 dias. </t>
  </si>
  <si>
    <t>* Inicio de tareas a definir.</t>
  </si>
  <si>
    <t xml:space="preserve">*Duración de trabajos: 4 meses. </t>
  </si>
  <si>
    <t>Sin más saludo muy atentamente.</t>
  </si>
  <si>
    <t>Ing. Nicolás Patalano.</t>
  </si>
  <si>
    <t>Código</t>
  </si>
  <si>
    <t>Descripción</t>
  </si>
  <si>
    <t>Unidad</t>
  </si>
  <si>
    <t>Cantidad</t>
  </si>
  <si>
    <t>Desperdicio</t>
  </si>
  <si>
    <t>Cantidad + Desperdicio</t>
  </si>
  <si>
    <t>Precio Unitario</t>
  </si>
  <si>
    <t>Subtotal</t>
  </si>
  <si>
    <t>TOTAL MATERIALES</t>
  </si>
  <si>
    <t xml:space="preserve">TOTAL x </t>
  </si>
  <si>
    <t>MANO DE OBRA - PERSONAS</t>
  </si>
  <si>
    <t>Dias</t>
  </si>
  <si>
    <t>MANO DE OBRA - EQUIPOS</t>
  </si>
  <si>
    <t>MANO DE OBRA - MATERIALES</t>
  </si>
  <si>
    <t>MANO DE OBRA - SUBCONTRATOS</t>
  </si>
  <si>
    <t>MS-Mr</t>
  </si>
  <si>
    <t>ms-rv</t>
  </si>
  <si>
    <t>CAMIONES</t>
  </si>
  <si>
    <t>m5,5</t>
  </si>
  <si>
    <t>evaluar opcion sin malla</t>
  </si>
  <si>
    <t>camiones</t>
  </si>
  <si>
    <t>2 camiones x dia</t>
  </si>
  <si>
    <t>preparacion de piso?</t>
  </si>
  <si>
    <t>lo ejecutamos nosotros sin camion</t>
  </si>
  <si>
    <t>encofrados</t>
  </si>
  <si>
    <t>pie</t>
  </si>
  <si>
    <t>ar</t>
  </si>
  <si>
    <t>cem</t>
  </si>
  <si>
    <t>PRECIO MEDIO ENTRE CESAR Y CEFERINO</t>
  </si>
  <si>
    <t>manta 2 cm</t>
  </si>
  <si>
    <t>lpint</t>
  </si>
  <si>
    <t>Mucha curva</t>
  </si>
  <si>
    <t>llenado de juntas</t>
  </si>
  <si>
    <t>30 m2 x dia</t>
  </si>
  <si>
    <t>y no se si es poco con los cortes que hay</t>
  </si>
  <si>
    <t>COMPUTADORA, MANGUERAS, ABRAZADERAS ASPERSORES</t>
  </si>
  <si>
    <t>Que otro material necesito</t>
  </si>
  <si>
    <t/>
  </si>
  <si>
    <t>mo-g</t>
  </si>
  <si>
    <t>NATI P</t>
  </si>
  <si>
    <t>h30</t>
  </si>
  <si>
    <t>Bomba</t>
  </si>
  <si>
    <t>50 por las roscas y demas de coneccion</t>
  </si>
  <si>
    <t>https://articulo.mercadolibre.com.ar/MLA-779589110-rejilla-para-bajada-pluvial-60-x-60cm-galvanizada-con-marco-ed-rbp600g-_JM?matt_tool=50340547&amp;matt_word=&amp;matt_source=google&amp;matt_campaign_id=19555638887&amp;matt_ad_group_id=144564370465&amp;matt_match_type=&amp;matt_network=g&amp;matt_device=c&amp;matt_creative=644635883410&amp;matt_keyword=&amp;matt_ad_position=&amp;matt_ad_type=pla&amp;matt_merchant_id=139185561&amp;matt_product_id=MLA779589110&amp;matt_product_partition_id=2163484154818&amp;matt_target_id=pla-2163484154818&amp;cq_src=google_ads&amp;cq_cmp=19555638887&amp;cq_net=g&amp;cq_plt=gp&amp;cq_med=pla&amp;gad_source=1&amp;gclid=Cj0KCQjwq86wBhDiARIsAJhuphnO_wb9VbG_xFJenjlhIpd0cF-7dz3dyOzxEL0YLLTP2w6w6FeAkG4aArHCEALw_wcB</t>
  </si>
  <si>
    <t>mat boca cabeza</t>
  </si>
  <si>
    <t>Saldra mas x ser de exterior?</t>
  </si>
  <si>
    <t>mo boca cabeza</t>
  </si>
  <si>
    <t>mat cabeza</t>
  </si>
  <si>
    <t xml:space="preserve">mo </t>
  </si>
  <si>
    <t>m2 de canteros</t>
  </si>
  <si>
    <t>tn</t>
  </si>
  <si>
    <t>m3 de tierra negra pablo</t>
  </si>
  <si>
    <t>tablas x cantero</t>
  </si>
  <si>
    <t>armado de estructura y llenado con tierra</t>
  </si>
  <si>
    <t>MINIMO</t>
  </si>
  <si>
    <t>MAXIMO</t>
  </si>
  <si>
    <t>DE 6 A 8 MESE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</si>
</sst>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[$$-2C0A]\ * #,##0.00_-;\-[$$-2C0A]\ * #,##0.00_-;_-[$$-2C0A]\ * &quot;-&quot;??_-;_-@"/>
    <numFmt numFmtId="165" formatCode="d/m/yyyy"/>
    <numFmt numFmtId="166" formatCode="dd/mm/yyyy"/>
    <numFmt numFmtId="167" formatCode="[$usd]#,##0.00"/>
    <numFmt numFmtId="168" formatCode="_-[$$-409]* #,##0.00_ ;_-[$$-409]* \-#,##0.00\ ;_-[$$-409]* &quot;-&quot;??_ ;_-@_ "/>
    <numFmt numFmtId="169" formatCode="[$ $]#,##0.00"/>
    <numFmt numFmtId="170" formatCode="dd/mm/yy"/>
    <numFmt numFmtId="171" formatCode="d.m"/>
  </numFmts>
  <fonts count="19">
    <font>
      <sz val="11.0"/>
      <color theme="1"/>
      <name val="Calibri"/>
      <scheme val="minor"/>
    </font>
    <font>
      <b/>
      <sz val="22.0"/>
      <color rgb="FFFFFFFF"/>
      <name val="Calibri"/>
    </font>
    <font>
      <sz val="11.0"/>
      <color theme="1"/>
      <name val="Calibri"/>
    </font>
    <font>
      <sz val="11.0"/>
      <color rgb="FFFFFFFF"/>
      <name val="Calibri"/>
    </font>
    <font>
      <b/>
      <sz val="11.0"/>
      <color theme="1"/>
      <name val="Calibri"/>
    </font>
    <font>
      <sz val="11.0"/>
      <color rgb="FF999999"/>
      <name val="Calibri"/>
    </font>
    <font>
      <sz val="11.0"/>
      <color rgb="FF0563C1"/>
      <name val="Calibri"/>
    </font>
    <font>
      <b/>
      <sz val="11.0"/>
      <color rgb="FF757070"/>
      <name val="Calibri"/>
    </font>
    <font>
      <sz val="11.0"/>
      <color rgb="FFA5A5A5"/>
      <name val="Calibri"/>
    </font>
    <font>
      <sz val="11.0"/>
      <color rgb="FF757070"/>
      <name val="Calibri"/>
    </font>
    <font>
      <sz val="11.0"/>
      <color rgb="FFBFBFBF"/>
      <name val="Calibri"/>
    </font>
    <font/>
    <font>
      <sz val="11.0"/>
      <color theme="0"/>
      <name val="Calibri"/>
    </font>
    <font>
      <sz val="11.0"/>
      <color rgb="FFFF0000"/>
      <name val="Calibri"/>
    </font>
    <font>
      <color theme="1"/>
      <name val="Calibri"/>
    </font>
    <font>
      <b/>
      <sz val="20.0"/>
      <color theme="1"/>
      <name val="Calibri"/>
    </font>
    <font>
      <sz val="18.0"/>
      <color rgb="FFBDD6EE"/>
      <name val="Calibri"/>
    </font>
    <font>
      <b/>
      <sz val="8.0"/>
      <color rgb="FFFFFFFF"/>
      <name val="Calibri"/>
    </font>
    <font>
      <b/>
      <sz val="11.0"/>
      <color rgb="FFFFFFFF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AF9F9"/>
        <bgColor rgb="FFFAF9F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9E2F3"/>
        <bgColor rgb="FFD9E2F3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D8D8D8"/>
        <bgColor rgb="FFD8D8D8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45">
    <border/>
    <border>
      <left/>
      <right/>
      <top/>
      <bottom/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/>
      <top/>
      <bottom/>
    </border>
    <border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4" fontId="5" numFmtId="165" xfId="0" applyAlignment="1" applyFill="1" applyFont="1" applyNumberFormat="1">
      <alignment horizontal="right" vertical="bottom"/>
    </xf>
    <xf borderId="0" fillId="5" fontId="2" numFmtId="0" xfId="0" applyAlignment="1" applyFill="1" applyFont="1">
      <alignment vertical="bottom"/>
    </xf>
    <xf borderId="0" fillId="5" fontId="2" numFmtId="164" xfId="0" applyAlignment="1" applyFont="1" applyNumberFormat="1">
      <alignment vertical="bottom"/>
    </xf>
    <xf borderId="0" fillId="5" fontId="4" numFmtId="164" xfId="0" applyAlignment="1" applyFont="1" applyNumberFormat="1">
      <alignment horizontal="right" vertical="bottom"/>
    </xf>
    <xf borderId="0" fillId="5" fontId="5" numFmtId="0" xfId="0" applyAlignment="1" applyFont="1">
      <alignment vertical="bottom"/>
    </xf>
    <xf borderId="0" fillId="5" fontId="5" numFmtId="165" xfId="0" applyAlignment="1" applyFont="1" applyNumberFormat="1">
      <alignment horizontal="right" vertical="bottom"/>
    </xf>
    <xf borderId="0" fillId="5" fontId="2" numFmtId="164" xfId="0" applyAlignment="1" applyFont="1" applyNumberFormat="1">
      <alignment horizontal="right" vertical="bottom"/>
    </xf>
    <xf borderId="0" fillId="4" fontId="5" numFmtId="166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5" fontId="2" numFmtId="165" xfId="0" applyAlignment="1" applyFont="1" applyNumberFormat="1">
      <alignment vertical="bottom"/>
    </xf>
    <xf borderId="0" fillId="2" fontId="3" numFmtId="164" xfId="0" applyAlignment="1" applyFont="1" applyNumberFormat="1">
      <alignment vertical="bottom"/>
    </xf>
    <xf borderId="0" fillId="2" fontId="2" numFmtId="164" xfId="0" applyAlignment="1" applyFont="1" applyNumberFormat="1">
      <alignment vertical="bottom"/>
    </xf>
    <xf borderId="0" fillId="2" fontId="3" numFmtId="165" xfId="0" applyAlignment="1" applyFont="1" applyNumberFormat="1">
      <alignment vertical="bottom"/>
    </xf>
    <xf borderId="0" fillId="0" fontId="2" numFmtId="167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2" numFmtId="168" xfId="0" applyAlignment="1" applyFont="1" applyNumberFormat="1">
      <alignment vertical="bottom"/>
    </xf>
    <xf borderId="0" fillId="0" fontId="2" numFmtId="167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8" xfId="0" applyAlignment="1" applyFont="1" applyNumberFormat="1">
      <alignment horizontal="right" vertical="bottom"/>
    </xf>
    <xf borderId="0" fillId="6" fontId="2" numFmtId="0" xfId="0" applyAlignment="1" applyFill="1" applyFont="1">
      <alignment vertical="bottom"/>
    </xf>
    <xf borderId="1" fillId="3" fontId="2" numFmtId="0" xfId="0" applyAlignment="1" applyBorder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2" numFmtId="169" xfId="0" applyAlignment="1" applyFont="1" applyNumberFormat="1">
      <alignment vertical="bottom"/>
    </xf>
    <xf borderId="0" fillId="2" fontId="2" numFmtId="165" xfId="0" applyAlignment="1" applyFont="1" applyNumberFormat="1">
      <alignment vertical="bottom"/>
    </xf>
    <xf borderId="0" fillId="2" fontId="3" numFmtId="169" xfId="0" applyAlignment="1" applyFont="1" applyNumberFormat="1">
      <alignment vertical="bottom"/>
    </xf>
    <xf borderId="0" fillId="2" fontId="2" numFmtId="9" xfId="0" applyAlignment="1" applyFont="1" applyNumberFormat="1">
      <alignment vertical="bottom"/>
    </xf>
    <xf borderId="0" fillId="0" fontId="5" numFmtId="164" xfId="0" applyAlignment="1" applyFont="1" applyNumberFormat="1">
      <alignment vertical="bottom"/>
    </xf>
    <xf borderId="0" fillId="0" fontId="2" numFmtId="9" xfId="0" applyAlignment="1" applyFont="1" applyNumberFormat="1">
      <alignment vertical="bottom"/>
    </xf>
    <xf borderId="0" fillId="7" fontId="2" numFmtId="164" xfId="0" applyAlignment="1" applyFill="1" applyFont="1" applyNumberFormat="1">
      <alignment horizontal="right" vertical="bottom"/>
    </xf>
    <xf borderId="0" fillId="7" fontId="4" numFmtId="164" xfId="0" applyAlignment="1" applyFont="1" applyNumberFormat="1">
      <alignment horizontal="right" vertical="bottom"/>
    </xf>
    <xf borderId="0" fillId="2" fontId="3" numFmtId="164" xfId="0" applyAlignment="1" applyFont="1" applyNumberFormat="1">
      <alignment horizontal="center" vertical="bottom"/>
    </xf>
    <xf borderId="0" fillId="5" fontId="2" numFmtId="169" xfId="0" applyAlignment="1" applyFont="1" applyNumberFormat="1">
      <alignment vertical="bottom"/>
    </xf>
    <xf borderId="0" fillId="5" fontId="2" numFmtId="9" xfId="0" applyAlignment="1" applyFont="1" applyNumberFormat="1">
      <alignment vertical="bottom"/>
    </xf>
    <xf borderId="0" fillId="5" fontId="2" numFmtId="164" xfId="0" applyAlignment="1" applyFont="1" applyNumberFormat="1">
      <alignment horizontal="center" vertical="bottom"/>
    </xf>
    <xf borderId="0" fillId="5" fontId="4" numFmtId="169" xfId="0" applyAlignment="1" applyFont="1" applyNumberFormat="1">
      <alignment horizontal="right" vertical="bottom"/>
    </xf>
    <xf borderId="0" fillId="7" fontId="2" numFmtId="0" xfId="0" applyAlignment="1" applyFont="1">
      <alignment vertical="bottom"/>
    </xf>
    <xf borderId="0" fillId="0" fontId="4" numFmtId="169" xfId="0" applyAlignment="1" applyFont="1" applyNumberFormat="1">
      <alignment horizontal="right" vertical="bottom"/>
    </xf>
    <xf borderId="0" fillId="8" fontId="4" numFmtId="164" xfId="0" applyAlignment="1" applyFill="1" applyFont="1" applyNumberFormat="1">
      <alignment horizontal="right" vertical="bottom"/>
    </xf>
    <xf borderId="0" fillId="0" fontId="5" numFmtId="165" xfId="0" applyAlignment="1" applyFont="1" applyNumberFormat="1">
      <alignment vertical="bottom"/>
    </xf>
    <xf borderId="1" fillId="2" fontId="1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0" fillId="0" fontId="2" numFmtId="170" xfId="0" applyAlignment="1" applyFont="1" applyNumberFormat="1">
      <alignment horizontal="right" vertical="bottom"/>
    </xf>
    <xf borderId="0" fillId="9" fontId="2" numFmtId="0" xfId="0" applyAlignment="1" applyFill="1" applyFont="1">
      <alignment vertical="bottom"/>
    </xf>
    <xf borderId="0" fillId="0" fontId="2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5" fontId="2" numFmtId="0" xfId="0" applyAlignment="1" applyFont="1">
      <alignment horizontal="center" vertical="bottom"/>
    </xf>
    <xf borderId="0" fillId="0" fontId="2" numFmtId="170" xfId="0" applyAlignment="1" applyFont="1" applyNumberFormat="1">
      <alignment vertical="bottom"/>
    </xf>
    <xf borderId="0" fillId="10" fontId="2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4" fillId="0" fontId="7" numFmtId="164" xfId="0" applyAlignment="1" applyBorder="1" applyFont="1" applyNumberFormat="1">
      <alignment horizontal="right" vertical="bottom"/>
    </xf>
    <xf borderId="3" fillId="0" fontId="8" numFmtId="0" xfId="0" applyAlignment="1" applyBorder="1" applyFont="1">
      <alignment vertical="bottom"/>
    </xf>
    <xf borderId="4" fillId="0" fontId="9" numFmtId="164" xfId="0" applyAlignment="1" applyBorder="1" applyFont="1" applyNumberFormat="1">
      <alignment horizontal="right" vertical="bottom"/>
    </xf>
    <xf borderId="3" fillId="0" fontId="10" numFmtId="0" xfId="0" applyAlignment="1" applyBorder="1" applyFont="1">
      <alignment vertical="bottom"/>
    </xf>
    <xf borderId="4" fillId="0" fontId="10" numFmtId="164" xfId="0" applyAlignment="1" applyBorder="1" applyFont="1" applyNumberFormat="1">
      <alignment horizontal="right" vertical="bottom"/>
    </xf>
    <xf borderId="5" fillId="0" fontId="10" numFmtId="0" xfId="0" applyAlignment="1" applyBorder="1" applyFont="1">
      <alignment vertical="bottom"/>
    </xf>
    <xf borderId="6" fillId="0" fontId="10" numFmtId="164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vertical="bottom"/>
    </xf>
    <xf borderId="6" fillId="0" fontId="4" numFmtId="164" xfId="0" applyAlignment="1" applyBorder="1" applyFont="1" applyNumberFormat="1">
      <alignment horizontal="right" vertical="bottom"/>
    </xf>
    <xf borderId="0" fillId="0" fontId="2" numFmtId="169" xfId="0" applyAlignment="1" applyFont="1" applyNumberFormat="1">
      <alignment horizontal="right" vertical="bottom"/>
    </xf>
    <xf borderId="0" fillId="0" fontId="4" numFmtId="0" xfId="0" applyAlignment="1" applyFont="1">
      <alignment vertical="center"/>
    </xf>
    <xf borderId="0" fillId="0" fontId="2" numFmtId="0" xfId="0" applyFont="1"/>
    <xf borderId="1" fillId="2" fontId="1" numFmtId="0" xfId="0" applyBorder="1" applyFont="1"/>
    <xf borderId="1" fillId="2" fontId="3" numFmtId="0" xfId="0" applyBorder="1" applyFont="1"/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shrinkToFit="0" vertical="center" wrapText="1"/>
    </xf>
    <xf borderId="9" fillId="0" fontId="2" numFmtId="2" xfId="0" applyAlignment="1" applyBorder="1" applyFont="1" applyNumberFormat="1">
      <alignment horizontal="center" vertical="center"/>
    </xf>
    <xf borderId="10" fillId="11" fontId="2" numFmtId="0" xfId="0" applyAlignment="1" applyBorder="1" applyFill="1" applyFont="1">
      <alignment horizontal="center"/>
    </xf>
    <xf borderId="11" fillId="0" fontId="11" numFmtId="0" xfId="0" applyBorder="1" applyFont="1"/>
    <xf borderId="12" fillId="0" fontId="11" numFmtId="0" xfId="0" applyBorder="1" applyFont="1"/>
    <xf borderId="13" fillId="0" fontId="2" numFmtId="0" xfId="0" applyAlignment="1" applyBorder="1" applyFont="1">
      <alignment horizontal="center" vertical="center"/>
    </xf>
    <xf borderId="14" fillId="0" fontId="11" numFmtId="0" xfId="0" applyBorder="1" applyFont="1"/>
    <xf borderId="15" fillId="0" fontId="11" numFmtId="0" xfId="0" applyBorder="1" applyFont="1"/>
    <xf borderId="16" fillId="0" fontId="11" numFmtId="0" xfId="0" applyBorder="1" applyFont="1"/>
    <xf borderId="17" fillId="0" fontId="2" numFmtId="0" xfId="0" applyAlignment="1" applyBorder="1" applyFont="1">
      <alignment horizontal="center"/>
    </xf>
    <xf borderId="18" fillId="0" fontId="11" numFmtId="0" xfId="0" applyBorder="1" applyFont="1"/>
    <xf borderId="19" fillId="0" fontId="11" numFmtId="0" xfId="0" applyBorder="1" applyFont="1"/>
    <xf borderId="20" fillId="0" fontId="2" numFmtId="0" xfId="0" applyAlignment="1" applyBorder="1" applyFont="1">
      <alignment horizontal="center" shrinkToFit="0" wrapText="1"/>
    </xf>
    <xf borderId="21" fillId="0" fontId="11" numFmtId="0" xfId="0" applyBorder="1" applyFont="1"/>
    <xf borderId="22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shrinkToFit="0" vertical="center" wrapText="1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26" fillId="0" fontId="2" numFmtId="0" xfId="0" applyAlignment="1" applyBorder="1" applyFont="1">
      <alignment horizontal="center"/>
    </xf>
    <xf borderId="27" fillId="0" fontId="2" numFmtId="0" xfId="0" applyAlignment="1" applyBorder="1" applyFont="1">
      <alignment horizontal="center"/>
    </xf>
    <xf borderId="28" fillId="0" fontId="2" numFmtId="0" xfId="0" applyAlignment="1" applyBorder="1" applyFont="1">
      <alignment horizontal="center"/>
    </xf>
    <xf borderId="29" fillId="0" fontId="2" numFmtId="0" xfId="0" applyAlignment="1" applyBorder="1" applyFont="1">
      <alignment horizontal="center" vertical="center"/>
    </xf>
    <xf borderId="27" fillId="0" fontId="2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center" vertical="center"/>
    </xf>
    <xf borderId="30" fillId="0" fontId="2" numFmtId="0" xfId="0" applyAlignment="1" applyBorder="1" applyFont="1">
      <alignment horizontal="center" vertical="center"/>
    </xf>
    <xf borderId="27" fillId="12" fontId="12" numFmtId="0" xfId="0" applyAlignment="1" applyBorder="1" applyFill="1" applyFont="1">
      <alignment horizontal="left" vertical="center"/>
    </xf>
    <xf borderId="27" fillId="12" fontId="12" numFmtId="0" xfId="0" applyAlignment="1" applyBorder="1" applyFont="1">
      <alignment horizontal="center" shrinkToFit="0" vertical="center" wrapText="1"/>
    </xf>
    <xf borderId="27" fillId="12" fontId="12" numFmtId="0" xfId="0" applyAlignment="1" applyBorder="1" applyFont="1">
      <alignment horizontal="center" vertical="center"/>
    </xf>
    <xf borderId="27" fillId="12" fontId="12" numFmtId="2" xfId="0" applyAlignment="1" applyBorder="1" applyFont="1" applyNumberFormat="1">
      <alignment horizontal="center" vertical="center"/>
    </xf>
    <xf borderId="27" fillId="0" fontId="2" numFmtId="171" xfId="0" applyAlignment="1" applyBorder="1" applyFont="1" applyNumberFormat="1">
      <alignment horizontal="center" vertical="center"/>
    </xf>
    <xf borderId="27" fillId="0" fontId="2" numFmtId="0" xfId="0" applyAlignment="1" applyBorder="1" applyFont="1">
      <alignment shrinkToFit="0" vertical="bottom" wrapText="1"/>
    </xf>
    <xf borderId="27" fillId="0" fontId="2" numFmtId="2" xfId="0" applyAlignment="1" applyBorder="1" applyFont="1" applyNumberFormat="1">
      <alignment horizontal="center" vertical="center"/>
    </xf>
    <xf borderId="27" fillId="13" fontId="2" numFmtId="164" xfId="0" applyBorder="1" applyFill="1" applyFont="1" applyNumberFormat="1"/>
    <xf borderId="27" fillId="0" fontId="2" numFmtId="164" xfId="0" applyBorder="1" applyFont="1" applyNumberFormat="1"/>
    <xf borderId="27" fillId="12" fontId="3" numFmtId="0" xfId="0" applyAlignment="1" applyBorder="1" applyFont="1">
      <alignment horizontal="left" vertical="center"/>
    </xf>
    <xf borderId="27" fillId="0" fontId="2" numFmtId="0" xfId="0" applyAlignment="1" applyBorder="1" applyFont="1">
      <alignment horizontal="left" shrinkToFit="0" vertical="center" wrapText="1"/>
    </xf>
    <xf borderId="27" fillId="0" fontId="2" numFmtId="0" xfId="0" applyAlignment="1" applyBorder="1" applyFont="1">
      <alignment horizontal="center" vertical="bottom"/>
    </xf>
    <xf borderId="27" fillId="0" fontId="2" numFmtId="164" xfId="0" applyAlignment="1" applyBorder="1" applyFont="1" applyNumberFormat="1">
      <alignment horizontal="right" vertical="bottom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shrinkToFit="0" wrapText="1"/>
    </xf>
    <xf borderId="31" fillId="14" fontId="2" numFmtId="164" xfId="0" applyBorder="1" applyFill="1" applyFont="1" applyNumberFormat="1"/>
    <xf borderId="0" fillId="0" fontId="2" numFmtId="164" xfId="0" applyFont="1" applyNumberFormat="1"/>
    <xf borderId="31" fillId="0" fontId="2" numFmtId="164" xfId="0" applyBorder="1" applyFont="1" applyNumberFormat="1"/>
    <xf borderId="0" fillId="0" fontId="14" numFmtId="164" xfId="0" applyFont="1" applyNumberFormat="1"/>
    <xf borderId="0" fillId="15" fontId="14" numFmtId="0" xfId="0" applyFill="1" applyFont="1"/>
    <xf borderId="1" fillId="16" fontId="2" numFmtId="0" xfId="0" applyBorder="1" applyFill="1" applyFont="1"/>
    <xf borderId="1" fillId="16" fontId="2" numFmtId="164" xfId="0" applyBorder="1" applyFont="1" applyNumberFormat="1"/>
    <xf borderId="0" fillId="0" fontId="2" numFmtId="9" xfId="0" applyFont="1" applyNumberFormat="1"/>
    <xf borderId="0" fillId="0" fontId="14" numFmtId="0" xfId="0" applyFont="1"/>
    <xf borderId="0" fillId="0" fontId="14" numFmtId="0" xfId="0" applyAlignment="1" applyFont="1">
      <alignment shrinkToFit="0" wrapText="1"/>
    </xf>
    <xf borderId="0" fillId="10" fontId="14" numFmtId="0" xfId="0" applyFont="1"/>
    <xf borderId="0" fillId="0" fontId="14" numFmtId="9" xfId="0" applyFont="1" applyNumberFormat="1"/>
    <xf borderId="0" fillId="0" fontId="14" numFmtId="0" xfId="0" applyAlignment="1" applyFont="1">
      <alignment horizontal="right"/>
    </xf>
    <xf borderId="0" fillId="0" fontId="2" numFmtId="0" xfId="0" applyAlignment="1" applyFont="1">
      <alignment shrinkToFit="0" vertical="bottom" wrapText="1"/>
    </xf>
    <xf borderId="0" fillId="15" fontId="14" numFmtId="171" xfId="0" applyFont="1" applyNumberFormat="1"/>
    <xf borderId="0" fillId="5" fontId="14" numFmtId="0" xfId="0" applyFont="1"/>
    <xf borderId="0" fillId="5" fontId="14" numFmtId="0" xfId="0" applyAlignment="1" applyFont="1">
      <alignment horizontal="right"/>
    </xf>
    <xf borderId="0" fillId="17" fontId="14" numFmtId="0" xfId="0" applyFill="1" applyFont="1"/>
    <xf borderId="0" fillId="18" fontId="14" numFmtId="0" xfId="0" applyFill="1" applyFont="1"/>
    <xf borderId="0" fillId="17" fontId="14" numFmtId="0" xfId="0" applyAlignment="1" applyFont="1">
      <alignment horizontal="center" vertical="center"/>
    </xf>
    <xf borderId="0" fillId="19" fontId="14" numFmtId="0" xfId="0" applyFill="1" applyFont="1"/>
    <xf borderId="0" fillId="0" fontId="15" numFmtId="0" xfId="0" applyAlignment="1" applyFont="1">
      <alignment vertical="center"/>
    </xf>
    <xf borderId="20" fillId="12" fontId="12" numFmtId="0" xfId="0" applyAlignment="1" applyBorder="1" applyFont="1">
      <alignment horizontal="left" vertical="center"/>
    </xf>
    <xf borderId="31" fillId="20" fontId="2" numFmtId="164" xfId="0" applyBorder="1" applyFill="1" applyFont="1" applyNumberFormat="1"/>
    <xf borderId="20" fillId="12" fontId="3" numFmtId="0" xfId="0" applyAlignment="1" applyBorder="1" applyFont="1">
      <alignment horizontal="left" vertical="center"/>
    </xf>
    <xf borderId="32" fillId="10" fontId="14" numFmtId="0" xfId="0" applyBorder="1" applyFont="1"/>
    <xf borderId="33" fillId="0" fontId="11" numFmtId="0" xfId="0" applyBorder="1" applyFont="1"/>
    <xf borderId="34" fillId="10" fontId="14" numFmtId="164" xfId="0" applyBorder="1" applyFont="1" applyNumberFormat="1"/>
    <xf borderId="11" fillId="0" fontId="2" numFmtId="0" xfId="0" applyAlignment="1" applyBorder="1" applyFont="1">
      <alignment horizontal="center" vertical="center"/>
    </xf>
    <xf borderId="35" fillId="0" fontId="2" numFmtId="0" xfId="0" applyAlignment="1" applyBorder="1" applyFont="1">
      <alignment horizontal="center" vertical="center"/>
    </xf>
    <xf borderId="36" fillId="0" fontId="11" numFmtId="0" xfId="0" applyBorder="1" applyFont="1"/>
    <xf borderId="27" fillId="12" fontId="12" numFmtId="164" xfId="0" applyAlignment="1" applyBorder="1" applyFont="1" applyNumberFormat="1">
      <alignment horizontal="center" vertical="center"/>
    </xf>
    <xf borderId="27" fillId="21" fontId="2" numFmtId="0" xfId="0" applyAlignment="1" applyBorder="1" applyFill="1" applyFont="1">
      <alignment horizontal="center" vertical="center"/>
    </xf>
    <xf borderId="27" fillId="21" fontId="2" numFmtId="164" xfId="0" applyBorder="1" applyFont="1" applyNumberFormat="1"/>
    <xf borderId="27" fillId="20" fontId="2" numFmtId="0" xfId="0" applyAlignment="1" applyBorder="1" applyFont="1">
      <alignment horizontal="center" vertical="center"/>
    </xf>
    <xf borderId="27" fillId="20" fontId="2" numFmtId="164" xfId="0" applyBorder="1" applyFont="1" applyNumberFormat="1"/>
    <xf borderId="37" fillId="0" fontId="4" numFmtId="0" xfId="0" applyAlignment="1" applyBorder="1" applyFont="1">
      <alignment vertical="bottom"/>
    </xf>
    <xf borderId="38" fillId="0" fontId="2" numFmtId="0" xfId="0" applyAlignment="1" applyBorder="1" applyFont="1">
      <alignment vertical="bottom"/>
    </xf>
    <xf borderId="39" fillId="0" fontId="2" numFmtId="0" xfId="0" applyAlignment="1" applyBorder="1" applyFont="1">
      <alignment vertical="bottom"/>
    </xf>
    <xf borderId="40" fillId="0" fontId="2" numFmtId="0" xfId="0" applyAlignment="1" applyBorder="1" applyFont="1">
      <alignment vertical="bottom"/>
    </xf>
    <xf borderId="41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  <xf borderId="1" fillId="2" fontId="16" numFmtId="171" xfId="0" applyAlignment="1" applyBorder="1" applyFont="1" applyNumberFormat="1">
      <alignment horizontal="left" vertical="center"/>
    </xf>
    <xf borderId="42" fillId="2" fontId="17" numFmtId="0" xfId="0" applyAlignment="1" applyBorder="1" applyFont="1">
      <alignment horizontal="left" shrinkToFit="0" vertical="center" wrapText="1"/>
    </xf>
    <xf borderId="43" fillId="0" fontId="11" numFmtId="0" xfId="0" applyBorder="1" applyFont="1"/>
    <xf borderId="0" fillId="2" fontId="2" numFmtId="0" xfId="0" applyFont="1"/>
    <xf borderId="1" fillId="2" fontId="17" numFmtId="2" xfId="0" applyAlignment="1" applyBorder="1" applyFont="1" applyNumberFormat="1">
      <alignment shrinkToFit="0" vertical="center" wrapText="1"/>
    </xf>
    <xf borderId="1" fillId="2" fontId="17" numFmtId="0" xfId="0" applyAlignment="1" applyBorder="1" applyFont="1">
      <alignment horizontal="left" shrinkToFit="0" vertical="center" wrapText="1"/>
    </xf>
    <xf borderId="1" fillId="2" fontId="18" numFmtId="0" xfId="0" applyBorder="1" applyFont="1"/>
    <xf borderId="1" fillId="2" fontId="3" numFmtId="0" xfId="0" applyAlignment="1" applyBorder="1" applyFont="1">
      <alignment horizontal="left"/>
    </xf>
    <xf borderId="42" fillId="2" fontId="3" numFmtId="0" xfId="0" applyAlignment="1" applyBorder="1" applyFont="1">
      <alignment horizontal="center"/>
    </xf>
    <xf borderId="1" fillId="13" fontId="2" numFmtId="0" xfId="0" applyBorder="1" applyFont="1"/>
    <xf borderId="1" fillId="13" fontId="2" numFmtId="2" xfId="0" applyBorder="1" applyFont="1" applyNumberFormat="1"/>
    <xf borderId="1" fillId="13" fontId="2" numFmtId="9" xfId="0" applyBorder="1" applyFont="1" applyNumberFormat="1"/>
    <xf borderId="0" fillId="0" fontId="2" numFmtId="2" xfId="0" applyAlignment="1" applyFont="1" applyNumberFormat="1">
      <alignment horizontal="right" vertical="bottom"/>
    </xf>
    <xf borderId="1" fillId="20" fontId="4" numFmtId="0" xfId="0" applyBorder="1" applyFont="1"/>
    <xf borderId="1" fillId="20" fontId="2" numFmtId="0" xfId="0" applyBorder="1" applyFont="1"/>
    <xf borderId="0" fillId="20" fontId="2" numFmtId="0" xfId="0" applyAlignment="1" applyFont="1">
      <alignment vertical="bottom"/>
    </xf>
    <xf borderId="1" fillId="20" fontId="4" numFmtId="164" xfId="0" applyBorder="1" applyFont="1" applyNumberFormat="1"/>
    <xf borderId="1" fillId="3" fontId="4" numFmtId="0" xfId="0" applyBorder="1" applyFont="1"/>
    <xf borderId="1" fillId="3" fontId="2" numFmtId="0" xfId="0" applyBorder="1" applyFont="1"/>
    <xf borderId="1" fillId="3" fontId="4" numFmtId="0" xfId="0" applyAlignment="1" applyBorder="1" applyFont="1">
      <alignment horizontal="right"/>
    </xf>
    <xf borderId="1" fillId="3" fontId="4" numFmtId="164" xfId="0" applyBorder="1" applyFont="1" applyNumberFormat="1"/>
    <xf borderId="1" fillId="13" fontId="2" numFmtId="0" xfId="0" applyAlignment="1" applyBorder="1" applyFont="1">
      <alignment vertical="bottom"/>
    </xf>
    <xf borderId="0" fillId="0" fontId="2" numFmtId="1" xfId="0" applyAlignment="1" applyFont="1" applyNumberFormat="1">
      <alignment horizontal="right" vertical="bottom"/>
    </xf>
    <xf quotePrefix="1" borderId="0" fillId="0" fontId="14" numFmtId="0" xfId="0" applyFont="1"/>
    <xf borderId="0" fillId="0" fontId="14" numFmtId="2" xfId="0" applyFont="1" applyNumberFormat="1"/>
    <xf borderId="0" fillId="0" fontId="14" numFmtId="1" xfId="0" applyFont="1" applyNumberFormat="1"/>
    <xf borderId="0" fillId="0" fontId="14" numFmtId="171" xfId="0" applyFont="1" applyNumberFormat="1"/>
    <xf borderId="0" fillId="0" fontId="2" numFmtId="2" xfId="0" applyFont="1" applyNumberFormat="1"/>
    <xf borderId="44" fillId="20" fontId="4" numFmtId="0" xfId="0" applyBorder="1" applyFont="1"/>
    <xf borderId="44" fillId="20" fontId="2" numFmtId="0" xfId="0" applyBorder="1" applyFont="1"/>
    <xf borderId="44" fillId="20" fontId="4" numFmtId="164" xfId="0" applyBorder="1" applyFont="1" applyNumberFormat="1"/>
    <xf borderId="0" fillId="0" fontId="4" numFmtId="0" xfId="0" applyFont="1"/>
    <xf borderId="0" fillId="0" fontId="4" numFmtId="0" xfId="0" applyAlignment="1" applyFont="1">
      <alignment horizontal="right"/>
    </xf>
    <xf borderId="0" fillId="0" fontId="4" numFmtId="164" xfId="0" applyFont="1" applyNumberFormat="1"/>
    <xf borderId="0" fillId="0" fontId="18" numFmtId="0" xfId="0" applyFont="1"/>
    <xf borderId="0" fillId="0" fontId="3" numFmtId="0" xfId="0" applyFont="1"/>
    <xf borderId="42" fillId="2" fontId="18" numFmtId="0" xfId="0" applyBorder="1" applyFont="1"/>
    <xf borderId="0" fillId="0" fontId="3" numFmtId="164" xfId="0" applyFont="1" applyNumberFormat="1"/>
    <xf borderId="0" fillId="2" fontId="2" numFmtId="2" xfId="0" applyFont="1" applyNumberFormat="1"/>
    <xf borderId="1" fillId="2" fontId="17" numFmtId="164" xfId="0" applyAlignment="1" applyBorder="1" applyFont="1" applyNumberFormat="1">
      <alignment horizontal="left" shrinkToFit="0" vertical="center" wrapText="1"/>
    </xf>
    <xf borderId="0" fillId="2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0</xdr:colOff>
      <xdr:row>0</xdr:row>
      <xdr:rowOff>0</xdr:rowOff>
    </xdr:from>
    <xdr:ext cx="561975" cy="4286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1266825</xdr:colOff>
      <xdr:row>0</xdr:row>
      <xdr:rowOff>47625</xdr:rowOff>
    </xdr:from>
    <xdr:ext cx="1419225" cy="4953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1295400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838200</xdr:colOff>
      <xdr:row>0</xdr:row>
      <xdr:rowOff>0</xdr:rowOff>
    </xdr:from>
    <xdr:ext cx="1295400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819150</xdr:colOff>
      <xdr:row>0</xdr:row>
      <xdr:rowOff>0</xdr:rowOff>
    </xdr:from>
    <xdr:ext cx="1295400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857250</xdr:colOff>
      <xdr:row>0</xdr:row>
      <xdr:rowOff>0</xdr:rowOff>
    </xdr:from>
    <xdr:ext cx="1266825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838200</xdr:colOff>
      <xdr:row>0</xdr:row>
      <xdr:rowOff>0</xdr:rowOff>
    </xdr:from>
    <xdr:ext cx="1295400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828675</xdr:colOff>
      <xdr:row>0</xdr:row>
      <xdr:rowOff>0</xdr:rowOff>
    </xdr:from>
    <xdr:ext cx="1295400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819150</xdr:colOff>
      <xdr:row>0</xdr:row>
      <xdr:rowOff>0</xdr:rowOff>
    </xdr:from>
    <xdr:ext cx="1295400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847725</xdr:colOff>
      <xdr:row>0</xdr:row>
      <xdr:rowOff>0</xdr:rowOff>
    </xdr:from>
    <xdr:ext cx="1295400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838200</xdr:colOff>
      <xdr:row>0</xdr:row>
      <xdr:rowOff>0</xdr:rowOff>
    </xdr:from>
    <xdr:ext cx="1295400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838200</xdr:colOff>
      <xdr:row>0</xdr:row>
      <xdr:rowOff>0</xdr:rowOff>
    </xdr:from>
    <xdr:ext cx="1295400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847725</xdr:colOff>
      <xdr:row>0</xdr:row>
      <xdr:rowOff>0</xdr:rowOff>
    </xdr:from>
    <xdr:ext cx="1295400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847725</xdr:colOff>
      <xdr:row>0</xdr:row>
      <xdr:rowOff>0</xdr:rowOff>
    </xdr:from>
    <xdr:ext cx="1295400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847725</xdr:colOff>
      <xdr:row>0</xdr:row>
      <xdr:rowOff>0</xdr:rowOff>
    </xdr:from>
    <xdr:ext cx="1295400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847725</xdr:colOff>
      <xdr:row>0</xdr:row>
      <xdr:rowOff>0</xdr:rowOff>
    </xdr:from>
    <xdr:ext cx="1295400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4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5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32.86"/>
    <col customWidth="1" min="3" max="3" width="13.29"/>
    <col customWidth="1" min="4" max="4" width="14.71"/>
    <col customWidth="1" min="5" max="5" width="13.71"/>
    <col customWidth="1" min="6" max="6" width="8.71"/>
    <col customWidth="1" min="7" max="7" width="22.29"/>
    <col customWidth="1" min="8" max="8" width="8.71"/>
    <col customWidth="1" min="9" max="9" width="16.43"/>
    <col customWidth="1" min="10" max="10" width="10.57"/>
    <col customWidth="1" min="11" max="11" width="18.71"/>
    <col customWidth="1" min="12" max="13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2"/>
      <c r="I3" s="4" t="s">
        <v>8</v>
      </c>
      <c r="J3" s="4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10</v>
      </c>
      <c r="B4" s="5" t="s">
        <v>11</v>
      </c>
      <c r="C4" s="5" t="s">
        <v>12</v>
      </c>
      <c r="D4" s="6">
        <v>29403.0</v>
      </c>
      <c r="E4" s="7">
        <f>D4/1.21</f>
        <v>24300</v>
      </c>
      <c r="F4" s="8"/>
      <c r="G4" s="8"/>
      <c r="H4" s="3"/>
      <c r="I4" s="9" t="s">
        <v>13</v>
      </c>
      <c r="J4" s="10">
        <v>45406.0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1" t="s">
        <v>14</v>
      </c>
      <c r="B5" s="11" t="s">
        <v>15</v>
      </c>
      <c r="C5" s="11" t="s">
        <v>12</v>
      </c>
      <c r="D5" s="12"/>
      <c r="E5" s="13">
        <v>31040.0</v>
      </c>
      <c r="F5" s="12"/>
      <c r="G5" s="12"/>
      <c r="H5" s="11"/>
      <c r="I5" s="14" t="s">
        <v>13</v>
      </c>
      <c r="J5" s="15">
        <v>45824.0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 t="s">
        <v>16</v>
      </c>
      <c r="B6" s="5" t="s">
        <v>17</v>
      </c>
      <c r="C6" s="5" t="s">
        <v>12</v>
      </c>
      <c r="D6" s="6">
        <v>58995.0</v>
      </c>
      <c r="E6" s="7">
        <f>D6/1.21</f>
        <v>48756.19835</v>
      </c>
      <c r="F6" s="8"/>
      <c r="G6" s="8"/>
      <c r="H6" s="3"/>
      <c r="I6" s="9" t="s">
        <v>13</v>
      </c>
      <c r="J6" s="10">
        <v>45406.0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1" t="s">
        <v>18</v>
      </c>
      <c r="B7" s="11" t="s">
        <v>19</v>
      </c>
      <c r="C7" s="11" t="s">
        <v>12</v>
      </c>
      <c r="D7" s="12"/>
      <c r="E7" s="13">
        <v>74566.0</v>
      </c>
      <c r="F7" s="12"/>
      <c r="G7" s="12"/>
      <c r="H7" s="11"/>
      <c r="I7" s="14" t="s">
        <v>13</v>
      </c>
      <c r="J7" s="15">
        <v>45824.0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1" t="s">
        <v>20</v>
      </c>
      <c r="B8" s="11" t="s">
        <v>21</v>
      </c>
      <c r="C8" s="11" t="s">
        <v>12</v>
      </c>
      <c r="D8" s="16">
        <v>60000.0</v>
      </c>
      <c r="E8" s="13">
        <f>D8/1.21</f>
        <v>49586.77686</v>
      </c>
      <c r="F8" s="12"/>
      <c r="G8" s="12"/>
      <c r="H8" s="11"/>
      <c r="I8" s="14" t="s">
        <v>13</v>
      </c>
      <c r="J8" s="15">
        <v>45777.0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11" t="s">
        <v>22</v>
      </c>
      <c r="B9" s="11" t="s">
        <v>23</v>
      </c>
      <c r="C9" s="11" t="s">
        <v>24</v>
      </c>
      <c r="D9" s="12"/>
      <c r="E9" s="13">
        <v>10675.0</v>
      </c>
      <c r="F9" s="12"/>
      <c r="G9" s="12"/>
      <c r="H9" s="11"/>
      <c r="I9" s="14" t="s">
        <v>13</v>
      </c>
      <c r="J9" s="15">
        <v>45824.0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11" t="s">
        <v>25</v>
      </c>
      <c r="B10" s="11" t="s">
        <v>26</v>
      </c>
      <c r="C10" s="11" t="s">
        <v>24</v>
      </c>
      <c r="D10" s="16">
        <v>6500.0</v>
      </c>
      <c r="E10" s="13">
        <f t="shared" ref="E10:E12" si="1">D10/1.21</f>
        <v>5371.900826</v>
      </c>
      <c r="F10" s="12"/>
      <c r="G10" s="12"/>
      <c r="H10" s="11"/>
      <c r="I10" s="14" t="s">
        <v>27</v>
      </c>
      <c r="J10" s="15">
        <v>45785.0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11" t="s">
        <v>28</v>
      </c>
      <c r="B11" s="11" t="s">
        <v>29</v>
      </c>
      <c r="C11" s="11" t="s">
        <v>24</v>
      </c>
      <c r="D11" s="16">
        <v>8500.0</v>
      </c>
      <c r="E11" s="13">
        <f t="shared" si="1"/>
        <v>7024.793388</v>
      </c>
      <c r="F11" s="12"/>
      <c r="G11" s="12"/>
      <c r="H11" s="11"/>
      <c r="I11" s="14" t="s">
        <v>27</v>
      </c>
      <c r="J11" s="15">
        <v>45785.0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11" t="s">
        <v>30</v>
      </c>
      <c r="B12" s="11" t="s">
        <v>31</v>
      </c>
      <c r="C12" s="11" t="s">
        <v>24</v>
      </c>
      <c r="D12" s="16">
        <v>45000.0</v>
      </c>
      <c r="E12" s="13">
        <f t="shared" si="1"/>
        <v>37190.08264</v>
      </c>
      <c r="F12" s="12"/>
      <c r="G12" s="12"/>
      <c r="H12" s="11"/>
      <c r="I12" s="14" t="s">
        <v>13</v>
      </c>
      <c r="J12" s="15">
        <v>45771.0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1" t="s">
        <v>32</v>
      </c>
      <c r="B13" s="11" t="s">
        <v>33</v>
      </c>
      <c r="C13" s="11" t="s">
        <v>24</v>
      </c>
      <c r="D13" s="12"/>
      <c r="E13" s="13">
        <v>1377.0</v>
      </c>
      <c r="F13" s="12"/>
      <c r="G13" s="12"/>
      <c r="H13" s="11"/>
      <c r="I13" s="14" t="s">
        <v>13</v>
      </c>
      <c r="J13" s="15">
        <v>45824.0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11" t="s">
        <v>34</v>
      </c>
      <c r="B14" s="11" t="s">
        <v>35</v>
      </c>
      <c r="C14" s="11" t="s">
        <v>24</v>
      </c>
      <c r="D14" s="12"/>
      <c r="E14" s="13">
        <v>1110.2</v>
      </c>
      <c r="F14" s="12"/>
      <c r="G14" s="12"/>
      <c r="H14" s="11"/>
      <c r="I14" s="14" t="s">
        <v>13</v>
      </c>
      <c r="J14" s="15">
        <v>45824.0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 t="s">
        <v>36</v>
      </c>
      <c r="B15" s="5" t="s">
        <v>37</v>
      </c>
      <c r="C15" s="5" t="s">
        <v>24</v>
      </c>
      <c r="D15" s="8"/>
      <c r="E15" s="7">
        <v>598.0</v>
      </c>
      <c r="F15" s="8"/>
      <c r="G15" s="8"/>
      <c r="H15" s="3"/>
      <c r="I15" s="9" t="s">
        <v>13</v>
      </c>
      <c r="J15" s="17">
        <v>45478.0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1" t="s">
        <v>38</v>
      </c>
      <c r="B16" s="11" t="s">
        <v>39</v>
      </c>
      <c r="C16" s="11" t="s">
        <v>24</v>
      </c>
      <c r="D16" s="12"/>
      <c r="E16" s="13">
        <v>726.0</v>
      </c>
      <c r="F16" s="12"/>
      <c r="G16" s="12"/>
      <c r="H16" s="11"/>
      <c r="I16" s="14" t="s">
        <v>13</v>
      </c>
      <c r="J16" s="15">
        <v>45824.0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1" t="s">
        <v>40</v>
      </c>
      <c r="B17" s="11" t="s">
        <v>41</v>
      </c>
      <c r="C17" s="11" t="s">
        <v>24</v>
      </c>
      <c r="D17" s="12"/>
      <c r="E17" s="13">
        <v>568.7</v>
      </c>
      <c r="F17" s="12"/>
      <c r="G17" s="12"/>
      <c r="H17" s="11"/>
      <c r="I17" s="14" t="s">
        <v>13</v>
      </c>
      <c r="J17" s="15">
        <v>45824.0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1" t="s">
        <v>42</v>
      </c>
      <c r="B18" s="11" t="s">
        <v>43</v>
      </c>
      <c r="C18" s="11" t="s">
        <v>24</v>
      </c>
      <c r="D18" s="12"/>
      <c r="E18" s="13">
        <v>190.61</v>
      </c>
      <c r="F18" s="12"/>
      <c r="G18" s="12"/>
      <c r="H18" s="11"/>
      <c r="I18" s="14" t="s">
        <v>13</v>
      </c>
      <c r="J18" s="15">
        <v>45824.0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1" t="s">
        <v>44</v>
      </c>
      <c r="B19" s="11" t="s">
        <v>45</v>
      </c>
      <c r="C19" s="11" t="s">
        <v>24</v>
      </c>
      <c r="D19" s="16">
        <v>240.0</v>
      </c>
      <c r="E19" s="13">
        <f>D19/1.21</f>
        <v>198.3471074</v>
      </c>
      <c r="F19" s="12"/>
      <c r="G19" s="12"/>
      <c r="H19" s="11"/>
      <c r="I19" s="14" t="s">
        <v>13</v>
      </c>
      <c r="J19" s="15">
        <v>45771.0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1" t="s">
        <v>46</v>
      </c>
      <c r="B20" s="11" t="s">
        <v>47</v>
      </c>
      <c r="C20" s="11" t="s">
        <v>48</v>
      </c>
      <c r="D20" s="12"/>
      <c r="E20" s="13">
        <v>37600.0</v>
      </c>
      <c r="F20" s="12"/>
      <c r="G20" s="12"/>
      <c r="H20" s="11"/>
      <c r="I20" s="14" t="s">
        <v>13</v>
      </c>
      <c r="J20" s="15">
        <v>45824.0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1" t="s">
        <v>49</v>
      </c>
      <c r="B21" s="11" t="s">
        <v>50</v>
      </c>
      <c r="C21" s="11" t="s">
        <v>48</v>
      </c>
      <c r="D21" s="12"/>
      <c r="E21" s="13">
        <v>22500.0</v>
      </c>
      <c r="F21" s="12"/>
      <c r="G21" s="12"/>
      <c r="H21" s="11"/>
      <c r="I21" s="14" t="s">
        <v>51</v>
      </c>
      <c r="J21" s="15">
        <v>45877.0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1" t="s">
        <v>52</v>
      </c>
      <c r="B22" s="11" t="s">
        <v>53</v>
      </c>
      <c r="C22" s="11"/>
      <c r="D22" s="12"/>
      <c r="E22" s="13">
        <v>41000.0</v>
      </c>
      <c r="F22" s="12"/>
      <c r="G22" s="12"/>
      <c r="H22" s="11"/>
      <c r="I22" s="14" t="s">
        <v>51</v>
      </c>
      <c r="J22" s="15">
        <v>45877.0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 t="s">
        <v>54</v>
      </c>
      <c r="B23" s="5" t="s">
        <v>55</v>
      </c>
      <c r="C23" s="5" t="s">
        <v>24</v>
      </c>
      <c r="D23" s="6">
        <v>13879.0</v>
      </c>
      <c r="E23" s="7">
        <f t="shared" ref="E23:E24" si="2">D23/1.21</f>
        <v>11470.24793</v>
      </c>
      <c r="F23" s="8"/>
      <c r="G23" s="8"/>
      <c r="H23" s="3"/>
      <c r="I23" s="9" t="s">
        <v>13</v>
      </c>
      <c r="J23" s="10">
        <v>45400.0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 t="s">
        <v>56</v>
      </c>
      <c r="B24" s="5" t="s">
        <v>57</v>
      </c>
      <c r="C24" s="5" t="s">
        <v>12</v>
      </c>
      <c r="D24" s="6">
        <v>19360.0</v>
      </c>
      <c r="E24" s="7">
        <f t="shared" si="2"/>
        <v>16000</v>
      </c>
      <c r="F24" s="8"/>
      <c r="G24" s="8"/>
      <c r="H24" s="3"/>
      <c r="I24" s="9" t="s">
        <v>13</v>
      </c>
      <c r="J24" s="10">
        <v>45412.0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 t="s">
        <v>58</v>
      </c>
      <c r="B25" s="5" t="s">
        <v>59</v>
      </c>
      <c r="C25" s="5" t="s">
        <v>12</v>
      </c>
      <c r="D25" s="8"/>
      <c r="E25" s="7">
        <v>30000.0</v>
      </c>
      <c r="F25" s="8"/>
      <c r="G25" s="8"/>
      <c r="H25" s="3"/>
      <c r="I25" s="9" t="s">
        <v>60</v>
      </c>
      <c r="J25" s="10">
        <v>45498.0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 t="s">
        <v>61</v>
      </c>
      <c r="B26" s="5" t="s">
        <v>59</v>
      </c>
      <c r="C26" s="5" t="s">
        <v>12</v>
      </c>
      <c r="D26" s="8"/>
      <c r="E26" s="7">
        <v>9500.0</v>
      </c>
      <c r="F26" s="8"/>
      <c r="G26" s="8"/>
      <c r="H26" s="3"/>
      <c r="I26" s="9" t="s">
        <v>60</v>
      </c>
      <c r="J26" s="10">
        <v>45498.0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11" t="s">
        <v>62</v>
      </c>
      <c r="B27" s="11" t="s">
        <v>63</v>
      </c>
      <c r="C27" s="11" t="s">
        <v>12</v>
      </c>
      <c r="D27" s="12"/>
      <c r="E27" s="13">
        <v>33275.0</v>
      </c>
      <c r="F27" s="12"/>
      <c r="G27" s="12"/>
      <c r="H27" s="11"/>
      <c r="I27" s="14" t="s">
        <v>13</v>
      </c>
      <c r="J27" s="15">
        <v>45824.0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 t="s">
        <v>64</v>
      </c>
      <c r="B28" s="5" t="s">
        <v>65</v>
      </c>
      <c r="C28" s="5" t="s">
        <v>66</v>
      </c>
      <c r="D28" s="8"/>
      <c r="E28" s="7">
        <v>3739.67</v>
      </c>
      <c r="F28" s="8"/>
      <c r="G28" s="8"/>
      <c r="H28" s="3"/>
      <c r="I28" s="9" t="s">
        <v>67</v>
      </c>
      <c r="J28" s="10">
        <v>45496.0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 t="s">
        <v>68</v>
      </c>
      <c r="B29" s="5" t="s">
        <v>69</v>
      </c>
      <c r="C29" s="5" t="s">
        <v>66</v>
      </c>
      <c r="D29" s="8"/>
      <c r="E29" s="7">
        <v>3739.67</v>
      </c>
      <c r="F29" s="8"/>
      <c r="G29" s="8"/>
      <c r="H29" s="3"/>
      <c r="I29" s="9" t="s">
        <v>67</v>
      </c>
      <c r="J29" s="10">
        <v>45496.0</v>
      </c>
      <c r="K29" s="3"/>
      <c r="L29" s="3"/>
      <c r="M29" s="3"/>
      <c r="N29" s="8"/>
      <c r="O29" s="8"/>
      <c r="P29" s="8"/>
      <c r="Q29" s="8"/>
      <c r="R29" s="3"/>
      <c r="S29" s="3"/>
      <c r="T29" s="18"/>
      <c r="U29" s="3"/>
      <c r="V29" s="3"/>
      <c r="W29" s="3"/>
      <c r="X29" s="3"/>
      <c r="Y29" s="3"/>
      <c r="Z29" s="3"/>
    </row>
    <row r="30" ht="14.25" customHeight="1">
      <c r="A30" s="3" t="s">
        <v>70</v>
      </c>
      <c r="B30" s="5" t="s">
        <v>71</v>
      </c>
      <c r="C30" s="5" t="s">
        <v>66</v>
      </c>
      <c r="D30" s="8"/>
      <c r="E30" s="7">
        <v>4326.45</v>
      </c>
      <c r="F30" s="8"/>
      <c r="G30" s="8"/>
      <c r="H30" s="3"/>
      <c r="I30" s="9" t="s">
        <v>67</v>
      </c>
      <c r="J30" s="10">
        <v>45496.0</v>
      </c>
      <c r="K30" s="3"/>
      <c r="L30" s="3"/>
      <c r="M30" s="8"/>
      <c r="N30" s="8"/>
      <c r="O30" s="8"/>
      <c r="P30" s="8"/>
      <c r="Q30" s="8"/>
      <c r="R30" s="3"/>
      <c r="S30" s="18"/>
      <c r="T30" s="18"/>
      <c r="U30" s="3"/>
      <c r="V30" s="3"/>
      <c r="W30" s="3"/>
      <c r="X30" s="3"/>
      <c r="Y30" s="3"/>
      <c r="Z30" s="3"/>
    </row>
    <row r="31" ht="14.25" customHeight="1">
      <c r="A31" s="3" t="s">
        <v>72</v>
      </c>
      <c r="B31" s="5" t="s">
        <v>73</v>
      </c>
      <c r="C31" s="5" t="s">
        <v>12</v>
      </c>
      <c r="D31" s="6">
        <v>16500.0</v>
      </c>
      <c r="E31" s="7">
        <f>D31/1.21</f>
        <v>13636.36364</v>
      </c>
      <c r="F31" s="8"/>
      <c r="G31" s="8"/>
      <c r="H31" s="3"/>
      <c r="I31" s="9" t="s">
        <v>13</v>
      </c>
      <c r="J31" s="10">
        <v>45412.0</v>
      </c>
      <c r="K31" s="3"/>
      <c r="L31" s="3"/>
      <c r="M31" s="8"/>
      <c r="N31" s="8"/>
      <c r="O31" s="8"/>
      <c r="P31" s="8"/>
      <c r="Q31" s="3"/>
      <c r="R31" s="3"/>
      <c r="S31" s="18"/>
      <c r="T31" s="3"/>
      <c r="U31" s="3"/>
      <c r="V31" s="3"/>
      <c r="W31" s="3"/>
      <c r="X31" s="3"/>
      <c r="Y31" s="3"/>
      <c r="Z31" s="3"/>
    </row>
    <row r="32" ht="14.25" customHeight="1">
      <c r="A32" s="11" t="s">
        <v>74</v>
      </c>
      <c r="B32" s="11" t="s">
        <v>75</v>
      </c>
      <c r="C32" s="11"/>
      <c r="D32" s="12"/>
      <c r="E32" s="13">
        <v>20000.0</v>
      </c>
      <c r="F32" s="12"/>
      <c r="G32" s="12"/>
      <c r="H32" s="11"/>
      <c r="I32" s="14" t="s">
        <v>27</v>
      </c>
      <c r="J32" s="15">
        <v>45783.0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 t="s">
        <v>76</v>
      </c>
      <c r="B33" s="5" t="s">
        <v>77</v>
      </c>
      <c r="C33" s="5" t="s">
        <v>24</v>
      </c>
      <c r="D33" s="8"/>
      <c r="E33" s="7">
        <v>120000.0</v>
      </c>
      <c r="F33" s="8"/>
      <c r="G33" s="8"/>
      <c r="H33" s="3"/>
      <c r="I33" s="3"/>
      <c r="J33" s="18"/>
      <c r="K33" s="3"/>
      <c r="L33" s="3"/>
      <c r="M33" s="3"/>
      <c r="N33" s="8"/>
      <c r="O33" s="8"/>
      <c r="P33" s="8"/>
      <c r="Q33" s="8"/>
      <c r="R33" s="3"/>
      <c r="S33" s="3"/>
      <c r="T33" s="18"/>
      <c r="U33" s="3"/>
      <c r="V33" s="3"/>
      <c r="W33" s="3"/>
      <c r="X33" s="3"/>
      <c r="Y33" s="3"/>
      <c r="Z33" s="3"/>
    </row>
    <row r="34" ht="14.25" customHeight="1">
      <c r="A34" s="3" t="s">
        <v>78</v>
      </c>
      <c r="B34" s="5" t="s">
        <v>79</v>
      </c>
      <c r="C34" s="5" t="s">
        <v>24</v>
      </c>
      <c r="D34" s="8"/>
      <c r="E34" s="7">
        <v>40000.0</v>
      </c>
      <c r="F34" s="8"/>
      <c r="G34" s="8"/>
      <c r="H34" s="3"/>
      <c r="I34" s="3"/>
      <c r="J34" s="18"/>
      <c r="K34" s="3"/>
      <c r="L34" s="3"/>
      <c r="M34" s="3"/>
      <c r="N34" s="8"/>
      <c r="O34" s="8"/>
      <c r="P34" s="8"/>
      <c r="Q34" s="8"/>
      <c r="R34" s="3"/>
      <c r="S34" s="3"/>
      <c r="T34" s="18"/>
      <c r="U34" s="3"/>
      <c r="V34" s="3"/>
      <c r="W34" s="3"/>
      <c r="X34" s="3"/>
      <c r="Y34" s="3"/>
      <c r="Z34" s="3"/>
    </row>
    <row r="35" ht="14.25" customHeight="1">
      <c r="A35" s="11" t="s">
        <v>80</v>
      </c>
      <c r="B35" s="11" t="s">
        <v>81</v>
      </c>
      <c r="C35" s="11" t="s">
        <v>24</v>
      </c>
      <c r="D35" s="12"/>
      <c r="E35" s="13">
        <v>34000.0</v>
      </c>
      <c r="F35" s="12"/>
      <c r="G35" s="12"/>
      <c r="H35" s="11"/>
      <c r="I35" s="14" t="s">
        <v>27</v>
      </c>
      <c r="J35" s="15">
        <v>45817.0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11" t="s">
        <v>82</v>
      </c>
      <c r="B36" s="11" t="s">
        <v>83</v>
      </c>
      <c r="C36" s="11" t="s">
        <v>24</v>
      </c>
      <c r="D36" s="12"/>
      <c r="E36" s="13">
        <v>30111.0</v>
      </c>
      <c r="F36" s="12"/>
      <c r="G36" s="12"/>
      <c r="H36" s="11"/>
      <c r="I36" s="14" t="s">
        <v>13</v>
      </c>
      <c r="J36" s="15">
        <v>45824.0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11" t="s">
        <v>84</v>
      </c>
      <c r="B37" s="11" t="s">
        <v>85</v>
      </c>
      <c r="C37" s="11" t="s">
        <v>24</v>
      </c>
      <c r="D37" s="12"/>
      <c r="E37" s="13">
        <v>36603.12</v>
      </c>
      <c r="F37" s="12"/>
      <c r="G37" s="12"/>
      <c r="H37" s="11"/>
      <c r="I37" s="14" t="s">
        <v>13</v>
      </c>
      <c r="J37" s="15">
        <v>45824.0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11" t="s">
        <v>86</v>
      </c>
      <c r="B38" s="11" t="s">
        <v>87</v>
      </c>
      <c r="C38" s="11" t="s">
        <v>24</v>
      </c>
      <c r="D38" s="16">
        <f>E38*1.21</f>
        <v>21780</v>
      </c>
      <c r="E38" s="13">
        <v>18000.0</v>
      </c>
      <c r="F38" s="12"/>
      <c r="G38" s="12"/>
      <c r="H38" s="11"/>
      <c r="I38" s="14" t="s">
        <v>88</v>
      </c>
      <c r="J38" s="15">
        <v>45776.0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11" t="s">
        <v>89</v>
      </c>
      <c r="B39" s="11" t="s">
        <v>90</v>
      </c>
      <c r="C39" s="11" t="s">
        <v>24</v>
      </c>
      <c r="D39" s="12"/>
      <c r="E39" s="13">
        <v>13000.0</v>
      </c>
      <c r="F39" s="12"/>
      <c r="G39" s="12"/>
      <c r="H39" s="11"/>
      <c r="I39" s="11"/>
      <c r="J39" s="19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11" t="s">
        <v>91</v>
      </c>
      <c r="B40" s="11" t="s">
        <v>92</v>
      </c>
      <c r="C40" s="11" t="s">
        <v>24</v>
      </c>
      <c r="D40" s="12"/>
      <c r="E40" s="13">
        <v>5000.0</v>
      </c>
      <c r="F40" s="12"/>
      <c r="G40" s="12"/>
      <c r="H40" s="11"/>
      <c r="I40" s="11"/>
      <c r="J40" s="19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1" t="s">
        <v>93</v>
      </c>
      <c r="B41" s="11" t="s">
        <v>94</v>
      </c>
      <c r="C41" s="11" t="s">
        <v>24</v>
      </c>
      <c r="D41" s="12"/>
      <c r="E41" s="13">
        <v>60000.0</v>
      </c>
      <c r="F41" s="12"/>
      <c r="G41" s="12"/>
      <c r="H41" s="11"/>
      <c r="I41" s="14" t="s">
        <v>27</v>
      </c>
      <c r="J41" s="15">
        <v>45824.0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5"/>
      <c r="C42" s="5"/>
      <c r="D42" s="8"/>
      <c r="E42" s="8"/>
      <c r="F42" s="8"/>
      <c r="G42" s="8"/>
      <c r="H42" s="3"/>
      <c r="I42" s="3"/>
      <c r="J42" s="18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8"/>
      <c r="E43" s="8"/>
      <c r="F43" s="8"/>
      <c r="G43" s="8"/>
      <c r="H43" s="3"/>
      <c r="I43" s="3"/>
      <c r="J43" s="18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8"/>
      <c r="E44" s="8"/>
      <c r="F44" s="8"/>
      <c r="G44" s="8"/>
      <c r="H44" s="3"/>
      <c r="I44" s="3"/>
      <c r="J44" s="18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4" t="s">
        <v>1</v>
      </c>
      <c r="B45" s="4" t="s">
        <v>95</v>
      </c>
      <c r="C45" s="2"/>
      <c r="D45" s="20" t="s">
        <v>4</v>
      </c>
      <c r="E45" s="20" t="s">
        <v>5</v>
      </c>
      <c r="F45" s="21"/>
      <c r="G45" s="21"/>
      <c r="H45" s="2"/>
      <c r="I45" s="4" t="s">
        <v>8</v>
      </c>
      <c r="J45" s="22" t="s">
        <v>9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5" t="s">
        <v>96</v>
      </c>
      <c r="B46" s="5" t="s">
        <v>97</v>
      </c>
      <c r="C46" s="5" t="s">
        <v>24</v>
      </c>
      <c r="D46" s="6">
        <v>23200.0</v>
      </c>
      <c r="E46" s="7">
        <f t="shared" ref="E46:E50" si="3">D46/1.21</f>
        <v>19173.55372</v>
      </c>
      <c r="F46" s="8"/>
      <c r="G46" s="8"/>
      <c r="H46" s="3"/>
      <c r="I46" s="9" t="s">
        <v>98</v>
      </c>
      <c r="J46" s="10">
        <v>45399.0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5" t="s">
        <v>99</v>
      </c>
      <c r="B47" s="5" t="s">
        <v>100</v>
      </c>
      <c r="C47" s="5" t="s">
        <v>24</v>
      </c>
      <c r="D47" s="6">
        <v>36200.0</v>
      </c>
      <c r="E47" s="7">
        <f t="shared" si="3"/>
        <v>29917.35537</v>
      </c>
      <c r="F47" s="8"/>
      <c r="G47" s="8"/>
      <c r="H47" s="3"/>
      <c r="I47" s="9" t="s">
        <v>98</v>
      </c>
      <c r="J47" s="10">
        <v>45399.0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5" t="s">
        <v>101</v>
      </c>
      <c r="B48" s="5" t="s">
        <v>102</v>
      </c>
      <c r="C48" s="5" t="s">
        <v>24</v>
      </c>
      <c r="D48" s="6">
        <v>41900.0</v>
      </c>
      <c r="E48" s="7">
        <f t="shared" si="3"/>
        <v>34628.09917</v>
      </c>
      <c r="F48" s="8"/>
      <c r="G48" s="8"/>
      <c r="H48" s="3"/>
      <c r="I48" s="9" t="s">
        <v>98</v>
      </c>
      <c r="J48" s="10">
        <v>45399.0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5" t="s">
        <v>103</v>
      </c>
      <c r="B49" s="5" t="s">
        <v>104</v>
      </c>
      <c r="C49" s="5" t="s">
        <v>24</v>
      </c>
      <c r="D49" s="6">
        <v>22600.0</v>
      </c>
      <c r="E49" s="7">
        <f t="shared" si="3"/>
        <v>18677.68595</v>
      </c>
      <c r="F49" s="8"/>
      <c r="G49" s="8"/>
      <c r="H49" s="3"/>
      <c r="I49" s="9" t="s">
        <v>98</v>
      </c>
      <c r="J49" s="10">
        <v>45399.0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5" t="s">
        <v>105</v>
      </c>
      <c r="B50" s="5" t="s">
        <v>106</v>
      </c>
      <c r="C50" s="5" t="s">
        <v>24</v>
      </c>
      <c r="D50" s="6">
        <v>35800.0</v>
      </c>
      <c r="E50" s="7">
        <f t="shared" si="3"/>
        <v>29586.77686</v>
      </c>
      <c r="F50" s="8"/>
      <c r="G50" s="8"/>
      <c r="H50" s="3"/>
      <c r="I50" s="9" t="s">
        <v>98</v>
      </c>
      <c r="J50" s="10">
        <v>45399.0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11" t="s">
        <v>101</v>
      </c>
      <c r="B51" s="11" t="s">
        <v>107</v>
      </c>
      <c r="C51" s="11" t="s">
        <v>24</v>
      </c>
      <c r="D51" s="16">
        <v>36600.0</v>
      </c>
      <c r="E51" s="13">
        <v>37608.0</v>
      </c>
      <c r="F51" s="12"/>
      <c r="G51" s="12"/>
      <c r="H51" s="11"/>
      <c r="I51" s="14" t="s">
        <v>13</v>
      </c>
      <c r="J51" s="15">
        <v>45824.0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11" t="s">
        <v>108</v>
      </c>
      <c r="B52" s="11" t="s">
        <v>109</v>
      </c>
      <c r="C52" s="11" t="s">
        <v>24</v>
      </c>
      <c r="D52" s="12"/>
      <c r="E52" s="12"/>
      <c r="F52" s="12"/>
      <c r="G52" s="12"/>
      <c r="H52" s="11"/>
      <c r="I52" s="11"/>
      <c r="J52" s="15">
        <v>45798.0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1" t="s">
        <v>110</v>
      </c>
      <c r="B53" s="11" t="s">
        <v>111</v>
      </c>
      <c r="C53" s="11" t="s">
        <v>24</v>
      </c>
      <c r="D53" s="12"/>
      <c r="E53" s="12"/>
      <c r="F53" s="12"/>
      <c r="G53" s="12"/>
      <c r="H53" s="11"/>
      <c r="I53" s="11"/>
      <c r="J53" s="15">
        <v>45798.0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11" t="s">
        <v>112</v>
      </c>
      <c r="B54" s="11" t="s">
        <v>113</v>
      </c>
      <c r="C54" s="11" t="s">
        <v>24</v>
      </c>
      <c r="D54" s="12"/>
      <c r="E54" s="12"/>
      <c r="F54" s="12"/>
      <c r="G54" s="12"/>
      <c r="H54" s="11"/>
      <c r="I54" s="14" t="s">
        <v>13</v>
      </c>
      <c r="J54" s="15">
        <v>45768.0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1" t="s">
        <v>114</v>
      </c>
      <c r="B55" s="11" t="s">
        <v>115</v>
      </c>
      <c r="C55" s="11" t="s">
        <v>24</v>
      </c>
      <c r="D55" s="12"/>
      <c r="E55" s="13">
        <v>5250.0</v>
      </c>
      <c r="F55" s="12"/>
      <c r="G55" s="12"/>
      <c r="H55" s="11"/>
      <c r="I55" s="14" t="s">
        <v>13</v>
      </c>
      <c r="J55" s="15">
        <v>45824.0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11" t="s">
        <v>116</v>
      </c>
      <c r="B56" s="11" t="s">
        <v>117</v>
      </c>
      <c r="C56" s="11" t="s">
        <v>24</v>
      </c>
      <c r="D56" s="12"/>
      <c r="E56" s="13">
        <v>9050.0</v>
      </c>
      <c r="F56" s="12"/>
      <c r="G56" s="12"/>
      <c r="H56" s="11"/>
      <c r="I56" s="14" t="s">
        <v>13</v>
      </c>
      <c r="J56" s="15">
        <v>45824.0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11" t="s">
        <v>118</v>
      </c>
      <c r="B57" s="11" t="s">
        <v>119</v>
      </c>
      <c r="C57" s="11" t="s">
        <v>24</v>
      </c>
      <c r="D57" s="16">
        <v>12100.0</v>
      </c>
      <c r="E57" s="13">
        <f>D57/1.21</f>
        <v>10000</v>
      </c>
      <c r="F57" s="12"/>
      <c r="G57" s="12"/>
      <c r="H57" s="11"/>
      <c r="I57" s="14" t="s">
        <v>13</v>
      </c>
      <c r="J57" s="15">
        <v>45767.0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11" t="s">
        <v>120</v>
      </c>
      <c r="B58" s="11" t="s">
        <v>121</v>
      </c>
      <c r="C58" s="11" t="s">
        <v>24</v>
      </c>
      <c r="D58" s="12"/>
      <c r="E58" s="13">
        <v>20442.5</v>
      </c>
      <c r="F58" s="12"/>
      <c r="G58" s="12"/>
      <c r="H58" s="11"/>
      <c r="I58" s="14" t="s">
        <v>13</v>
      </c>
      <c r="J58" s="15">
        <v>45824.0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11" t="s">
        <v>122</v>
      </c>
      <c r="B59" s="11" t="s">
        <v>123</v>
      </c>
      <c r="C59" s="11" t="s">
        <v>24</v>
      </c>
      <c r="D59" s="12"/>
      <c r="E59" s="13">
        <v>36603.12</v>
      </c>
      <c r="F59" s="12"/>
      <c r="G59" s="12"/>
      <c r="H59" s="11"/>
      <c r="I59" s="14" t="s">
        <v>13</v>
      </c>
      <c r="J59" s="15">
        <v>45824.0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5" t="s">
        <v>124</v>
      </c>
      <c r="B60" s="5" t="s">
        <v>125</v>
      </c>
      <c r="C60" s="5" t="s">
        <v>24</v>
      </c>
      <c r="D60" s="6">
        <v>48744.82</v>
      </c>
      <c r="E60" s="7">
        <f t="shared" ref="E60:E61" si="4">D60/1.21</f>
        <v>40284.97521</v>
      </c>
      <c r="F60" s="8"/>
      <c r="G60" s="8"/>
      <c r="H60" s="3"/>
      <c r="I60" s="9" t="s">
        <v>98</v>
      </c>
      <c r="J60" s="10">
        <v>45399.0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5" t="s">
        <v>126</v>
      </c>
      <c r="B61" s="5" t="s">
        <v>127</v>
      </c>
      <c r="C61" s="5" t="s">
        <v>24</v>
      </c>
      <c r="D61" s="6">
        <v>83198.48</v>
      </c>
      <c r="E61" s="7">
        <f t="shared" si="4"/>
        <v>68759.07438</v>
      </c>
      <c r="F61" s="8"/>
      <c r="G61" s="8"/>
      <c r="H61" s="3"/>
      <c r="I61" s="9" t="s">
        <v>98</v>
      </c>
      <c r="J61" s="10">
        <v>45399.0</v>
      </c>
      <c r="K61" s="2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5" t="s">
        <v>128</v>
      </c>
      <c r="B62" s="5" t="s">
        <v>129</v>
      </c>
      <c r="C62" s="5" t="s">
        <v>66</v>
      </c>
      <c r="D62" s="8"/>
      <c r="E62" s="7">
        <v>1347.48</v>
      </c>
      <c r="F62" s="8"/>
      <c r="G62" s="8"/>
      <c r="H62" s="3"/>
      <c r="I62" s="9" t="s">
        <v>98</v>
      </c>
      <c r="J62" s="10">
        <v>45399.0</v>
      </c>
      <c r="K62" s="2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5" t="s">
        <v>130</v>
      </c>
      <c r="B63" s="5" t="s">
        <v>131</v>
      </c>
      <c r="C63" s="5" t="s">
        <v>66</v>
      </c>
      <c r="D63" s="8"/>
      <c r="E63" s="7">
        <v>1310.31</v>
      </c>
      <c r="F63" s="8"/>
      <c r="G63" s="8"/>
      <c r="H63" s="3"/>
      <c r="I63" s="9" t="s">
        <v>98</v>
      </c>
      <c r="J63" s="10">
        <v>45399.0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5" t="s">
        <v>132</v>
      </c>
      <c r="B64" s="5" t="s">
        <v>133</v>
      </c>
      <c r="C64" s="5" t="s">
        <v>66</v>
      </c>
      <c r="D64" s="8"/>
      <c r="E64" s="7">
        <v>1310.31</v>
      </c>
      <c r="F64" s="8"/>
      <c r="G64" s="8"/>
      <c r="H64" s="3"/>
      <c r="I64" s="9" t="s">
        <v>98</v>
      </c>
      <c r="J64" s="10">
        <v>45399.0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5" t="s">
        <v>134</v>
      </c>
      <c r="B65" s="5" t="s">
        <v>135</v>
      </c>
      <c r="C65" s="5" t="s">
        <v>66</v>
      </c>
      <c r="D65" s="8"/>
      <c r="E65" s="7">
        <v>1301.01</v>
      </c>
      <c r="F65" s="8"/>
      <c r="G65" s="8"/>
      <c r="H65" s="3"/>
      <c r="I65" s="9" t="s">
        <v>98</v>
      </c>
      <c r="J65" s="10">
        <v>45399.0</v>
      </c>
      <c r="K65" s="2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5" t="s">
        <v>136</v>
      </c>
      <c r="B66" s="5" t="s">
        <v>137</v>
      </c>
      <c r="C66" s="5" t="s">
        <v>66</v>
      </c>
      <c r="D66" s="8"/>
      <c r="E66" s="7">
        <v>1263.84</v>
      </c>
      <c r="F66" s="8"/>
      <c r="G66" s="8"/>
      <c r="H66" s="3"/>
      <c r="I66" s="9" t="s">
        <v>98</v>
      </c>
      <c r="J66" s="10">
        <v>45399.0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5" t="s">
        <v>138</v>
      </c>
      <c r="B67" s="5" t="s">
        <v>139</v>
      </c>
      <c r="C67" s="5" t="s">
        <v>66</v>
      </c>
      <c r="D67" s="8"/>
      <c r="E67" s="7">
        <v>1263.84</v>
      </c>
      <c r="F67" s="8"/>
      <c r="G67" s="8"/>
      <c r="H67" s="3"/>
      <c r="I67" s="9" t="s">
        <v>98</v>
      </c>
      <c r="J67" s="10">
        <v>45399.0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5" t="s">
        <v>140</v>
      </c>
      <c r="B68" s="5" t="s">
        <v>141</v>
      </c>
      <c r="C68" s="5" t="s">
        <v>66</v>
      </c>
      <c r="D68" s="8"/>
      <c r="E68" s="7">
        <v>1263.84</v>
      </c>
      <c r="F68" s="8"/>
      <c r="G68" s="8"/>
      <c r="H68" s="3"/>
      <c r="I68" s="9" t="s">
        <v>98</v>
      </c>
      <c r="J68" s="10">
        <v>45399.0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5" t="s">
        <v>128</v>
      </c>
      <c r="B69" s="5" t="s">
        <v>129</v>
      </c>
      <c r="C69" s="5" t="s">
        <v>66</v>
      </c>
      <c r="D69" s="8"/>
      <c r="E69" s="7">
        <v>1455.0</v>
      </c>
      <c r="F69" s="8"/>
      <c r="G69" s="8"/>
      <c r="H69" s="3"/>
      <c r="I69" s="9" t="s">
        <v>142</v>
      </c>
      <c r="J69" s="10">
        <v>45407.0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5" t="s">
        <v>130</v>
      </c>
      <c r="B70" s="5" t="s">
        <v>131</v>
      </c>
      <c r="C70" s="5" t="s">
        <v>66</v>
      </c>
      <c r="D70" s="8"/>
      <c r="E70" s="7">
        <v>1374.0</v>
      </c>
      <c r="F70" s="8"/>
      <c r="G70" s="8"/>
      <c r="H70" s="3"/>
      <c r="I70" s="9" t="s">
        <v>142</v>
      </c>
      <c r="J70" s="10">
        <v>45407.0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5" t="s">
        <v>132</v>
      </c>
      <c r="B71" s="5" t="s">
        <v>133</v>
      </c>
      <c r="C71" s="5" t="s">
        <v>66</v>
      </c>
      <c r="D71" s="8"/>
      <c r="E71" s="7">
        <v>1374.0</v>
      </c>
      <c r="F71" s="8"/>
      <c r="G71" s="8"/>
      <c r="H71" s="3"/>
      <c r="I71" s="9" t="s">
        <v>142</v>
      </c>
      <c r="J71" s="10">
        <v>45407.0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5" t="s">
        <v>134</v>
      </c>
      <c r="B72" s="5" t="s">
        <v>135</v>
      </c>
      <c r="C72" s="5" t="s">
        <v>66</v>
      </c>
      <c r="D72" s="8"/>
      <c r="E72" s="7">
        <v>1374.0</v>
      </c>
      <c r="F72" s="8"/>
      <c r="G72" s="8"/>
      <c r="H72" s="3"/>
      <c r="I72" s="9" t="s">
        <v>142</v>
      </c>
      <c r="J72" s="10">
        <v>45407.0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5" t="s">
        <v>136</v>
      </c>
      <c r="B73" s="5" t="s">
        <v>137</v>
      </c>
      <c r="C73" s="5" t="s">
        <v>66</v>
      </c>
      <c r="D73" s="8"/>
      <c r="E73" s="7">
        <v>1322.0</v>
      </c>
      <c r="F73" s="8"/>
      <c r="G73" s="8"/>
      <c r="H73" s="3"/>
      <c r="I73" s="9" t="s">
        <v>142</v>
      </c>
      <c r="J73" s="10">
        <v>45407.0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5" t="s">
        <v>138</v>
      </c>
      <c r="B74" s="5" t="s">
        <v>139</v>
      </c>
      <c r="C74" s="5" t="s">
        <v>66</v>
      </c>
      <c r="D74" s="8"/>
      <c r="E74" s="7">
        <v>1322.0</v>
      </c>
      <c r="F74" s="8"/>
      <c r="G74" s="8"/>
      <c r="H74" s="3"/>
      <c r="I74" s="9" t="s">
        <v>142</v>
      </c>
      <c r="J74" s="10">
        <v>45407.0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5" t="s">
        <v>140</v>
      </c>
      <c r="B75" s="5" t="s">
        <v>141</v>
      </c>
      <c r="C75" s="5" t="s">
        <v>66</v>
      </c>
      <c r="D75" s="8"/>
      <c r="E75" s="7">
        <v>1322.0</v>
      </c>
      <c r="F75" s="8"/>
      <c r="G75" s="8"/>
      <c r="H75" s="3"/>
      <c r="I75" s="9" t="s">
        <v>142</v>
      </c>
      <c r="J75" s="10">
        <v>45407.0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5" t="s">
        <v>143</v>
      </c>
      <c r="B76" s="5" t="s">
        <v>144</v>
      </c>
      <c r="C76" s="5" t="s">
        <v>145</v>
      </c>
      <c r="D76" s="8"/>
      <c r="E76" s="7">
        <v>20410.0</v>
      </c>
      <c r="F76" s="8"/>
      <c r="G76" s="8"/>
      <c r="H76" s="3"/>
      <c r="I76" s="9" t="s">
        <v>142</v>
      </c>
      <c r="J76" s="10">
        <v>45407.0</v>
      </c>
      <c r="K76" s="2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24" t="s">
        <v>24</v>
      </c>
      <c r="D77" s="25"/>
      <c r="E77" s="8"/>
      <c r="F77" s="8"/>
      <c r="G77" s="8"/>
      <c r="H77" s="3"/>
      <c r="I77" s="3"/>
      <c r="J77" s="18"/>
      <c r="K77" s="3" t="s">
        <v>146</v>
      </c>
      <c r="L77" s="3" t="s">
        <v>147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8"/>
      <c r="E78" s="8"/>
      <c r="F78" s="8"/>
      <c r="G78" s="8"/>
      <c r="H78" s="3"/>
      <c r="I78" s="3"/>
      <c r="J78" s="18"/>
      <c r="K78" s="26">
        <v>398.0</v>
      </c>
      <c r="L78" s="27">
        <v>940.0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4" t="s">
        <v>1</v>
      </c>
      <c r="B79" s="4" t="s">
        <v>148</v>
      </c>
      <c r="C79" s="2"/>
      <c r="D79" s="20" t="s">
        <v>4</v>
      </c>
      <c r="E79" s="20" t="s">
        <v>5</v>
      </c>
      <c r="F79" s="21"/>
      <c r="G79" s="21"/>
      <c r="H79" s="2"/>
      <c r="I79" s="4" t="s">
        <v>8</v>
      </c>
      <c r="J79" s="22" t="s">
        <v>9</v>
      </c>
      <c r="K79" s="28">
        <v>317.0</v>
      </c>
      <c r="L79" s="27">
        <v>940.0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11" t="s">
        <v>149</v>
      </c>
      <c r="B80" s="11" t="s">
        <v>150</v>
      </c>
      <c r="C80" s="11" t="s">
        <v>24</v>
      </c>
      <c r="D80" s="12"/>
      <c r="E80" s="13">
        <v>200000.0</v>
      </c>
      <c r="F80" s="12"/>
      <c r="G80" s="12"/>
      <c r="H80" s="11"/>
      <c r="I80" s="14" t="s">
        <v>27</v>
      </c>
      <c r="J80" s="15">
        <v>45797.0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11" t="s">
        <v>151</v>
      </c>
      <c r="B81" s="11" t="s">
        <v>152</v>
      </c>
      <c r="C81" s="11" t="s">
        <v>24</v>
      </c>
      <c r="D81" s="12"/>
      <c r="E81" s="13">
        <v>600000.0</v>
      </c>
      <c r="F81" s="12"/>
      <c r="G81" s="12"/>
      <c r="H81" s="11"/>
      <c r="I81" s="14" t="s">
        <v>27</v>
      </c>
      <c r="J81" s="15">
        <v>45799.0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11" t="s">
        <v>153</v>
      </c>
      <c r="B82" s="11" t="s">
        <v>154</v>
      </c>
      <c r="C82" s="11" t="s">
        <v>24</v>
      </c>
      <c r="D82" s="12"/>
      <c r="E82" s="13">
        <v>1000000.0</v>
      </c>
      <c r="F82" s="12"/>
      <c r="G82" s="12"/>
      <c r="H82" s="11"/>
      <c r="I82" s="14" t="s">
        <v>27</v>
      </c>
      <c r="J82" s="15">
        <v>45797.0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11" t="s">
        <v>155</v>
      </c>
      <c r="B83" s="11" t="s">
        <v>156</v>
      </c>
      <c r="C83" s="11" t="s">
        <v>24</v>
      </c>
      <c r="D83" s="12"/>
      <c r="E83" s="13">
        <v>12000.0</v>
      </c>
      <c r="F83" s="12"/>
      <c r="G83" s="12"/>
      <c r="H83" s="11"/>
      <c r="I83" s="14" t="s">
        <v>27</v>
      </c>
      <c r="J83" s="15">
        <v>45797.0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11" t="s">
        <v>157</v>
      </c>
      <c r="B84" s="11" t="s">
        <v>158</v>
      </c>
      <c r="C84" s="11" t="s">
        <v>24</v>
      </c>
      <c r="D84" s="12"/>
      <c r="E84" s="13">
        <v>150000.0</v>
      </c>
      <c r="F84" s="12"/>
      <c r="G84" s="12"/>
      <c r="H84" s="11"/>
      <c r="I84" s="14" t="s">
        <v>27</v>
      </c>
      <c r="J84" s="15">
        <v>45797.0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11" t="s">
        <v>159</v>
      </c>
      <c r="B85" s="11" t="s">
        <v>160</v>
      </c>
      <c r="C85" s="11" t="s">
        <v>24</v>
      </c>
      <c r="D85" s="12"/>
      <c r="E85" s="13">
        <v>300000.0</v>
      </c>
      <c r="F85" s="12"/>
      <c r="G85" s="12"/>
      <c r="H85" s="11"/>
      <c r="I85" s="14" t="s">
        <v>27</v>
      </c>
      <c r="J85" s="15">
        <v>45797.0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11" t="s">
        <v>161</v>
      </c>
      <c r="B86" s="11" t="s">
        <v>162</v>
      </c>
      <c r="C86" s="11" t="s">
        <v>24</v>
      </c>
      <c r="D86" s="12"/>
      <c r="E86" s="13">
        <v>10000.0</v>
      </c>
      <c r="F86" s="12"/>
      <c r="G86" s="12"/>
      <c r="H86" s="11"/>
      <c r="I86" s="14" t="s">
        <v>27</v>
      </c>
      <c r="J86" s="15">
        <v>45877.0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11" t="s">
        <v>163</v>
      </c>
      <c r="B87" s="11" t="s">
        <v>164</v>
      </c>
      <c r="C87" s="11" t="s">
        <v>24</v>
      </c>
      <c r="D87" s="12"/>
      <c r="E87" s="13">
        <v>360000.0</v>
      </c>
      <c r="F87" s="12"/>
      <c r="G87" s="12"/>
      <c r="H87" s="11"/>
      <c r="I87" s="14" t="s">
        <v>27</v>
      </c>
      <c r="J87" s="15">
        <v>45797.0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11" t="s">
        <v>165</v>
      </c>
      <c r="B88" s="11" t="s">
        <v>166</v>
      </c>
      <c r="C88" s="11" t="s">
        <v>24</v>
      </c>
      <c r="D88" s="12"/>
      <c r="E88" s="13">
        <v>211000.0</v>
      </c>
      <c r="F88" s="12"/>
      <c r="G88" s="12"/>
      <c r="H88" s="11"/>
      <c r="I88" s="14" t="s">
        <v>27</v>
      </c>
      <c r="J88" s="15">
        <v>45797.0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11" t="s">
        <v>167</v>
      </c>
      <c r="B89" s="11" t="s">
        <v>168</v>
      </c>
      <c r="C89" s="11" t="s">
        <v>24</v>
      </c>
      <c r="D89" s="12"/>
      <c r="E89" s="13">
        <v>26000.0</v>
      </c>
      <c r="F89" s="12"/>
      <c r="G89" s="12"/>
      <c r="H89" s="11"/>
      <c r="I89" s="14" t="s">
        <v>27</v>
      </c>
      <c r="J89" s="15">
        <v>45797.0</v>
      </c>
      <c r="K89" s="2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5" t="s">
        <v>169</v>
      </c>
      <c r="B90" s="5" t="s">
        <v>170</v>
      </c>
      <c r="C90" s="5" t="s">
        <v>24</v>
      </c>
      <c r="D90" s="8"/>
      <c r="E90" s="7">
        <v>98608.68</v>
      </c>
      <c r="F90" s="8"/>
      <c r="G90" s="8"/>
      <c r="H90" s="3"/>
      <c r="I90" s="9" t="s">
        <v>171</v>
      </c>
      <c r="J90" s="10">
        <v>45496.0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5" t="s">
        <v>151</v>
      </c>
      <c r="B91" s="5" t="s">
        <v>172</v>
      </c>
      <c r="C91" s="5" t="s">
        <v>24</v>
      </c>
      <c r="D91" s="8"/>
      <c r="E91" s="7">
        <v>143129.81</v>
      </c>
      <c r="F91" s="8"/>
      <c r="G91" s="8"/>
      <c r="H91" s="3"/>
      <c r="I91" s="9" t="s">
        <v>171</v>
      </c>
      <c r="J91" s="10">
        <v>45496.0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11" t="s">
        <v>173</v>
      </c>
      <c r="B92" s="11" t="s">
        <v>174</v>
      </c>
      <c r="C92" s="11" t="s">
        <v>24</v>
      </c>
      <c r="D92" s="12"/>
      <c r="E92" s="13">
        <v>20000.0</v>
      </c>
      <c r="F92" s="12"/>
      <c r="G92" s="12"/>
      <c r="H92" s="11"/>
      <c r="I92" s="14" t="s">
        <v>27</v>
      </c>
      <c r="J92" s="15">
        <v>45825.0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5" t="s">
        <v>175</v>
      </c>
      <c r="B93" s="5" t="s">
        <v>176</v>
      </c>
      <c r="C93" s="5" t="s">
        <v>145</v>
      </c>
      <c r="D93" s="8"/>
      <c r="E93" s="7">
        <v>4487.71</v>
      </c>
      <c r="F93" s="8"/>
      <c r="G93" s="8"/>
      <c r="H93" s="3"/>
      <c r="I93" s="9" t="s">
        <v>177</v>
      </c>
      <c r="J93" s="10">
        <v>45432.0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5" t="s">
        <v>178</v>
      </c>
      <c r="B94" s="5" t="s">
        <v>179</v>
      </c>
      <c r="C94" s="5" t="s">
        <v>145</v>
      </c>
      <c r="D94" s="6">
        <v>480.0</v>
      </c>
      <c r="E94" s="7">
        <f t="shared" ref="E94:E96" si="5">D94/1.21</f>
        <v>396.6942149</v>
      </c>
      <c r="F94" s="8"/>
      <c r="G94" s="8"/>
      <c r="H94" s="3"/>
      <c r="I94" s="9" t="s">
        <v>177</v>
      </c>
      <c r="J94" s="10">
        <v>45432.0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5" t="s">
        <v>180</v>
      </c>
      <c r="B95" s="5" t="s">
        <v>181</v>
      </c>
      <c r="C95" s="5" t="s">
        <v>24</v>
      </c>
      <c r="D95" s="6">
        <v>32000.0</v>
      </c>
      <c r="E95" s="7">
        <f t="shared" si="5"/>
        <v>26446.28099</v>
      </c>
      <c r="F95" s="8"/>
      <c r="G95" s="8"/>
      <c r="H95" s="3"/>
      <c r="I95" s="9" t="s">
        <v>182</v>
      </c>
      <c r="J95" s="10">
        <v>45432.0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5" t="s">
        <v>183</v>
      </c>
      <c r="B96" s="5" t="s">
        <v>181</v>
      </c>
      <c r="C96" s="5" t="s">
        <v>24</v>
      </c>
      <c r="D96" s="6">
        <v>40000.0</v>
      </c>
      <c r="E96" s="7">
        <f t="shared" si="5"/>
        <v>33057.85124</v>
      </c>
      <c r="F96" s="8"/>
      <c r="G96" s="8"/>
      <c r="H96" s="3"/>
      <c r="I96" s="9" t="s">
        <v>182</v>
      </c>
      <c r="J96" s="10">
        <v>45432.0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11" t="s">
        <v>184</v>
      </c>
      <c r="B97" s="11" t="s">
        <v>185</v>
      </c>
      <c r="C97" s="11"/>
      <c r="D97" s="12"/>
      <c r="E97" s="13">
        <v>450000.0</v>
      </c>
      <c r="F97" s="12"/>
      <c r="G97" s="12"/>
      <c r="H97" s="12"/>
      <c r="I97" s="14" t="s">
        <v>27</v>
      </c>
      <c r="J97" s="15">
        <v>45819.0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11" t="s">
        <v>186</v>
      </c>
      <c r="B98" s="11" t="s">
        <v>187</v>
      </c>
      <c r="C98" s="11" t="s">
        <v>24</v>
      </c>
      <c r="D98" s="12"/>
      <c r="E98" s="13">
        <v>6000.0</v>
      </c>
      <c r="F98" s="12"/>
      <c r="G98" s="12"/>
      <c r="H98" s="12"/>
      <c r="I98" s="14" t="s">
        <v>27</v>
      </c>
      <c r="J98" s="15">
        <v>45797.0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11" t="s">
        <v>188</v>
      </c>
      <c r="B99" s="11" t="s">
        <v>189</v>
      </c>
      <c r="C99" s="11" t="s">
        <v>24</v>
      </c>
      <c r="D99" s="12"/>
      <c r="E99" s="13">
        <v>7500.0</v>
      </c>
      <c r="F99" s="12"/>
      <c r="G99" s="12"/>
      <c r="H99" s="12"/>
      <c r="I99" s="14" t="s">
        <v>171</v>
      </c>
      <c r="J99" s="15">
        <v>45797.0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11" t="s">
        <v>190</v>
      </c>
      <c r="B100" s="11" t="s">
        <v>191</v>
      </c>
      <c r="C100" s="11" t="s">
        <v>24</v>
      </c>
      <c r="D100" s="12"/>
      <c r="E100" s="13">
        <v>13800.0</v>
      </c>
      <c r="F100" s="12"/>
      <c r="G100" s="12"/>
      <c r="H100" s="11"/>
      <c r="I100" s="14" t="s">
        <v>171</v>
      </c>
      <c r="J100" s="15">
        <v>45797.0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5" t="s">
        <v>192</v>
      </c>
      <c r="B101" s="5" t="s">
        <v>191</v>
      </c>
      <c r="C101" s="5"/>
      <c r="D101" s="8"/>
      <c r="E101" s="8"/>
      <c r="F101" s="8"/>
      <c r="G101" s="8"/>
      <c r="H101" s="3"/>
      <c r="I101" s="3"/>
      <c r="J101" s="18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5" t="s">
        <v>193</v>
      </c>
      <c r="B102" s="5" t="s">
        <v>194</v>
      </c>
      <c r="C102" s="5" t="s">
        <v>24</v>
      </c>
      <c r="D102" s="8"/>
      <c r="E102" s="7">
        <v>18676.0</v>
      </c>
      <c r="F102" s="8"/>
      <c r="G102" s="8"/>
      <c r="H102" s="3"/>
      <c r="I102" s="9" t="s">
        <v>195</v>
      </c>
      <c r="J102" s="10">
        <v>45485.0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5" t="s">
        <v>196</v>
      </c>
      <c r="B103" s="5" t="s">
        <v>197</v>
      </c>
      <c r="C103" s="5" t="s">
        <v>24</v>
      </c>
      <c r="D103" s="8"/>
      <c r="E103" s="7">
        <v>27745.0</v>
      </c>
      <c r="F103" s="8"/>
      <c r="G103" s="8"/>
      <c r="H103" s="3"/>
      <c r="I103" s="9" t="s">
        <v>195</v>
      </c>
      <c r="J103" s="10">
        <v>45485.0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5" t="s">
        <v>198</v>
      </c>
      <c r="B104" s="5" t="s">
        <v>199</v>
      </c>
      <c r="C104" s="5" t="s">
        <v>24</v>
      </c>
      <c r="D104" s="8"/>
      <c r="E104" s="7">
        <f>398*940</f>
        <v>374120</v>
      </c>
      <c r="F104" s="8"/>
      <c r="G104" s="8"/>
      <c r="H104" s="3"/>
      <c r="I104" s="9" t="s">
        <v>177</v>
      </c>
      <c r="J104" s="10">
        <v>45432.0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5" t="s">
        <v>200</v>
      </c>
      <c r="B105" s="5" t="s">
        <v>201</v>
      </c>
      <c r="C105" s="5" t="s">
        <v>24</v>
      </c>
      <c r="D105" s="29">
        <v>67640.0</v>
      </c>
      <c r="E105" s="7">
        <f t="shared" ref="E105:E112" si="6">D105/1.21</f>
        <v>55900.82645</v>
      </c>
      <c r="F105" s="8"/>
      <c r="G105" s="8"/>
      <c r="H105" s="3"/>
      <c r="I105" s="9" t="s">
        <v>195</v>
      </c>
      <c r="J105" s="10">
        <v>45485.0</v>
      </c>
      <c r="K105" s="3"/>
      <c r="L105" s="3"/>
      <c r="M105" s="3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4.25" customHeight="1">
      <c r="A106" s="5" t="s">
        <v>202</v>
      </c>
      <c r="B106" s="5" t="s">
        <v>203</v>
      </c>
      <c r="C106" s="5" t="s">
        <v>24</v>
      </c>
      <c r="D106" s="6">
        <v>17800.0</v>
      </c>
      <c r="E106" s="7">
        <f t="shared" si="6"/>
        <v>14710.7438</v>
      </c>
      <c r="F106" s="8"/>
      <c r="G106" s="8"/>
      <c r="H106" s="3"/>
      <c r="I106" s="9" t="s">
        <v>177</v>
      </c>
      <c r="J106" s="10">
        <v>45432.0</v>
      </c>
      <c r="K106" s="3"/>
      <c r="L106" s="3"/>
      <c r="M106" s="3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4.25" customHeight="1">
      <c r="A107" s="5" t="s">
        <v>204</v>
      </c>
      <c r="B107" s="5" t="s">
        <v>205</v>
      </c>
      <c r="C107" s="5" t="s">
        <v>24</v>
      </c>
      <c r="D107" s="6">
        <v>21000.0</v>
      </c>
      <c r="E107" s="7">
        <f t="shared" si="6"/>
        <v>17355.3719</v>
      </c>
      <c r="F107" s="8"/>
      <c r="G107" s="8"/>
      <c r="H107" s="3"/>
      <c r="I107" s="9" t="s">
        <v>177</v>
      </c>
      <c r="J107" s="10">
        <v>45432.0</v>
      </c>
      <c r="K107" s="3"/>
      <c r="L107" s="3"/>
      <c r="M107" s="3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4.25" customHeight="1">
      <c r="A108" s="31" t="s">
        <v>206</v>
      </c>
      <c r="B108" s="31" t="s">
        <v>207</v>
      </c>
      <c r="C108" s="31"/>
      <c r="D108" s="6">
        <v>25000.0</v>
      </c>
      <c r="E108" s="7">
        <f t="shared" si="6"/>
        <v>20661.15702</v>
      </c>
      <c r="F108" s="8"/>
      <c r="G108" s="8"/>
      <c r="H108" s="18"/>
      <c r="I108" s="3"/>
      <c r="J108" s="18"/>
      <c r="K108" s="3"/>
      <c r="L108" s="3"/>
      <c r="M108" s="3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4.25" customHeight="1">
      <c r="A109" s="31" t="s">
        <v>208</v>
      </c>
      <c r="B109" s="31" t="s">
        <v>209</v>
      </c>
      <c r="C109" s="31"/>
      <c r="D109" s="6">
        <v>40000.0</v>
      </c>
      <c r="E109" s="7">
        <f t="shared" si="6"/>
        <v>33057.85124</v>
      </c>
      <c r="F109" s="8"/>
      <c r="G109" s="8"/>
      <c r="H109" s="18"/>
      <c r="I109" s="3"/>
      <c r="J109" s="18"/>
      <c r="K109" s="3"/>
      <c r="L109" s="3"/>
      <c r="M109" s="3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4.25" customHeight="1">
      <c r="A110" s="31" t="s">
        <v>210</v>
      </c>
      <c r="B110" s="31" t="s">
        <v>211</v>
      </c>
      <c r="C110" s="31"/>
      <c r="D110" s="6">
        <v>150000.0</v>
      </c>
      <c r="E110" s="7">
        <f t="shared" si="6"/>
        <v>123966.9421</v>
      </c>
      <c r="F110" s="8"/>
      <c r="G110" s="8"/>
      <c r="H110" s="18"/>
      <c r="I110" s="3"/>
      <c r="J110" s="18"/>
      <c r="K110" s="3"/>
      <c r="L110" s="3"/>
      <c r="M110" s="3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4.25" customHeight="1">
      <c r="A111" s="31" t="s">
        <v>212</v>
      </c>
      <c r="B111" s="31" t="s">
        <v>213</v>
      </c>
      <c r="C111" s="31"/>
      <c r="D111" s="6">
        <v>16000.0</v>
      </c>
      <c r="E111" s="7">
        <f t="shared" si="6"/>
        <v>13223.1405</v>
      </c>
      <c r="F111" s="8"/>
      <c r="G111" s="8"/>
      <c r="H111" s="18"/>
      <c r="I111" s="3"/>
      <c r="J111" s="18"/>
      <c r="K111" s="3"/>
      <c r="L111" s="3"/>
      <c r="M111" s="3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4.25" customHeight="1">
      <c r="A112" s="31" t="s">
        <v>214</v>
      </c>
      <c r="B112" s="31" t="s">
        <v>215</v>
      </c>
      <c r="C112" s="31" t="s">
        <v>24</v>
      </c>
      <c r="D112" s="6">
        <v>39000.0</v>
      </c>
      <c r="E112" s="7">
        <f t="shared" si="6"/>
        <v>32231.40496</v>
      </c>
      <c r="F112" s="8"/>
      <c r="G112" s="8"/>
      <c r="H112" s="18"/>
      <c r="I112" s="9" t="s">
        <v>177</v>
      </c>
      <c r="J112" s="10">
        <v>45432.0</v>
      </c>
      <c r="K112" s="3"/>
      <c r="L112" s="3"/>
      <c r="M112" s="3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4.25" customHeight="1">
      <c r="A113" s="5" t="s">
        <v>216</v>
      </c>
      <c r="B113" s="5" t="s">
        <v>217</v>
      </c>
      <c r="C113" s="5" t="s">
        <v>24</v>
      </c>
      <c r="D113" s="6"/>
      <c r="E113" s="7">
        <v>65200.0</v>
      </c>
      <c r="F113" s="8"/>
      <c r="G113" s="8"/>
      <c r="H113" s="18"/>
      <c r="I113" s="9" t="s">
        <v>177</v>
      </c>
      <c r="J113" s="32">
        <v>45877.0</v>
      </c>
      <c r="K113" s="3"/>
      <c r="L113" s="3"/>
      <c r="M113" s="3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4.25" customHeight="1">
      <c r="A114" s="5" t="s">
        <v>218</v>
      </c>
      <c r="B114" s="5" t="s">
        <v>219</v>
      </c>
      <c r="C114" s="5"/>
      <c r="D114" s="6"/>
      <c r="E114" s="7">
        <v>135607.0</v>
      </c>
      <c r="F114" s="8"/>
      <c r="G114" s="8"/>
      <c r="H114" s="18"/>
      <c r="I114" s="9" t="s">
        <v>195</v>
      </c>
      <c r="J114" s="32">
        <v>45889.0</v>
      </c>
      <c r="K114" s="3"/>
      <c r="L114" s="3"/>
      <c r="M114" s="3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4.25" customHeight="1">
      <c r="A115" s="5" t="s">
        <v>220</v>
      </c>
      <c r="B115" s="5" t="s">
        <v>221</v>
      </c>
      <c r="C115" s="5"/>
      <c r="D115" s="6"/>
      <c r="E115" s="7">
        <v>195628.0</v>
      </c>
      <c r="F115" s="8"/>
      <c r="G115" s="8"/>
      <c r="H115" s="18"/>
      <c r="I115" s="9" t="s">
        <v>195</v>
      </c>
      <c r="J115" s="32">
        <v>45889.0</v>
      </c>
      <c r="K115" s="3"/>
      <c r="L115" s="3"/>
      <c r="M115" s="3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4.25" customHeight="1">
      <c r="A116" s="5"/>
      <c r="B116" s="5"/>
      <c r="C116" s="5"/>
      <c r="D116" s="6"/>
      <c r="E116" s="7"/>
      <c r="F116" s="8"/>
      <c r="G116" s="8"/>
      <c r="H116" s="18"/>
      <c r="I116" s="9"/>
      <c r="J116" s="32"/>
      <c r="K116" s="3"/>
      <c r="L116" s="3"/>
      <c r="M116" s="3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4.25" customHeight="1">
      <c r="A117" s="3"/>
      <c r="B117" s="3"/>
      <c r="C117" s="3"/>
      <c r="D117" s="33"/>
      <c r="E117" s="8"/>
      <c r="F117" s="8"/>
      <c r="G117" s="8"/>
      <c r="H117" s="18"/>
      <c r="I117" s="3"/>
      <c r="J117" s="18"/>
      <c r="K117" s="3"/>
      <c r="L117" s="3"/>
      <c r="M117" s="3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4.25" customHeight="1">
      <c r="A118" s="4" t="s">
        <v>1</v>
      </c>
      <c r="B118" s="4" t="s">
        <v>222</v>
      </c>
      <c r="C118" s="2"/>
      <c r="D118" s="20" t="s">
        <v>4</v>
      </c>
      <c r="E118" s="20" t="s">
        <v>5</v>
      </c>
      <c r="F118" s="21"/>
      <c r="G118" s="21"/>
      <c r="H118" s="34"/>
      <c r="I118" s="4" t="s">
        <v>8</v>
      </c>
      <c r="J118" s="22" t="s">
        <v>9</v>
      </c>
      <c r="K118" s="3"/>
      <c r="L118" s="3"/>
      <c r="M118" s="3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4.25" customHeight="1">
      <c r="A119" s="11" t="s">
        <v>223</v>
      </c>
      <c r="B119" s="11" t="s">
        <v>224</v>
      </c>
      <c r="C119" s="11" t="s">
        <v>24</v>
      </c>
      <c r="D119" s="12"/>
      <c r="E119" s="13">
        <v>600000.0</v>
      </c>
      <c r="F119" s="12"/>
      <c r="G119" s="12"/>
      <c r="H119" s="19"/>
      <c r="I119" s="14" t="s">
        <v>225</v>
      </c>
      <c r="J119" s="15">
        <v>45797.0</v>
      </c>
      <c r="K119" s="3"/>
      <c r="L119" s="3"/>
      <c r="M119" s="3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4.25" customHeight="1">
      <c r="A120" s="3"/>
      <c r="B120" s="3"/>
      <c r="C120" s="3"/>
      <c r="D120" s="33"/>
      <c r="E120" s="8"/>
      <c r="F120" s="8"/>
      <c r="G120" s="8"/>
      <c r="H120" s="18"/>
      <c r="I120" s="3"/>
      <c r="J120" s="18"/>
      <c r="K120" s="3"/>
      <c r="L120" s="3"/>
      <c r="M120" s="3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4.25" customHeight="1">
      <c r="A121" s="3"/>
      <c r="B121" s="3"/>
      <c r="C121" s="3"/>
      <c r="D121" s="33"/>
      <c r="E121" s="8"/>
      <c r="F121" s="8"/>
      <c r="G121" s="8"/>
      <c r="H121" s="18"/>
      <c r="I121" s="3"/>
      <c r="J121" s="18"/>
      <c r="K121" s="3"/>
      <c r="L121" s="3"/>
      <c r="M121" s="3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4.25" customHeight="1">
      <c r="A122" s="3"/>
      <c r="B122" s="3"/>
      <c r="C122" s="3"/>
      <c r="D122" s="33"/>
      <c r="E122" s="8"/>
      <c r="F122" s="8"/>
      <c r="G122" s="8"/>
      <c r="H122" s="18"/>
      <c r="I122" s="3"/>
      <c r="J122" s="18"/>
      <c r="K122" s="3"/>
      <c r="L122" s="3"/>
      <c r="M122" s="3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4.25" customHeight="1">
      <c r="A123" s="3"/>
      <c r="B123" s="3"/>
      <c r="C123" s="3"/>
      <c r="D123" s="33"/>
      <c r="E123" s="8"/>
      <c r="F123" s="8"/>
      <c r="G123" s="8"/>
      <c r="H123" s="18"/>
      <c r="I123" s="3"/>
      <c r="J123" s="18"/>
      <c r="K123" s="3"/>
      <c r="L123" s="3"/>
      <c r="M123" s="3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4.25" customHeight="1">
      <c r="A124" s="4" t="s">
        <v>1</v>
      </c>
      <c r="B124" s="4" t="s">
        <v>226</v>
      </c>
      <c r="C124" s="2"/>
      <c r="D124" s="35" t="s">
        <v>4</v>
      </c>
      <c r="E124" s="20" t="s">
        <v>5</v>
      </c>
      <c r="F124" s="21"/>
      <c r="G124" s="21"/>
      <c r="H124" s="34"/>
      <c r="I124" s="4" t="s">
        <v>8</v>
      </c>
      <c r="J124" s="22" t="s">
        <v>9</v>
      </c>
      <c r="K124" s="3"/>
      <c r="L124" s="3"/>
      <c r="M124" s="3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4.25" customHeight="1">
      <c r="A125" s="5" t="s">
        <v>227</v>
      </c>
      <c r="B125" s="5" t="s">
        <v>228</v>
      </c>
      <c r="C125" s="5" t="s">
        <v>229</v>
      </c>
      <c r="D125" s="6">
        <v>54637.0</v>
      </c>
      <c r="E125" s="7">
        <f t="shared" ref="E125:E128" si="7">D125/1.21</f>
        <v>45154.54545</v>
      </c>
      <c r="F125" s="8"/>
      <c r="G125" s="8"/>
      <c r="H125" s="18"/>
      <c r="I125" s="9" t="s">
        <v>230</v>
      </c>
      <c r="J125" s="10">
        <v>45407.0</v>
      </c>
      <c r="K125" s="3"/>
      <c r="L125" s="3"/>
      <c r="M125" s="3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4.25" customHeight="1">
      <c r="A126" s="5" t="s">
        <v>231</v>
      </c>
      <c r="B126" s="5" t="s">
        <v>232</v>
      </c>
      <c r="C126" s="5" t="s">
        <v>233</v>
      </c>
      <c r="D126" s="6">
        <v>312104.0</v>
      </c>
      <c r="E126" s="7">
        <f t="shared" si="7"/>
        <v>257937.1901</v>
      </c>
      <c r="F126" s="8"/>
      <c r="G126" s="8"/>
      <c r="H126" s="18"/>
      <c r="I126" s="9" t="s">
        <v>230</v>
      </c>
      <c r="J126" s="10">
        <v>45407.0</v>
      </c>
      <c r="K126" s="3"/>
      <c r="L126" s="3"/>
      <c r="M126" s="3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4.25" customHeight="1">
      <c r="A127" s="5" t="s">
        <v>234</v>
      </c>
      <c r="B127" s="5" t="s">
        <v>235</v>
      </c>
      <c r="C127" s="5" t="s">
        <v>24</v>
      </c>
      <c r="D127" s="6">
        <v>98500.0</v>
      </c>
      <c r="E127" s="7">
        <f t="shared" si="7"/>
        <v>81404.95868</v>
      </c>
      <c r="F127" s="8"/>
      <c r="G127" s="8"/>
      <c r="H127" s="18"/>
      <c r="I127" s="9" t="s">
        <v>230</v>
      </c>
      <c r="J127" s="10">
        <v>45412.0</v>
      </c>
      <c r="K127" s="3"/>
      <c r="L127" s="3"/>
      <c r="M127" s="3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4.25" customHeight="1">
      <c r="A128" s="5" t="s">
        <v>236</v>
      </c>
      <c r="B128" s="5" t="s">
        <v>237</v>
      </c>
      <c r="C128" s="5" t="s">
        <v>24</v>
      </c>
      <c r="D128" s="6">
        <v>147500.0</v>
      </c>
      <c r="E128" s="7">
        <f t="shared" si="7"/>
        <v>121900.8264</v>
      </c>
      <c r="F128" s="8"/>
      <c r="G128" s="8"/>
      <c r="H128" s="18"/>
      <c r="I128" s="9" t="s">
        <v>230</v>
      </c>
      <c r="J128" s="10">
        <v>45413.0</v>
      </c>
      <c r="K128" s="3"/>
      <c r="L128" s="3"/>
      <c r="M128" s="3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4.25" customHeight="1">
      <c r="A129" s="11" t="s">
        <v>238</v>
      </c>
      <c r="B129" s="11" t="s">
        <v>239</v>
      </c>
      <c r="C129" s="11" t="s">
        <v>24</v>
      </c>
      <c r="D129" s="16">
        <v>65000.0</v>
      </c>
      <c r="E129" s="13">
        <v>81655.0</v>
      </c>
      <c r="F129" s="12"/>
      <c r="G129" s="12"/>
      <c r="H129" s="19"/>
      <c r="I129" s="14" t="s">
        <v>13</v>
      </c>
      <c r="J129" s="15">
        <v>45771.0</v>
      </c>
      <c r="K129" s="3"/>
      <c r="L129" s="3"/>
      <c r="M129" s="3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4.25" customHeight="1">
      <c r="A130" s="11" t="s">
        <v>240</v>
      </c>
      <c r="B130" s="11" t="s">
        <v>241</v>
      </c>
      <c r="C130" s="11"/>
      <c r="D130" s="12"/>
      <c r="E130" s="13">
        <v>38100.0</v>
      </c>
      <c r="F130" s="12"/>
      <c r="G130" s="12"/>
      <c r="H130" s="19"/>
      <c r="I130" s="14" t="s">
        <v>13</v>
      </c>
      <c r="J130" s="15">
        <v>45824.0</v>
      </c>
      <c r="K130" s="3"/>
      <c r="L130" s="3"/>
      <c r="M130" s="3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4.25" customHeight="1">
      <c r="A131" s="5" t="s">
        <v>242</v>
      </c>
      <c r="B131" s="5" t="s">
        <v>243</v>
      </c>
      <c r="C131" s="5" t="s">
        <v>24</v>
      </c>
      <c r="D131" s="8"/>
      <c r="E131" s="7">
        <v>18760.0</v>
      </c>
      <c r="F131" s="8"/>
      <c r="G131" s="8"/>
      <c r="H131" s="18"/>
      <c r="I131" s="9" t="s">
        <v>230</v>
      </c>
      <c r="J131" s="10">
        <v>45483.0</v>
      </c>
      <c r="K131" s="3"/>
      <c r="L131" s="3"/>
      <c r="M131" s="3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4.25" customHeight="1">
      <c r="A132" s="11" t="s">
        <v>244</v>
      </c>
      <c r="B132" s="11" t="s">
        <v>245</v>
      </c>
      <c r="C132" s="11" t="s">
        <v>24</v>
      </c>
      <c r="D132" s="16">
        <f t="shared" ref="D132:D135" si="8">E132*1.21</f>
        <v>22990</v>
      </c>
      <c r="E132" s="13">
        <v>19000.0</v>
      </c>
      <c r="F132" s="12"/>
      <c r="G132" s="12"/>
      <c r="H132" s="19"/>
      <c r="I132" s="14" t="s">
        <v>230</v>
      </c>
      <c r="J132" s="15">
        <v>45824.0</v>
      </c>
      <c r="K132" s="3"/>
      <c r="L132" s="3"/>
      <c r="M132" s="3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4.25" customHeight="1">
      <c r="A133" s="11" t="s">
        <v>246</v>
      </c>
      <c r="B133" s="11" t="s">
        <v>247</v>
      </c>
      <c r="C133" s="11" t="s">
        <v>24</v>
      </c>
      <c r="D133" s="16">
        <f t="shared" si="8"/>
        <v>39034.6</v>
      </c>
      <c r="E133" s="13">
        <v>32260.0</v>
      </c>
      <c r="F133" s="12"/>
      <c r="G133" s="12"/>
      <c r="H133" s="19"/>
      <c r="I133" s="14" t="s">
        <v>230</v>
      </c>
      <c r="J133" s="15">
        <v>45825.0</v>
      </c>
      <c r="K133" s="3"/>
      <c r="L133" s="3"/>
      <c r="M133" s="3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4.25" customHeight="1">
      <c r="A134" s="11" t="s">
        <v>248</v>
      </c>
      <c r="B134" s="11" t="s">
        <v>249</v>
      </c>
      <c r="C134" s="11" t="s">
        <v>24</v>
      </c>
      <c r="D134" s="16">
        <f t="shared" si="8"/>
        <v>88693</v>
      </c>
      <c r="E134" s="13">
        <v>73300.0</v>
      </c>
      <c r="F134" s="12"/>
      <c r="G134" s="12"/>
      <c r="H134" s="19"/>
      <c r="I134" s="14" t="s">
        <v>230</v>
      </c>
      <c r="J134" s="15">
        <v>45826.0</v>
      </c>
      <c r="K134" s="3"/>
      <c r="L134" s="3"/>
      <c r="M134" s="3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4.25" customHeight="1">
      <c r="A135" s="11" t="s">
        <v>250</v>
      </c>
      <c r="B135" s="11" t="s">
        <v>251</v>
      </c>
      <c r="C135" s="11" t="s">
        <v>24</v>
      </c>
      <c r="D135" s="16">
        <f t="shared" si="8"/>
        <v>81977.5</v>
      </c>
      <c r="E135" s="13">
        <v>67750.0</v>
      </c>
      <c r="F135" s="12"/>
      <c r="G135" s="12"/>
      <c r="H135" s="19"/>
      <c r="I135" s="14" t="s">
        <v>230</v>
      </c>
      <c r="J135" s="15">
        <v>45827.0</v>
      </c>
      <c r="K135" s="3"/>
      <c r="L135" s="3"/>
      <c r="M135" s="3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4.25" customHeight="1">
      <c r="A136" s="11" t="s">
        <v>252</v>
      </c>
      <c r="B136" s="11" t="s">
        <v>253</v>
      </c>
      <c r="C136" s="11" t="s">
        <v>24</v>
      </c>
      <c r="D136" s="12"/>
      <c r="E136" s="13">
        <v>50000.0</v>
      </c>
      <c r="F136" s="12"/>
      <c r="G136" s="12"/>
      <c r="H136" s="19"/>
      <c r="I136" s="14" t="s">
        <v>27</v>
      </c>
      <c r="J136" s="15">
        <v>45824.0</v>
      </c>
      <c r="K136" s="3"/>
      <c r="L136" s="3"/>
      <c r="M136" s="3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4.25" customHeight="1">
      <c r="A137" s="5"/>
      <c r="B137" s="5"/>
      <c r="C137" s="5"/>
      <c r="D137" s="8"/>
      <c r="E137" s="8"/>
      <c r="F137" s="8"/>
      <c r="G137" s="8"/>
      <c r="H137" s="18"/>
      <c r="I137" s="3"/>
      <c r="J137" s="18"/>
      <c r="K137" s="3"/>
      <c r="L137" s="3"/>
      <c r="M137" s="3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4.25" customHeight="1">
      <c r="A138" s="3"/>
      <c r="B138" s="3"/>
      <c r="C138" s="3"/>
      <c r="D138" s="33"/>
      <c r="E138" s="8"/>
      <c r="F138" s="8"/>
      <c r="G138" s="8"/>
      <c r="H138" s="18"/>
      <c r="I138" s="3"/>
      <c r="J138" s="18"/>
      <c r="K138" s="3"/>
      <c r="L138" s="3"/>
      <c r="M138" s="3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4.25" customHeight="1">
      <c r="A139" s="4" t="s">
        <v>1</v>
      </c>
      <c r="B139" s="4" t="s">
        <v>254</v>
      </c>
      <c r="C139" s="2"/>
      <c r="D139" s="35" t="s">
        <v>4</v>
      </c>
      <c r="E139" s="20" t="s">
        <v>5</v>
      </c>
      <c r="F139" s="21"/>
      <c r="G139" s="21"/>
      <c r="H139" s="34"/>
      <c r="I139" s="4" t="s">
        <v>8</v>
      </c>
      <c r="J139" s="22" t="s">
        <v>9</v>
      </c>
      <c r="K139" s="3"/>
      <c r="L139" s="3"/>
      <c r="M139" s="3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4.25" customHeight="1">
      <c r="A140" s="11" t="s">
        <v>255</v>
      </c>
      <c r="B140" s="11" t="s">
        <v>256</v>
      </c>
      <c r="C140" s="11" t="s">
        <v>24</v>
      </c>
      <c r="D140" s="12"/>
      <c r="E140" s="13">
        <v>55260.0</v>
      </c>
      <c r="F140" s="12"/>
      <c r="G140" s="12"/>
      <c r="H140" s="19"/>
      <c r="I140" s="14" t="s">
        <v>13</v>
      </c>
      <c r="J140" s="15">
        <v>45800.0</v>
      </c>
      <c r="K140" s="3"/>
      <c r="L140" s="3"/>
      <c r="M140" s="3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4.25" customHeight="1">
      <c r="A141" s="5" t="s">
        <v>257</v>
      </c>
      <c r="B141" s="5" t="s">
        <v>258</v>
      </c>
      <c r="C141" s="5" t="s">
        <v>24</v>
      </c>
      <c r="D141" s="33"/>
      <c r="E141" s="7">
        <v>45454.0</v>
      </c>
      <c r="F141" s="8"/>
      <c r="G141" s="8"/>
      <c r="H141" s="18"/>
      <c r="I141" s="9" t="s">
        <v>230</v>
      </c>
      <c r="J141" s="10">
        <v>45407.0</v>
      </c>
      <c r="K141" s="3"/>
      <c r="L141" s="3"/>
      <c r="M141" s="3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4.25" customHeight="1">
      <c r="A142" s="5" t="s">
        <v>259</v>
      </c>
      <c r="B142" s="5" t="s">
        <v>260</v>
      </c>
      <c r="C142" s="5" t="s">
        <v>24</v>
      </c>
      <c r="D142" s="33"/>
      <c r="E142" s="7">
        <v>37025.0</v>
      </c>
      <c r="F142" s="8"/>
      <c r="G142" s="8"/>
      <c r="H142" s="18"/>
      <c r="I142" s="9" t="s">
        <v>261</v>
      </c>
      <c r="J142" s="10">
        <v>45407.0</v>
      </c>
      <c r="K142" s="3"/>
      <c r="L142" s="3"/>
      <c r="M142" s="3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4.25" customHeight="1">
      <c r="A143" s="5" t="s">
        <v>262</v>
      </c>
      <c r="B143" s="5" t="s">
        <v>263</v>
      </c>
      <c r="C143" s="5" t="s">
        <v>24</v>
      </c>
      <c r="D143" s="33"/>
      <c r="E143" s="7">
        <v>32400.0</v>
      </c>
      <c r="F143" s="8"/>
      <c r="G143" s="8"/>
      <c r="H143" s="18"/>
      <c r="I143" s="9" t="s">
        <v>261</v>
      </c>
      <c r="J143" s="10">
        <v>45407.0</v>
      </c>
      <c r="K143" s="3"/>
      <c r="L143" s="3"/>
      <c r="M143" s="3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4.25" customHeight="1">
      <c r="A144" s="11" t="s">
        <v>264</v>
      </c>
      <c r="B144" s="11" t="s">
        <v>265</v>
      </c>
      <c r="C144" s="11" t="s">
        <v>24</v>
      </c>
      <c r="D144" s="12"/>
      <c r="E144" s="13">
        <v>26320.0</v>
      </c>
      <c r="F144" s="12"/>
      <c r="G144" s="12"/>
      <c r="H144" s="19"/>
      <c r="I144" s="14" t="s">
        <v>13</v>
      </c>
      <c r="J144" s="15">
        <v>45824.0</v>
      </c>
      <c r="K144" s="3"/>
      <c r="L144" s="3"/>
      <c r="M144" s="3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4.25" customHeight="1">
      <c r="A145" s="11" t="s">
        <v>266</v>
      </c>
      <c r="B145" s="11" t="s">
        <v>267</v>
      </c>
      <c r="C145" s="11" t="s">
        <v>24</v>
      </c>
      <c r="D145" s="12"/>
      <c r="E145" s="13">
        <v>11000.0</v>
      </c>
      <c r="F145" s="12"/>
      <c r="G145" s="12"/>
      <c r="H145" s="11"/>
      <c r="I145" s="14" t="s">
        <v>27</v>
      </c>
      <c r="J145" s="15">
        <v>45793.0</v>
      </c>
      <c r="K145" s="3"/>
      <c r="L145" s="3"/>
      <c r="M145" s="3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4.25" customHeight="1">
      <c r="A146" s="11" t="s">
        <v>268</v>
      </c>
      <c r="B146" s="11" t="s">
        <v>269</v>
      </c>
      <c r="C146" s="11" t="s">
        <v>24</v>
      </c>
      <c r="D146" s="12"/>
      <c r="E146" s="13">
        <v>6500.0</v>
      </c>
      <c r="F146" s="12"/>
      <c r="G146" s="12"/>
      <c r="H146" s="11"/>
      <c r="I146" s="14" t="s">
        <v>27</v>
      </c>
      <c r="J146" s="15">
        <v>45793.0</v>
      </c>
      <c r="K146" s="3"/>
      <c r="L146" s="3"/>
      <c r="M146" s="3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4.25" customHeight="1">
      <c r="A147" s="11" t="s">
        <v>270</v>
      </c>
      <c r="B147" s="11" t="s">
        <v>271</v>
      </c>
      <c r="C147" s="11" t="s">
        <v>24</v>
      </c>
      <c r="D147" s="12"/>
      <c r="E147" s="13">
        <v>9000.0</v>
      </c>
      <c r="F147" s="12"/>
      <c r="G147" s="12"/>
      <c r="H147" s="11"/>
      <c r="I147" s="14" t="s">
        <v>272</v>
      </c>
      <c r="J147" s="15">
        <v>45793.0</v>
      </c>
      <c r="K147" s="3"/>
      <c r="L147" s="3"/>
      <c r="M147" s="3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4.25" customHeight="1">
      <c r="A148" s="11" t="s">
        <v>273</v>
      </c>
      <c r="B148" s="11" t="s">
        <v>274</v>
      </c>
      <c r="C148" s="11" t="s">
        <v>24</v>
      </c>
      <c r="D148" s="12"/>
      <c r="E148" s="13">
        <v>2900.0</v>
      </c>
      <c r="F148" s="12"/>
      <c r="G148" s="12"/>
      <c r="H148" s="11"/>
      <c r="I148" s="14" t="s">
        <v>13</v>
      </c>
      <c r="J148" s="15">
        <v>45797.0</v>
      </c>
      <c r="K148" s="3"/>
      <c r="L148" s="3"/>
      <c r="M148" s="3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4.25" customHeight="1">
      <c r="A149" s="3"/>
      <c r="B149" s="3"/>
      <c r="C149" s="3"/>
      <c r="D149" s="33"/>
      <c r="E149" s="8"/>
      <c r="F149" s="8"/>
      <c r="G149" s="8"/>
      <c r="H149" s="3"/>
      <c r="I149" s="3"/>
      <c r="J149" s="18"/>
      <c r="K149" s="3"/>
      <c r="L149" s="3"/>
      <c r="M149" s="3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4.25" customHeight="1">
      <c r="A150" s="4" t="s">
        <v>1</v>
      </c>
      <c r="B150" s="4" t="s">
        <v>275</v>
      </c>
      <c r="C150" s="2"/>
      <c r="D150" s="35" t="s">
        <v>4</v>
      </c>
      <c r="E150" s="20" t="s">
        <v>5</v>
      </c>
      <c r="F150" s="36"/>
      <c r="G150" s="21"/>
      <c r="H150" s="2"/>
      <c r="I150" s="4" t="s">
        <v>8</v>
      </c>
      <c r="J150" s="22" t="s">
        <v>9</v>
      </c>
      <c r="K150" s="3"/>
      <c r="L150" s="3"/>
      <c r="M150" s="3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4.25" customHeight="1">
      <c r="A151" s="5" t="s">
        <v>276</v>
      </c>
      <c r="B151" s="5" t="s">
        <v>277</v>
      </c>
      <c r="C151" s="5" t="s">
        <v>24</v>
      </c>
      <c r="D151" s="33"/>
      <c r="E151" s="7">
        <v>16073.0</v>
      </c>
      <c r="F151" s="8"/>
      <c r="G151" s="37" t="s">
        <v>278</v>
      </c>
      <c r="H151" s="32">
        <v>45397.0</v>
      </c>
      <c r="I151" s="9" t="s">
        <v>278</v>
      </c>
      <c r="J151" s="10">
        <v>45397.0</v>
      </c>
      <c r="K151" s="3"/>
      <c r="L151" s="3"/>
      <c r="M151" s="3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4.25" customHeight="1">
      <c r="A152" s="5" t="s">
        <v>279</v>
      </c>
      <c r="B152" s="5" t="s">
        <v>280</v>
      </c>
      <c r="C152" s="5" t="s">
        <v>24</v>
      </c>
      <c r="D152" s="33"/>
      <c r="E152" s="7">
        <v>1.0</v>
      </c>
      <c r="F152" s="8"/>
      <c r="G152" s="37" t="s">
        <v>278</v>
      </c>
      <c r="H152" s="32">
        <v>45397.0</v>
      </c>
      <c r="I152" s="9" t="s">
        <v>278</v>
      </c>
      <c r="J152" s="10">
        <v>45397.0</v>
      </c>
      <c r="K152" s="3"/>
      <c r="L152" s="3"/>
      <c r="M152" s="3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4.25" customHeight="1">
      <c r="A153" s="5" t="s">
        <v>281</v>
      </c>
      <c r="B153" s="5" t="s">
        <v>282</v>
      </c>
      <c r="C153" s="5" t="s">
        <v>24</v>
      </c>
      <c r="D153" s="33"/>
      <c r="E153" s="7">
        <v>3546.64</v>
      </c>
      <c r="F153" s="8"/>
      <c r="G153" s="37" t="s">
        <v>278</v>
      </c>
      <c r="H153" s="32">
        <v>45397.0</v>
      </c>
      <c r="I153" s="9" t="s">
        <v>278</v>
      </c>
      <c r="J153" s="10">
        <v>45397.0</v>
      </c>
      <c r="K153" s="3"/>
      <c r="L153" s="3"/>
      <c r="M153" s="3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4.25" customHeight="1">
      <c r="A154" s="5" t="s">
        <v>283</v>
      </c>
      <c r="B154" s="5" t="s">
        <v>284</v>
      </c>
      <c r="C154" s="5" t="s">
        <v>24</v>
      </c>
      <c r="D154" s="33"/>
      <c r="E154" s="7">
        <v>1.0</v>
      </c>
      <c r="F154" s="8"/>
      <c r="G154" s="37" t="s">
        <v>278</v>
      </c>
      <c r="H154" s="32">
        <v>45397.0</v>
      </c>
      <c r="I154" s="9" t="s">
        <v>278</v>
      </c>
      <c r="J154" s="10">
        <v>45397.0</v>
      </c>
      <c r="K154" s="3"/>
      <c r="L154" s="3"/>
      <c r="M154" s="3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4.25" customHeight="1">
      <c r="A155" s="5" t="s">
        <v>285</v>
      </c>
      <c r="B155" s="5" t="s">
        <v>286</v>
      </c>
      <c r="C155" s="5" t="s">
        <v>24</v>
      </c>
      <c r="D155" s="33"/>
      <c r="E155" s="7">
        <v>4021.25</v>
      </c>
      <c r="F155" s="8"/>
      <c r="G155" s="37" t="s">
        <v>278</v>
      </c>
      <c r="H155" s="32">
        <v>45397.0</v>
      </c>
      <c r="I155" s="9" t="s">
        <v>278</v>
      </c>
      <c r="J155" s="10">
        <v>45397.0</v>
      </c>
      <c r="K155" s="3"/>
      <c r="L155" s="3"/>
      <c r="M155" s="3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4.25" customHeight="1">
      <c r="A156" s="5" t="s">
        <v>287</v>
      </c>
      <c r="B156" s="5" t="s">
        <v>288</v>
      </c>
      <c r="C156" s="5" t="s">
        <v>24</v>
      </c>
      <c r="D156" s="33"/>
      <c r="E156" s="7">
        <v>1.0</v>
      </c>
      <c r="F156" s="8"/>
      <c r="G156" s="37" t="s">
        <v>278</v>
      </c>
      <c r="H156" s="32">
        <v>45397.0</v>
      </c>
      <c r="I156" s="9" t="s">
        <v>278</v>
      </c>
      <c r="J156" s="10">
        <v>45397.0</v>
      </c>
      <c r="K156" s="3"/>
      <c r="L156" s="3"/>
      <c r="M156" s="3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4.25" customHeight="1">
      <c r="A157" s="5" t="s">
        <v>289</v>
      </c>
      <c r="B157" s="5" t="s">
        <v>290</v>
      </c>
      <c r="C157" s="5" t="s">
        <v>24</v>
      </c>
      <c r="D157" s="33"/>
      <c r="E157" s="7">
        <v>1.0</v>
      </c>
      <c r="F157" s="8"/>
      <c r="G157" s="8"/>
      <c r="H157" s="18"/>
      <c r="I157" s="3"/>
      <c r="J157" s="18"/>
      <c r="K157" s="3"/>
      <c r="L157" s="3"/>
      <c r="M157" s="3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4.25" customHeight="1">
      <c r="A158" s="5" t="s">
        <v>291</v>
      </c>
      <c r="B158" s="5" t="s">
        <v>292</v>
      </c>
      <c r="C158" s="5" t="s">
        <v>24</v>
      </c>
      <c r="D158" s="33"/>
      <c r="E158" s="7">
        <v>29.41</v>
      </c>
      <c r="F158" s="8"/>
      <c r="G158" s="37" t="s">
        <v>278</v>
      </c>
      <c r="H158" s="32">
        <v>45397.0</v>
      </c>
      <c r="I158" s="9" t="s">
        <v>278</v>
      </c>
      <c r="J158" s="10">
        <v>45397.0</v>
      </c>
      <c r="K158" s="3"/>
      <c r="L158" s="3"/>
      <c r="M158" s="3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4.25" customHeight="1">
      <c r="A159" s="5" t="s">
        <v>293</v>
      </c>
      <c r="B159" s="5" t="s">
        <v>294</v>
      </c>
      <c r="C159" s="5" t="s">
        <v>24</v>
      </c>
      <c r="D159" s="33"/>
      <c r="E159" s="7">
        <v>15.12</v>
      </c>
      <c r="F159" s="8"/>
      <c r="G159" s="37" t="s">
        <v>278</v>
      </c>
      <c r="H159" s="32">
        <v>45397.0</v>
      </c>
      <c r="I159" s="3"/>
      <c r="J159" s="18"/>
      <c r="K159" s="3"/>
      <c r="L159" s="3"/>
      <c r="M159" s="3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4.25" customHeight="1">
      <c r="A160" s="5" t="s">
        <v>295</v>
      </c>
      <c r="B160" s="5" t="s">
        <v>296</v>
      </c>
      <c r="C160" s="5" t="s">
        <v>24</v>
      </c>
      <c r="D160" s="33"/>
      <c r="E160" s="7">
        <v>30661.16</v>
      </c>
      <c r="F160" s="8"/>
      <c r="G160" s="37" t="s">
        <v>278</v>
      </c>
      <c r="H160" s="32">
        <v>45397.0</v>
      </c>
      <c r="I160" s="3"/>
      <c r="J160" s="18"/>
      <c r="K160" s="3"/>
      <c r="L160" s="3"/>
      <c r="M160" s="3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4.25" customHeight="1">
      <c r="A161" s="5" t="s">
        <v>297</v>
      </c>
      <c r="B161" s="5" t="s">
        <v>298</v>
      </c>
      <c r="C161" s="5" t="s">
        <v>24</v>
      </c>
      <c r="D161" s="33"/>
      <c r="E161" s="7">
        <v>9994.1</v>
      </c>
      <c r="F161" s="8"/>
      <c r="G161" s="37" t="s">
        <v>278</v>
      </c>
      <c r="H161" s="32">
        <v>45397.0</v>
      </c>
      <c r="I161" s="3"/>
      <c r="J161" s="18"/>
      <c r="K161" s="3"/>
      <c r="L161" s="3"/>
      <c r="M161" s="3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4.25" customHeight="1">
      <c r="A162" s="5" t="s">
        <v>299</v>
      </c>
      <c r="B162" s="5" t="s">
        <v>300</v>
      </c>
      <c r="C162" s="5" t="s">
        <v>24</v>
      </c>
      <c r="D162" s="33"/>
      <c r="E162" s="7">
        <v>25974.02</v>
      </c>
      <c r="F162" s="8"/>
      <c r="G162" s="37" t="s">
        <v>278</v>
      </c>
      <c r="H162" s="32">
        <v>45397.0</v>
      </c>
      <c r="I162" s="3"/>
      <c r="J162" s="18"/>
      <c r="K162" s="3"/>
      <c r="L162" s="3"/>
      <c r="M162" s="3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4.25" customHeight="1">
      <c r="A163" s="5" t="s">
        <v>301</v>
      </c>
      <c r="B163" s="5" t="s">
        <v>302</v>
      </c>
      <c r="C163" s="5" t="s">
        <v>24</v>
      </c>
      <c r="D163" s="33"/>
      <c r="E163" s="7">
        <v>85.12</v>
      </c>
      <c r="F163" s="8"/>
      <c r="G163" s="37" t="s">
        <v>278</v>
      </c>
      <c r="H163" s="32">
        <v>45397.0</v>
      </c>
      <c r="I163" s="3"/>
      <c r="J163" s="18"/>
      <c r="K163" s="3"/>
      <c r="L163" s="3"/>
      <c r="M163" s="3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4.25" customHeight="1">
      <c r="A164" s="5" t="s">
        <v>303</v>
      </c>
      <c r="B164" s="5" t="s">
        <v>304</v>
      </c>
      <c r="C164" s="5" t="s">
        <v>24</v>
      </c>
      <c r="D164" s="33"/>
      <c r="E164" s="7">
        <v>3553.72</v>
      </c>
      <c r="F164" s="8"/>
      <c r="G164" s="37" t="s">
        <v>278</v>
      </c>
      <c r="H164" s="32">
        <v>45397.0</v>
      </c>
      <c r="I164" s="3"/>
      <c r="J164" s="18"/>
      <c r="K164" s="3"/>
      <c r="L164" s="3"/>
      <c r="M164" s="3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4.25" customHeight="1">
      <c r="A165" s="5" t="s">
        <v>305</v>
      </c>
      <c r="B165" s="5" t="s">
        <v>306</v>
      </c>
      <c r="C165" s="5" t="s">
        <v>24</v>
      </c>
      <c r="D165" s="33"/>
      <c r="E165" s="7">
        <v>7933.88</v>
      </c>
      <c r="F165" s="8"/>
      <c r="G165" s="37" t="s">
        <v>278</v>
      </c>
      <c r="H165" s="32">
        <v>45400.0</v>
      </c>
      <c r="I165" s="3"/>
      <c r="J165" s="18"/>
      <c r="K165" s="3"/>
      <c r="L165" s="3"/>
      <c r="M165" s="3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4.25" customHeight="1">
      <c r="A166" s="5" t="s">
        <v>307</v>
      </c>
      <c r="B166" s="5" t="s">
        <v>308</v>
      </c>
      <c r="C166" s="5" t="s">
        <v>24</v>
      </c>
      <c r="D166" s="33"/>
      <c r="E166" s="8"/>
      <c r="F166" s="8"/>
      <c r="G166" s="8"/>
      <c r="H166" s="18"/>
      <c r="I166" s="9" t="s">
        <v>278</v>
      </c>
      <c r="J166" s="10">
        <v>45397.0</v>
      </c>
      <c r="K166" s="3"/>
      <c r="L166" s="3"/>
      <c r="M166" s="3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4.25" customHeight="1">
      <c r="A167" s="5" t="s">
        <v>309</v>
      </c>
      <c r="B167" s="5" t="s">
        <v>310</v>
      </c>
      <c r="C167" s="5" t="s">
        <v>24</v>
      </c>
      <c r="D167" s="33"/>
      <c r="E167" s="8"/>
      <c r="F167" s="8"/>
      <c r="G167" s="8"/>
      <c r="H167" s="18"/>
      <c r="I167" s="9" t="s">
        <v>278</v>
      </c>
      <c r="J167" s="10">
        <v>45397.0</v>
      </c>
      <c r="K167" s="3"/>
      <c r="L167" s="3"/>
      <c r="M167" s="3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4.25" customHeight="1">
      <c r="A168" s="5" t="s">
        <v>311</v>
      </c>
      <c r="B168" s="5" t="s">
        <v>312</v>
      </c>
      <c r="C168" s="5" t="s">
        <v>24</v>
      </c>
      <c r="D168" s="33"/>
      <c r="E168" s="8"/>
      <c r="F168" s="8"/>
      <c r="G168" s="8"/>
      <c r="H168" s="18"/>
      <c r="I168" s="9" t="s">
        <v>278</v>
      </c>
      <c r="J168" s="10">
        <v>45397.0</v>
      </c>
      <c r="K168" s="3"/>
      <c r="L168" s="3"/>
      <c r="M168" s="3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4.25" customHeight="1">
      <c r="A169" s="5" t="s">
        <v>313</v>
      </c>
      <c r="B169" s="5" t="s">
        <v>314</v>
      </c>
      <c r="C169" s="5" t="s">
        <v>24</v>
      </c>
      <c r="D169" s="3"/>
      <c r="E169" s="8"/>
      <c r="F169" s="8"/>
      <c r="G169" s="8"/>
      <c r="H169" s="18"/>
      <c r="I169" s="9" t="s">
        <v>278</v>
      </c>
      <c r="J169" s="10">
        <v>45397.0</v>
      </c>
      <c r="K169" s="3"/>
      <c r="L169" s="3"/>
      <c r="M169" s="3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4.25" customHeight="1">
      <c r="A170" s="5" t="s">
        <v>315</v>
      </c>
      <c r="B170" s="5" t="s">
        <v>316</v>
      </c>
      <c r="C170" s="5" t="s">
        <v>145</v>
      </c>
      <c r="D170" s="33"/>
      <c r="E170" s="8"/>
      <c r="F170" s="8"/>
      <c r="G170" s="8"/>
      <c r="H170" s="18"/>
      <c r="I170" s="9" t="s">
        <v>278</v>
      </c>
      <c r="J170" s="10">
        <v>45397.0</v>
      </c>
      <c r="K170" s="3"/>
      <c r="L170" s="3"/>
      <c r="M170" s="3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4.25" customHeight="1">
      <c r="A171" s="5" t="s">
        <v>301</v>
      </c>
      <c r="B171" s="5" t="s">
        <v>317</v>
      </c>
      <c r="C171" s="5" t="s">
        <v>24</v>
      </c>
      <c r="D171" s="33"/>
      <c r="E171" s="8"/>
      <c r="F171" s="8"/>
      <c r="G171" s="8"/>
      <c r="H171" s="18"/>
      <c r="I171" s="9" t="s">
        <v>278</v>
      </c>
      <c r="J171" s="10">
        <v>45397.0</v>
      </c>
      <c r="K171" s="3"/>
      <c r="L171" s="3"/>
      <c r="M171" s="3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4.25" customHeight="1">
      <c r="A172" s="5" t="s">
        <v>318</v>
      </c>
      <c r="B172" s="5" t="s">
        <v>319</v>
      </c>
      <c r="C172" s="5" t="s">
        <v>24</v>
      </c>
      <c r="D172" s="33"/>
      <c r="E172" s="8"/>
      <c r="F172" s="8"/>
      <c r="G172" s="8"/>
      <c r="H172" s="18"/>
      <c r="I172" s="9" t="s">
        <v>278</v>
      </c>
      <c r="J172" s="10">
        <v>45397.0</v>
      </c>
      <c r="K172" s="3"/>
      <c r="L172" s="3"/>
      <c r="M172" s="3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4.25" customHeight="1">
      <c r="A173" s="5" t="s">
        <v>320</v>
      </c>
      <c r="B173" s="5" t="s">
        <v>321</v>
      </c>
      <c r="C173" s="5" t="s">
        <v>48</v>
      </c>
      <c r="D173" s="33"/>
      <c r="E173" s="8"/>
      <c r="F173" s="8"/>
      <c r="G173" s="8"/>
      <c r="H173" s="18"/>
      <c r="I173" s="9" t="s">
        <v>278</v>
      </c>
      <c r="J173" s="10">
        <v>45397.0</v>
      </c>
      <c r="K173" s="3"/>
      <c r="L173" s="3"/>
      <c r="M173" s="3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4.25" customHeight="1">
      <c r="A174" s="3"/>
      <c r="B174" s="3"/>
      <c r="C174" s="3"/>
      <c r="D174" s="3"/>
      <c r="E174" s="8"/>
      <c r="F174" s="38"/>
      <c r="G174" s="8"/>
      <c r="H174" s="3"/>
      <c r="I174" s="3"/>
      <c r="J174" s="18"/>
      <c r="K174" s="3"/>
      <c r="L174" s="3"/>
      <c r="M174" s="3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4.25" customHeight="1">
      <c r="A175" s="3"/>
      <c r="B175" s="3"/>
      <c r="C175" s="3"/>
      <c r="D175" s="33"/>
      <c r="E175" s="8"/>
      <c r="F175" s="38"/>
      <c r="G175" s="8"/>
      <c r="H175" s="3"/>
      <c r="I175" s="3"/>
      <c r="J175" s="18"/>
      <c r="K175" s="3"/>
      <c r="L175" s="3"/>
      <c r="M175" s="3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4.25" customHeight="1">
      <c r="A176" s="4" t="s">
        <v>1</v>
      </c>
      <c r="B176" s="4" t="s">
        <v>322</v>
      </c>
      <c r="C176" s="2"/>
      <c r="D176" s="35" t="s">
        <v>4</v>
      </c>
      <c r="E176" s="20" t="s">
        <v>5</v>
      </c>
      <c r="F176" s="36"/>
      <c r="G176" s="21"/>
      <c r="H176" s="2"/>
      <c r="I176" s="4" t="s">
        <v>8</v>
      </c>
      <c r="J176" s="22" t="s">
        <v>9</v>
      </c>
      <c r="K176" s="3"/>
      <c r="L176" s="3"/>
      <c r="M176" s="3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4.25" customHeight="1">
      <c r="A177" s="3" t="s">
        <v>323</v>
      </c>
      <c r="B177" s="3" t="s">
        <v>324</v>
      </c>
      <c r="C177" s="3" t="s">
        <v>24</v>
      </c>
      <c r="D177" s="39">
        <v>1.0</v>
      </c>
      <c r="E177" s="40">
        <f t="shared" ref="E177:E184" si="9">D177/1.21</f>
        <v>0.826446281</v>
      </c>
      <c r="F177" s="38"/>
      <c r="G177" s="8"/>
      <c r="H177" s="3"/>
      <c r="I177" s="3"/>
      <c r="J177" s="18"/>
      <c r="K177" s="3"/>
      <c r="L177" s="3"/>
      <c r="M177" s="3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4.25" customHeight="1">
      <c r="A178" s="3" t="s">
        <v>325</v>
      </c>
      <c r="B178" s="3" t="s">
        <v>326</v>
      </c>
      <c r="C178" s="3" t="s">
        <v>24</v>
      </c>
      <c r="D178" s="6">
        <v>69219.5</v>
      </c>
      <c r="E178" s="7">
        <f t="shared" si="9"/>
        <v>57206.19835</v>
      </c>
      <c r="F178" s="38"/>
      <c r="G178" s="8"/>
      <c r="H178" s="3"/>
      <c r="I178" s="9" t="s">
        <v>278</v>
      </c>
      <c r="J178" s="32">
        <v>45687.0</v>
      </c>
      <c r="K178" s="3"/>
      <c r="L178" s="3"/>
      <c r="M178" s="3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4.25" customHeight="1">
      <c r="A179" s="3" t="s">
        <v>327</v>
      </c>
      <c r="B179" s="3" t="s">
        <v>328</v>
      </c>
      <c r="C179" s="3" t="s">
        <v>24</v>
      </c>
      <c r="D179" s="6">
        <v>77872.0</v>
      </c>
      <c r="E179" s="7">
        <f t="shared" si="9"/>
        <v>64357.02479</v>
      </c>
      <c r="F179" s="38"/>
      <c r="G179" s="8"/>
      <c r="H179" s="3"/>
      <c r="I179" s="9" t="s">
        <v>278</v>
      </c>
      <c r="J179" s="32">
        <v>45687.0</v>
      </c>
      <c r="K179" s="3"/>
      <c r="L179" s="3"/>
      <c r="M179" s="3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4.25" customHeight="1">
      <c r="A180" s="3" t="s">
        <v>329</v>
      </c>
      <c r="B180" s="3" t="s">
        <v>330</v>
      </c>
      <c r="C180" s="3" t="s">
        <v>24</v>
      </c>
      <c r="D180" s="6">
        <v>16622.0</v>
      </c>
      <c r="E180" s="7">
        <f t="shared" si="9"/>
        <v>13737.19008</v>
      </c>
      <c r="F180" s="38"/>
      <c r="G180" s="8"/>
      <c r="H180" s="3"/>
      <c r="I180" s="9" t="s">
        <v>278</v>
      </c>
      <c r="J180" s="32">
        <v>45687.0</v>
      </c>
      <c r="K180" s="3"/>
      <c r="L180" s="3"/>
      <c r="M180" s="3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4.25" customHeight="1">
      <c r="A181" s="3" t="s">
        <v>331</v>
      </c>
      <c r="B181" s="3" t="s">
        <v>332</v>
      </c>
      <c r="C181" s="3" t="s">
        <v>24</v>
      </c>
      <c r="D181" s="6">
        <v>20315.5</v>
      </c>
      <c r="E181" s="7">
        <f t="shared" si="9"/>
        <v>16789.66942</v>
      </c>
      <c r="F181" s="38"/>
      <c r="G181" s="8"/>
      <c r="H181" s="3"/>
      <c r="I181" s="9" t="s">
        <v>278</v>
      </c>
      <c r="J181" s="32">
        <v>45687.0</v>
      </c>
      <c r="K181" s="3"/>
      <c r="L181" s="3"/>
      <c r="M181" s="3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4.25" customHeight="1">
      <c r="A182" s="3" t="s">
        <v>333</v>
      </c>
      <c r="B182" s="3" t="s">
        <v>334</v>
      </c>
      <c r="C182" s="3" t="s">
        <v>24</v>
      </c>
      <c r="D182" s="6">
        <v>46553.0</v>
      </c>
      <c r="E182" s="7">
        <f t="shared" si="9"/>
        <v>38473.55372</v>
      </c>
      <c r="F182" s="38"/>
      <c r="G182" s="8"/>
      <c r="H182" s="3"/>
      <c r="I182" s="9" t="s">
        <v>278</v>
      </c>
      <c r="J182" s="32">
        <v>45687.0</v>
      </c>
      <c r="K182" s="3"/>
      <c r="L182" s="3"/>
      <c r="M182" s="3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4.25" customHeight="1">
      <c r="A183" s="3" t="s">
        <v>335</v>
      </c>
      <c r="B183" s="3" t="s">
        <v>336</v>
      </c>
      <c r="C183" s="3" t="s">
        <v>24</v>
      </c>
      <c r="D183" s="6">
        <v>10235.5</v>
      </c>
      <c r="E183" s="7">
        <f t="shared" si="9"/>
        <v>8459.090909</v>
      </c>
      <c r="F183" s="38"/>
      <c r="G183" s="8"/>
      <c r="H183" s="3"/>
      <c r="I183" s="9" t="s">
        <v>278</v>
      </c>
      <c r="J183" s="32">
        <v>45687.0</v>
      </c>
      <c r="K183" s="3"/>
      <c r="L183" s="3"/>
      <c r="M183" s="3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4.25" customHeight="1">
      <c r="A184" s="3" t="s">
        <v>337</v>
      </c>
      <c r="B184" s="3" t="s">
        <v>338</v>
      </c>
      <c r="C184" s="3" t="s">
        <v>24</v>
      </c>
      <c r="D184" s="6">
        <v>48647.0</v>
      </c>
      <c r="E184" s="7">
        <f t="shared" si="9"/>
        <v>40204.13223</v>
      </c>
      <c r="F184" s="38"/>
      <c r="G184" s="8"/>
      <c r="H184" s="3"/>
      <c r="I184" s="9" t="s">
        <v>278</v>
      </c>
      <c r="J184" s="32">
        <v>45687.0</v>
      </c>
      <c r="K184" s="3"/>
      <c r="L184" s="3"/>
      <c r="M184" s="3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4.25" customHeight="1">
      <c r="A185" s="3"/>
      <c r="B185" s="3"/>
      <c r="C185" s="3"/>
      <c r="D185" s="8"/>
      <c r="E185" s="8"/>
      <c r="F185" s="38"/>
      <c r="G185" s="8"/>
      <c r="H185" s="3"/>
      <c r="I185" s="3"/>
      <c r="J185" s="18"/>
      <c r="K185" s="3"/>
      <c r="L185" s="3"/>
      <c r="M185" s="3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4.25" customHeight="1">
      <c r="A186" s="3"/>
      <c r="B186" s="3"/>
      <c r="C186" s="3"/>
      <c r="D186" s="8"/>
      <c r="E186" s="8"/>
      <c r="F186" s="38"/>
      <c r="G186" s="8"/>
      <c r="H186" s="3"/>
      <c r="I186" s="3"/>
      <c r="J186" s="18"/>
      <c r="K186" s="3"/>
      <c r="L186" s="3"/>
      <c r="M186" s="3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4.25" customHeight="1">
      <c r="A187" s="4" t="s">
        <v>1</v>
      </c>
      <c r="B187" s="4" t="s">
        <v>339</v>
      </c>
      <c r="C187" s="2"/>
      <c r="D187" s="35" t="s">
        <v>4</v>
      </c>
      <c r="E187" s="20" t="s">
        <v>5</v>
      </c>
      <c r="F187" s="36"/>
      <c r="G187" s="21"/>
      <c r="H187" s="2"/>
      <c r="I187" s="4" t="s">
        <v>8</v>
      </c>
      <c r="J187" s="22" t="s">
        <v>9</v>
      </c>
      <c r="K187" s="3"/>
      <c r="L187" s="3"/>
      <c r="M187" s="3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4.25" customHeight="1">
      <c r="A188" s="3" t="s">
        <v>340</v>
      </c>
      <c r="B188" s="3" t="s">
        <v>341</v>
      </c>
      <c r="C188" s="3" t="s">
        <v>48</v>
      </c>
      <c r="D188" s="6">
        <v>1.0</v>
      </c>
      <c r="E188" s="7">
        <v>1.0</v>
      </c>
      <c r="F188" s="38"/>
      <c r="G188" s="8"/>
      <c r="H188" s="3"/>
      <c r="I188" s="3"/>
      <c r="J188" s="18"/>
      <c r="K188" s="3"/>
      <c r="L188" s="3"/>
      <c r="M188" s="3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4.25" customHeight="1">
      <c r="A189" s="3"/>
      <c r="B189" s="3"/>
      <c r="C189" s="3"/>
      <c r="D189" s="8"/>
      <c r="E189" s="8"/>
      <c r="F189" s="38"/>
      <c r="G189" s="8"/>
      <c r="H189" s="3"/>
      <c r="I189" s="3"/>
      <c r="J189" s="18"/>
      <c r="K189" s="3"/>
      <c r="L189" s="3"/>
      <c r="M189" s="3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4.25" customHeight="1">
      <c r="A190" s="3"/>
      <c r="B190" s="3"/>
      <c r="C190" s="3"/>
      <c r="D190" s="8"/>
      <c r="E190" s="8"/>
      <c r="F190" s="38"/>
      <c r="G190" s="8"/>
      <c r="H190" s="3"/>
      <c r="I190" s="3"/>
      <c r="J190" s="18"/>
      <c r="K190" s="3"/>
      <c r="L190" s="3"/>
      <c r="M190" s="3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4.25" customHeight="1">
      <c r="A191" s="4" t="s">
        <v>1</v>
      </c>
      <c r="B191" s="4" t="s">
        <v>342</v>
      </c>
      <c r="C191" s="2"/>
      <c r="D191" s="2"/>
      <c r="E191" s="20" t="s">
        <v>4</v>
      </c>
      <c r="F191" s="36"/>
      <c r="G191" s="41" t="s">
        <v>343</v>
      </c>
      <c r="H191" s="2"/>
      <c r="I191" s="4" t="s">
        <v>8</v>
      </c>
      <c r="J191" s="22" t="s">
        <v>9</v>
      </c>
      <c r="K191" s="3"/>
      <c r="L191" s="3"/>
      <c r="M191" s="3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4.25" customHeight="1">
      <c r="A192" s="11" t="s">
        <v>344</v>
      </c>
      <c r="B192" s="11" t="s">
        <v>345</v>
      </c>
      <c r="C192" s="11" t="s">
        <v>24</v>
      </c>
      <c r="D192" s="42"/>
      <c r="E192" s="13">
        <v>150000.0</v>
      </c>
      <c r="F192" s="43"/>
      <c r="G192" s="44" t="s">
        <v>346</v>
      </c>
      <c r="H192" s="11"/>
      <c r="I192" s="14" t="s">
        <v>27</v>
      </c>
      <c r="J192" s="15">
        <v>45789.0</v>
      </c>
      <c r="K192" s="3"/>
      <c r="L192" s="3"/>
      <c r="M192" s="3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4.25" customHeight="1">
      <c r="A193" s="5" t="s">
        <v>347</v>
      </c>
      <c r="B193" s="5" t="s">
        <v>348</v>
      </c>
      <c r="C193" s="5"/>
      <c r="D193" s="3"/>
      <c r="E193" s="7">
        <f>D193/1.21</f>
        <v>0</v>
      </c>
      <c r="F193" s="38"/>
      <c r="G193" s="8"/>
      <c r="H193" s="3"/>
      <c r="I193" s="9" t="s">
        <v>349</v>
      </c>
      <c r="J193" s="10">
        <v>45422.0</v>
      </c>
      <c r="K193" s="3"/>
      <c r="L193" s="3"/>
      <c r="M193" s="3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4.25" customHeight="1">
      <c r="A194" s="5" t="s">
        <v>350</v>
      </c>
      <c r="B194" s="5" t="s">
        <v>351</v>
      </c>
      <c r="C194" s="5" t="s">
        <v>24</v>
      </c>
      <c r="D194" s="3"/>
      <c r="E194" s="7">
        <v>22636.36</v>
      </c>
      <c r="F194" s="38"/>
      <c r="G194" s="8"/>
      <c r="H194" s="3"/>
      <c r="I194" s="9" t="s">
        <v>352</v>
      </c>
      <c r="J194" s="10">
        <v>45407.0</v>
      </c>
      <c r="K194" s="3"/>
      <c r="L194" s="3"/>
      <c r="M194" s="3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4.25" customHeight="1">
      <c r="A195" s="11" t="s">
        <v>353</v>
      </c>
      <c r="B195" s="11" t="s">
        <v>354</v>
      </c>
      <c r="C195" s="11" t="s">
        <v>24</v>
      </c>
      <c r="D195" s="42"/>
      <c r="E195" s="45">
        <v>30000.0</v>
      </c>
      <c r="F195" s="43"/>
      <c r="G195" s="44" t="s">
        <v>355</v>
      </c>
      <c r="H195" s="11"/>
      <c r="I195" s="14" t="s">
        <v>27</v>
      </c>
      <c r="J195" s="15">
        <v>45789.0</v>
      </c>
      <c r="K195" s="3"/>
      <c r="L195" s="3"/>
      <c r="M195" s="3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4.25" customHeight="1">
      <c r="A196" s="11" t="s">
        <v>356</v>
      </c>
      <c r="B196" s="11" t="s">
        <v>357</v>
      </c>
      <c r="C196" s="11" t="s">
        <v>24</v>
      </c>
      <c r="D196" s="42"/>
      <c r="E196" s="45">
        <v>150000.0</v>
      </c>
      <c r="F196" s="43"/>
      <c r="G196" s="44" t="s">
        <v>346</v>
      </c>
      <c r="H196" s="11"/>
      <c r="I196" s="14" t="s">
        <v>27</v>
      </c>
      <c r="J196" s="15">
        <v>45789.0</v>
      </c>
      <c r="K196" s="3"/>
      <c r="L196" s="3"/>
      <c r="M196" s="3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4.25" customHeight="1">
      <c r="A197" s="5" t="s">
        <v>358</v>
      </c>
      <c r="B197" s="5" t="s">
        <v>359</v>
      </c>
      <c r="C197" s="5" t="s">
        <v>24</v>
      </c>
      <c r="D197" s="8"/>
      <c r="E197" s="7">
        <v>5900.0</v>
      </c>
      <c r="F197" s="38"/>
      <c r="G197" s="8"/>
      <c r="H197" s="3"/>
      <c r="I197" s="9" t="s">
        <v>349</v>
      </c>
      <c r="J197" s="10">
        <v>45422.0</v>
      </c>
      <c r="K197" s="3"/>
      <c r="L197" s="3"/>
      <c r="M197" s="3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4.25" customHeight="1">
      <c r="A198" s="5" t="s">
        <v>360</v>
      </c>
      <c r="B198" s="5" t="s">
        <v>361</v>
      </c>
      <c r="C198" s="5" t="s">
        <v>24</v>
      </c>
      <c r="D198" s="8"/>
      <c r="E198" s="7">
        <v>3600.0</v>
      </c>
      <c r="F198" s="38"/>
      <c r="G198" s="8"/>
      <c r="H198" s="3"/>
      <c r="I198" s="9" t="s">
        <v>349</v>
      </c>
      <c r="J198" s="10">
        <v>45422.0</v>
      </c>
      <c r="K198" s="3"/>
      <c r="L198" s="3"/>
      <c r="M198" s="3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4.25" customHeight="1">
      <c r="A199" s="5" t="s">
        <v>362</v>
      </c>
      <c r="B199" s="5" t="s">
        <v>363</v>
      </c>
      <c r="C199" s="5" t="s">
        <v>24</v>
      </c>
      <c r="D199" s="8"/>
      <c r="E199" s="7">
        <v>9000.0</v>
      </c>
      <c r="F199" s="38"/>
      <c r="G199" s="8"/>
      <c r="H199" s="3"/>
      <c r="I199" s="9" t="s">
        <v>349</v>
      </c>
      <c r="J199" s="10">
        <v>45422.0</v>
      </c>
      <c r="K199" s="3"/>
      <c r="L199" s="3"/>
      <c r="M199" s="3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4.25" customHeight="1">
      <c r="A200" s="11" t="s">
        <v>364</v>
      </c>
      <c r="B200" s="11" t="s">
        <v>365</v>
      </c>
      <c r="C200" s="11" t="s">
        <v>24</v>
      </c>
      <c r="D200" s="12"/>
      <c r="E200" s="13">
        <v>700.0</v>
      </c>
      <c r="F200" s="43"/>
      <c r="G200" s="12"/>
      <c r="H200" s="11"/>
      <c r="I200" s="14" t="s">
        <v>27</v>
      </c>
      <c r="J200" s="15">
        <v>45789.0</v>
      </c>
      <c r="K200" s="3"/>
      <c r="L200" s="3"/>
      <c r="M200" s="3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4.25" customHeight="1">
      <c r="A201" s="11" t="s">
        <v>366</v>
      </c>
      <c r="B201" s="11" t="s">
        <v>367</v>
      </c>
      <c r="C201" s="11" t="s">
        <v>24</v>
      </c>
      <c r="D201" s="12"/>
      <c r="E201" s="13">
        <v>700.0</v>
      </c>
      <c r="F201" s="43"/>
      <c r="G201" s="12"/>
      <c r="H201" s="11"/>
      <c r="I201" s="14" t="s">
        <v>27</v>
      </c>
      <c r="J201" s="15">
        <v>45789.0</v>
      </c>
      <c r="K201" s="3"/>
      <c r="L201" s="3"/>
      <c r="M201" s="3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4.25" customHeight="1">
      <c r="A202" s="5" t="s">
        <v>368</v>
      </c>
      <c r="B202" s="5" t="s">
        <v>369</v>
      </c>
      <c r="C202" s="5" t="s">
        <v>24</v>
      </c>
      <c r="D202" s="8"/>
      <c r="E202" s="7">
        <v>6000.0</v>
      </c>
      <c r="F202" s="38"/>
      <c r="G202" s="8"/>
      <c r="H202" s="3"/>
      <c r="I202" s="3"/>
      <c r="J202" s="18"/>
      <c r="K202" s="3"/>
      <c r="L202" s="3"/>
      <c r="M202" s="3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4.25" customHeight="1">
      <c r="A203" s="11" t="s">
        <v>370</v>
      </c>
      <c r="B203" s="11" t="s">
        <v>371</v>
      </c>
      <c r="C203" s="11" t="s">
        <v>24</v>
      </c>
      <c r="D203" s="12"/>
      <c r="E203" s="13">
        <v>10000.0</v>
      </c>
      <c r="F203" s="43"/>
      <c r="G203" s="12"/>
      <c r="H203" s="11"/>
      <c r="I203" s="14" t="s">
        <v>27</v>
      </c>
      <c r="J203" s="15">
        <v>45789.0</v>
      </c>
      <c r="K203" s="3"/>
      <c r="L203" s="3"/>
      <c r="M203" s="3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4.25" customHeight="1">
      <c r="A204" s="11" t="s">
        <v>372</v>
      </c>
      <c r="B204" s="11" t="s">
        <v>373</v>
      </c>
      <c r="C204" s="11" t="s">
        <v>24</v>
      </c>
      <c r="D204" s="12"/>
      <c r="E204" s="13">
        <v>40000.0</v>
      </c>
      <c r="F204" s="43"/>
      <c r="G204" s="44" t="s">
        <v>374</v>
      </c>
      <c r="H204" s="11"/>
      <c r="I204" s="14" t="s">
        <v>27</v>
      </c>
      <c r="J204" s="15">
        <v>45789.0</v>
      </c>
      <c r="K204" s="3"/>
      <c r="L204" s="3"/>
      <c r="M204" s="3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4.25" customHeight="1">
      <c r="A205" s="5" t="s">
        <v>375</v>
      </c>
      <c r="B205" s="5" t="s">
        <v>376</v>
      </c>
      <c r="C205" s="5" t="s">
        <v>24</v>
      </c>
      <c r="D205" s="8"/>
      <c r="E205" s="7">
        <v>10200.0</v>
      </c>
      <c r="F205" s="38"/>
      <c r="G205" s="8"/>
      <c r="H205" s="3"/>
      <c r="I205" s="3"/>
      <c r="J205" s="18"/>
      <c r="K205" s="3"/>
      <c r="L205" s="3"/>
      <c r="M205" s="3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4.25" customHeight="1">
      <c r="A206" s="5" t="s">
        <v>377</v>
      </c>
      <c r="B206" s="5" t="s">
        <v>378</v>
      </c>
      <c r="C206" s="5" t="s">
        <v>24</v>
      </c>
      <c r="D206" s="8"/>
      <c r="E206" s="7">
        <v>13800.0</v>
      </c>
      <c r="F206" s="38"/>
      <c r="G206" s="8"/>
      <c r="H206" s="3"/>
      <c r="I206" s="3"/>
      <c r="J206" s="18"/>
      <c r="K206" s="3"/>
      <c r="L206" s="3"/>
      <c r="M206" s="3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4.25" customHeight="1">
      <c r="A207" s="5"/>
      <c r="B207" s="5"/>
      <c r="C207" s="5"/>
      <c r="D207" s="8"/>
      <c r="E207" s="8"/>
      <c r="F207" s="38"/>
      <c r="G207" s="8"/>
      <c r="H207" s="3"/>
      <c r="I207" s="3"/>
      <c r="J207" s="18"/>
      <c r="K207" s="3"/>
      <c r="L207" s="3"/>
      <c r="M207" s="3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4.25" customHeight="1">
      <c r="A208" s="11" t="s">
        <v>379</v>
      </c>
      <c r="B208" s="11" t="s">
        <v>380</v>
      </c>
      <c r="C208" s="11" t="s">
        <v>24</v>
      </c>
      <c r="D208" s="12"/>
      <c r="E208" s="13">
        <v>120000.0</v>
      </c>
      <c r="F208" s="43"/>
      <c r="G208" s="44" t="s">
        <v>381</v>
      </c>
      <c r="H208" s="11"/>
      <c r="I208" s="14" t="s">
        <v>27</v>
      </c>
      <c r="J208" s="15">
        <v>45789.0</v>
      </c>
      <c r="K208" s="3"/>
      <c r="L208" s="3"/>
      <c r="M208" s="3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4.25" customHeight="1">
      <c r="A209" s="11" t="s">
        <v>382</v>
      </c>
      <c r="B209" s="11" t="s">
        <v>383</v>
      </c>
      <c r="C209" s="11" t="s">
        <v>66</v>
      </c>
      <c r="D209" s="12"/>
      <c r="E209" s="13">
        <v>120000.0</v>
      </c>
      <c r="F209" s="43"/>
      <c r="G209" s="44" t="s">
        <v>384</v>
      </c>
      <c r="H209" s="11"/>
      <c r="I209" s="14" t="s">
        <v>27</v>
      </c>
      <c r="J209" s="15">
        <v>45789.0</v>
      </c>
      <c r="K209" s="3"/>
      <c r="L209" s="3"/>
      <c r="M209" s="3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4.25" customHeight="1">
      <c r="A210" s="5"/>
      <c r="B210" s="5" t="s">
        <v>385</v>
      </c>
      <c r="C210" s="5" t="s">
        <v>24</v>
      </c>
      <c r="D210" s="3"/>
      <c r="E210" s="7">
        <v>105181.82</v>
      </c>
      <c r="F210" s="38"/>
      <c r="G210" s="8"/>
      <c r="H210" s="3"/>
      <c r="I210" s="9" t="s">
        <v>352</v>
      </c>
      <c r="J210" s="10">
        <v>45407.0</v>
      </c>
      <c r="K210" s="3"/>
      <c r="L210" s="3"/>
      <c r="M210" s="3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4.25" customHeight="1">
      <c r="A211" s="5" t="s">
        <v>386</v>
      </c>
      <c r="B211" s="5" t="s">
        <v>387</v>
      </c>
      <c r="C211" s="5" t="s">
        <v>24</v>
      </c>
      <c r="D211" s="8"/>
      <c r="E211" s="7">
        <v>29818.18</v>
      </c>
      <c r="F211" s="38"/>
      <c r="G211" s="8"/>
      <c r="H211" s="3"/>
      <c r="I211" s="9" t="s">
        <v>352</v>
      </c>
      <c r="J211" s="10">
        <v>45407.0</v>
      </c>
      <c r="K211" s="3"/>
      <c r="L211" s="3"/>
      <c r="M211" s="3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4.25" customHeight="1">
      <c r="A212" s="3"/>
      <c r="B212" s="3"/>
      <c r="C212" s="3"/>
      <c r="D212" s="8"/>
      <c r="E212" s="8"/>
      <c r="F212" s="38"/>
      <c r="G212" s="8"/>
      <c r="H212" s="3"/>
      <c r="I212" s="3"/>
      <c r="J212" s="18"/>
      <c r="K212" s="3"/>
      <c r="L212" s="3"/>
      <c r="M212" s="3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4.25" customHeight="1">
      <c r="A213" s="4" t="s">
        <v>1</v>
      </c>
      <c r="B213" s="4" t="s">
        <v>388</v>
      </c>
      <c r="C213" s="2"/>
      <c r="D213" s="20" t="s">
        <v>4</v>
      </c>
      <c r="E213" s="35" t="s">
        <v>5</v>
      </c>
      <c r="F213" s="36"/>
      <c r="G213" s="21"/>
      <c r="H213" s="2"/>
      <c r="I213" s="4" t="s">
        <v>8</v>
      </c>
      <c r="J213" s="22" t="s">
        <v>9</v>
      </c>
      <c r="K213" s="3"/>
      <c r="L213" s="3"/>
      <c r="M213" s="3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4.25" customHeight="1">
      <c r="A214" s="11" t="s">
        <v>389</v>
      </c>
      <c r="B214" s="11" t="s">
        <v>390</v>
      </c>
      <c r="C214" s="11" t="s">
        <v>48</v>
      </c>
      <c r="D214" s="11"/>
      <c r="E214" s="13">
        <v>45000.0</v>
      </c>
      <c r="F214" s="43"/>
      <c r="G214" s="12"/>
      <c r="H214" s="11"/>
      <c r="I214" s="14" t="s">
        <v>391</v>
      </c>
      <c r="J214" s="15">
        <v>45783.0</v>
      </c>
      <c r="K214" s="3"/>
      <c r="L214" s="3"/>
      <c r="M214" s="3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4.25" customHeight="1">
      <c r="A215" s="11" t="s">
        <v>392</v>
      </c>
      <c r="B215" s="11" t="s">
        <v>393</v>
      </c>
      <c r="C215" s="11" t="s">
        <v>48</v>
      </c>
      <c r="D215" s="12"/>
      <c r="E215" s="13">
        <v>21000.0</v>
      </c>
      <c r="F215" s="43"/>
      <c r="G215" s="12"/>
      <c r="H215" s="11"/>
      <c r="I215" s="14" t="s">
        <v>391</v>
      </c>
      <c r="J215" s="15">
        <v>45785.0</v>
      </c>
      <c r="K215" s="3"/>
      <c r="L215" s="3"/>
      <c r="M215" s="3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4.25" customHeight="1">
      <c r="A216" s="11" t="s">
        <v>394</v>
      </c>
      <c r="B216" s="11" t="s">
        <v>395</v>
      </c>
      <c r="C216" s="11" t="s">
        <v>24</v>
      </c>
      <c r="D216" s="12"/>
      <c r="E216" s="13">
        <v>3000.0</v>
      </c>
      <c r="F216" s="43"/>
      <c r="G216" s="12"/>
      <c r="H216" s="11"/>
      <c r="I216" s="14" t="s">
        <v>27</v>
      </c>
      <c r="J216" s="15">
        <v>45785.0</v>
      </c>
      <c r="K216" s="3"/>
      <c r="L216" s="3"/>
      <c r="M216" s="3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4.25" customHeight="1">
      <c r="A217" s="11" t="s">
        <v>396</v>
      </c>
      <c r="B217" s="11" t="s">
        <v>397</v>
      </c>
      <c r="C217" s="11" t="s">
        <v>24</v>
      </c>
      <c r="D217" s="12"/>
      <c r="E217" s="13">
        <v>8000.0</v>
      </c>
      <c r="F217" s="43"/>
      <c r="G217" s="12"/>
      <c r="H217" s="11"/>
      <c r="I217" s="14" t="s">
        <v>27</v>
      </c>
      <c r="J217" s="15">
        <v>45783.0</v>
      </c>
      <c r="K217" s="3"/>
      <c r="L217" s="3"/>
      <c r="M217" s="3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4.25" customHeight="1">
      <c r="A218" s="11" t="s">
        <v>398</v>
      </c>
      <c r="B218" s="11" t="s">
        <v>399</v>
      </c>
      <c r="C218" s="11" t="s">
        <v>24</v>
      </c>
      <c r="D218" s="11"/>
      <c r="E218" s="13">
        <v>20000.0</v>
      </c>
      <c r="F218" s="43"/>
      <c r="G218" s="12"/>
      <c r="H218" s="11"/>
      <c r="I218" s="14" t="s">
        <v>27</v>
      </c>
      <c r="J218" s="15">
        <v>45783.0</v>
      </c>
      <c r="K218" s="3"/>
      <c r="L218" s="3"/>
      <c r="M218" s="3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4.25" customHeight="1">
      <c r="A219" s="11" t="s">
        <v>400</v>
      </c>
      <c r="B219" s="11" t="s">
        <v>401</v>
      </c>
      <c r="C219" s="11" t="s">
        <v>24</v>
      </c>
      <c r="D219" s="11"/>
      <c r="E219" s="13">
        <v>11000.0</v>
      </c>
      <c r="F219" s="43"/>
      <c r="G219" s="12"/>
      <c r="H219" s="11"/>
      <c r="I219" s="14" t="s">
        <v>27</v>
      </c>
      <c r="J219" s="15">
        <v>45785.0</v>
      </c>
      <c r="K219" s="3"/>
      <c r="L219" s="3"/>
      <c r="M219" s="3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4.25" customHeight="1">
      <c r="A220" s="11" t="s">
        <v>402</v>
      </c>
      <c r="B220" s="11" t="s">
        <v>403</v>
      </c>
      <c r="C220" s="11" t="s">
        <v>24</v>
      </c>
      <c r="D220" s="11"/>
      <c r="E220" s="13">
        <v>21000.0</v>
      </c>
      <c r="F220" s="43"/>
      <c r="G220" s="12"/>
      <c r="H220" s="11"/>
      <c r="I220" s="14" t="s">
        <v>27</v>
      </c>
      <c r="J220" s="15">
        <v>45785.0</v>
      </c>
      <c r="K220" s="3"/>
      <c r="L220" s="3"/>
      <c r="M220" s="3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4.25" customHeight="1">
      <c r="A221" s="11" t="s">
        <v>404</v>
      </c>
      <c r="B221" s="11" t="s">
        <v>405</v>
      </c>
      <c r="C221" s="11" t="s">
        <v>24</v>
      </c>
      <c r="D221" s="11"/>
      <c r="E221" s="13">
        <f>7600*2</f>
        <v>15200</v>
      </c>
      <c r="F221" s="43"/>
      <c r="G221" s="12"/>
      <c r="H221" s="11"/>
      <c r="I221" s="14" t="s">
        <v>27</v>
      </c>
      <c r="J221" s="15">
        <v>45785.0</v>
      </c>
      <c r="K221" s="3"/>
      <c r="L221" s="3"/>
      <c r="M221" s="3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4.25" customHeight="1">
      <c r="A222" s="3"/>
      <c r="B222" s="3"/>
      <c r="C222" s="3"/>
      <c r="D222" s="3"/>
      <c r="E222" s="33"/>
      <c r="F222" s="38"/>
      <c r="G222" s="8"/>
      <c r="H222" s="3"/>
      <c r="I222" s="3"/>
      <c r="J222" s="18"/>
      <c r="K222" s="3"/>
      <c r="L222" s="3"/>
      <c r="M222" s="3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4.25" customHeight="1">
      <c r="A223" s="4" t="s">
        <v>1</v>
      </c>
      <c r="B223" s="4" t="s">
        <v>406</v>
      </c>
      <c r="C223" s="2"/>
      <c r="D223" s="4" t="s">
        <v>4</v>
      </c>
      <c r="E223" s="35" t="s">
        <v>5</v>
      </c>
      <c r="F223" s="36"/>
      <c r="G223" s="21"/>
      <c r="H223" s="2"/>
      <c r="I223" s="4" t="s">
        <v>8</v>
      </c>
      <c r="J223" s="22" t="s">
        <v>9</v>
      </c>
      <c r="K223" s="3"/>
      <c r="L223" s="3"/>
      <c r="M223" s="3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4.25" customHeight="1">
      <c r="A224" s="5" t="s">
        <v>407</v>
      </c>
      <c r="B224" s="46" t="s">
        <v>408</v>
      </c>
      <c r="C224" s="5" t="s">
        <v>24</v>
      </c>
      <c r="D224" s="3"/>
      <c r="E224" s="47">
        <v>17443.18</v>
      </c>
      <c r="F224" s="38"/>
      <c r="G224" s="8"/>
      <c r="H224" s="3"/>
      <c r="I224" s="9" t="s">
        <v>409</v>
      </c>
      <c r="J224" s="10">
        <v>45387.0</v>
      </c>
      <c r="K224" s="3"/>
      <c r="L224" s="3"/>
      <c r="M224" s="3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4.25" customHeight="1">
      <c r="A225" s="11" t="s">
        <v>410</v>
      </c>
      <c r="B225" s="11" t="s">
        <v>411</v>
      </c>
      <c r="C225" s="11" t="s">
        <v>24</v>
      </c>
      <c r="D225" s="11"/>
      <c r="E225" s="45">
        <v>2000000.0</v>
      </c>
      <c r="F225" s="43"/>
      <c r="G225" s="12"/>
      <c r="H225" s="11"/>
      <c r="I225" s="14" t="s">
        <v>60</v>
      </c>
      <c r="J225" s="15">
        <v>45826.0</v>
      </c>
      <c r="K225" s="3"/>
      <c r="L225" s="3"/>
      <c r="M225" s="3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4.25" customHeight="1">
      <c r="A226" s="11" t="s">
        <v>412</v>
      </c>
      <c r="B226" s="11" t="s">
        <v>413</v>
      </c>
      <c r="C226" s="11" t="s">
        <v>24</v>
      </c>
      <c r="D226" s="11"/>
      <c r="E226" s="45">
        <v>30000.0</v>
      </c>
      <c r="F226" s="43"/>
      <c r="G226" s="12"/>
      <c r="H226" s="11"/>
      <c r="I226" s="14" t="s">
        <v>414</v>
      </c>
      <c r="J226" s="15">
        <v>45800.0</v>
      </c>
      <c r="K226" s="3"/>
      <c r="L226" s="3"/>
      <c r="M226" s="3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4.25" customHeight="1">
      <c r="A227" s="11" t="s">
        <v>415</v>
      </c>
      <c r="B227" s="11" t="s">
        <v>416</v>
      </c>
      <c r="C227" s="11" t="s">
        <v>24</v>
      </c>
      <c r="D227" s="11"/>
      <c r="E227" s="45">
        <v>45000.0</v>
      </c>
      <c r="F227" s="43"/>
      <c r="G227" s="12"/>
      <c r="H227" s="11"/>
      <c r="I227" s="14" t="s">
        <v>414</v>
      </c>
      <c r="J227" s="15">
        <v>45747.0</v>
      </c>
      <c r="K227" s="3"/>
      <c r="L227" s="3"/>
      <c r="M227" s="3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4.25" customHeight="1">
      <c r="A228" s="3"/>
      <c r="B228" s="24" t="s">
        <v>417</v>
      </c>
      <c r="C228" s="3"/>
      <c r="D228" s="3"/>
      <c r="E228" s="33"/>
      <c r="F228" s="38"/>
      <c r="G228" s="8"/>
      <c r="H228" s="3"/>
      <c r="I228" s="3"/>
      <c r="J228" s="18"/>
      <c r="K228" s="3"/>
      <c r="L228" s="3"/>
      <c r="M228" s="3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4.25" customHeight="1">
      <c r="A229" s="4" t="s">
        <v>1</v>
      </c>
      <c r="B229" s="4" t="s">
        <v>418</v>
      </c>
      <c r="C229" s="2"/>
      <c r="D229" s="4" t="s">
        <v>4</v>
      </c>
      <c r="E229" s="35" t="s">
        <v>5</v>
      </c>
      <c r="F229" s="36"/>
      <c r="G229" s="21"/>
      <c r="H229" s="2"/>
      <c r="I229" s="4" t="s">
        <v>8</v>
      </c>
      <c r="J229" s="22" t="s">
        <v>9</v>
      </c>
      <c r="K229" s="3"/>
      <c r="L229" s="3"/>
      <c r="M229" s="3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4.25" customHeight="1">
      <c r="A230" s="5" t="s">
        <v>419</v>
      </c>
      <c r="B230" s="3" t="s">
        <v>420</v>
      </c>
      <c r="C230" s="5" t="s">
        <v>145</v>
      </c>
      <c r="D230" s="28">
        <v>10150.0</v>
      </c>
      <c r="E230" s="7">
        <f t="shared" ref="E230:E242" si="10">D230/1.21</f>
        <v>8388.429752</v>
      </c>
      <c r="F230" s="38"/>
      <c r="G230" s="8"/>
      <c r="H230" s="3"/>
      <c r="I230" s="9" t="s">
        <v>421</v>
      </c>
      <c r="J230" s="32">
        <v>45588.0</v>
      </c>
      <c r="K230" s="3"/>
      <c r="L230" s="3"/>
      <c r="M230" s="3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4.25" customHeight="1">
      <c r="A231" s="5" t="s">
        <v>422</v>
      </c>
      <c r="B231" s="3" t="s">
        <v>423</v>
      </c>
      <c r="C231" s="5" t="s">
        <v>145</v>
      </c>
      <c r="D231" s="28">
        <v>11750.0</v>
      </c>
      <c r="E231" s="7">
        <f t="shared" si="10"/>
        <v>9710.743802</v>
      </c>
      <c r="F231" s="38"/>
      <c r="G231" s="8"/>
      <c r="H231" s="3"/>
      <c r="I231" s="9" t="s">
        <v>421</v>
      </c>
      <c r="J231" s="32">
        <v>45588.0</v>
      </c>
      <c r="K231" s="3"/>
      <c r="L231" s="3"/>
      <c r="M231" s="3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4.25" customHeight="1">
      <c r="A232" s="5" t="s">
        <v>424</v>
      </c>
      <c r="B232" s="3" t="s">
        <v>425</v>
      </c>
      <c r="C232" s="5" t="s">
        <v>145</v>
      </c>
      <c r="D232" s="28">
        <v>11750.0</v>
      </c>
      <c r="E232" s="7">
        <f t="shared" si="10"/>
        <v>9710.743802</v>
      </c>
      <c r="F232" s="38"/>
      <c r="G232" s="8"/>
      <c r="H232" s="3"/>
      <c r="I232" s="9" t="s">
        <v>421</v>
      </c>
      <c r="J232" s="32">
        <v>45588.0</v>
      </c>
      <c r="K232" s="3"/>
      <c r="L232" s="3"/>
      <c r="M232" s="3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4.25" customHeight="1">
      <c r="A233" s="5" t="s">
        <v>426</v>
      </c>
      <c r="B233" s="3" t="s">
        <v>427</v>
      </c>
      <c r="C233" s="5" t="s">
        <v>145</v>
      </c>
      <c r="D233" s="28">
        <v>10500.0</v>
      </c>
      <c r="E233" s="7">
        <f t="shared" si="10"/>
        <v>8677.68595</v>
      </c>
      <c r="F233" s="38"/>
      <c r="G233" s="8"/>
      <c r="H233" s="3"/>
      <c r="I233" s="9" t="s">
        <v>421</v>
      </c>
      <c r="J233" s="32">
        <v>45588.0</v>
      </c>
      <c r="K233" s="3"/>
      <c r="L233" s="3"/>
      <c r="M233" s="3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4.25" customHeight="1">
      <c r="A234" s="5" t="s">
        <v>428</v>
      </c>
      <c r="B234" s="3" t="s">
        <v>429</v>
      </c>
      <c r="C234" s="5" t="s">
        <v>145</v>
      </c>
      <c r="D234" s="28">
        <v>12100.0</v>
      </c>
      <c r="E234" s="7">
        <f t="shared" si="10"/>
        <v>10000</v>
      </c>
      <c r="F234" s="38"/>
      <c r="G234" s="8"/>
      <c r="H234" s="3"/>
      <c r="I234" s="9" t="s">
        <v>421</v>
      </c>
      <c r="J234" s="32">
        <v>45588.0</v>
      </c>
      <c r="K234" s="3"/>
      <c r="L234" s="3"/>
      <c r="M234" s="3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4.25" customHeight="1">
      <c r="A235" s="5" t="s">
        <v>430</v>
      </c>
      <c r="B235" s="3" t="s">
        <v>431</v>
      </c>
      <c r="C235" s="5" t="s">
        <v>145</v>
      </c>
      <c r="D235" s="28">
        <v>12100.0</v>
      </c>
      <c r="E235" s="7">
        <f t="shared" si="10"/>
        <v>10000</v>
      </c>
      <c r="F235" s="38"/>
      <c r="G235" s="8"/>
      <c r="H235" s="3"/>
      <c r="I235" s="9" t="s">
        <v>421</v>
      </c>
      <c r="J235" s="32">
        <v>45588.0</v>
      </c>
      <c r="K235" s="3"/>
      <c r="L235" s="3"/>
      <c r="M235" s="3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4.25" customHeight="1">
      <c r="A236" s="5" t="s">
        <v>432</v>
      </c>
      <c r="B236" s="3" t="s">
        <v>433</v>
      </c>
      <c r="C236" s="5" t="s">
        <v>145</v>
      </c>
      <c r="D236" s="28">
        <v>10500.0</v>
      </c>
      <c r="E236" s="7">
        <f t="shared" si="10"/>
        <v>8677.68595</v>
      </c>
      <c r="F236" s="38"/>
      <c r="G236" s="8"/>
      <c r="H236" s="3"/>
      <c r="I236" s="9" t="s">
        <v>421</v>
      </c>
      <c r="J236" s="32">
        <v>45588.0</v>
      </c>
      <c r="K236" s="3"/>
      <c r="L236" s="3"/>
      <c r="M236" s="3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4.25" customHeight="1">
      <c r="A237" s="5" t="s">
        <v>434</v>
      </c>
      <c r="B237" s="3" t="s">
        <v>435</v>
      </c>
      <c r="C237" s="5" t="s">
        <v>145</v>
      </c>
      <c r="D237" s="28">
        <v>18100.0</v>
      </c>
      <c r="E237" s="7">
        <f t="shared" si="10"/>
        <v>14958.67769</v>
      </c>
      <c r="F237" s="38"/>
      <c r="G237" s="8"/>
      <c r="H237" s="3"/>
      <c r="I237" s="9" t="s">
        <v>421</v>
      </c>
      <c r="J237" s="32">
        <v>45588.0</v>
      </c>
      <c r="K237" s="3"/>
      <c r="L237" s="3"/>
      <c r="M237" s="3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4.25" customHeight="1">
      <c r="A238" s="5" t="s">
        <v>436</v>
      </c>
      <c r="B238" s="3" t="s">
        <v>437</v>
      </c>
      <c r="C238" s="5" t="s">
        <v>145</v>
      </c>
      <c r="D238" s="28">
        <v>18100.0</v>
      </c>
      <c r="E238" s="7">
        <f t="shared" si="10"/>
        <v>14958.67769</v>
      </c>
      <c r="F238" s="38"/>
      <c r="G238" s="8"/>
      <c r="H238" s="3"/>
      <c r="I238" s="9" t="s">
        <v>421</v>
      </c>
      <c r="J238" s="32">
        <v>45588.0</v>
      </c>
      <c r="K238" s="3"/>
      <c r="L238" s="3"/>
      <c r="M238" s="3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4.25" customHeight="1">
      <c r="A239" s="5" t="s">
        <v>438</v>
      </c>
      <c r="B239" s="3" t="s">
        <v>439</v>
      </c>
      <c r="C239" s="5" t="s">
        <v>24</v>
      </c>
      <c r="D239" s="6">
        <v>33267.02</v>
      </c>
      <c r="E239" s="48">
        <f t="shared" si="10"/>
        <v>27493.40496</v>
      </c>
      <c r="F239" s="38"/>
      <c r="G239" s="8"/>
      <c r="H239" s="3"/>
      <c r="I239" s="3"/>
      <c r="J239" s="18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4.25" customHeight="1">
      <c r="A240" s="5" t="s">
        <v>440</v>
      </c>
      <c r="B240" s="3" t="s">
        <v>441</v>
      </c>
      <c r="C240" s="5" t="s">
        <v>24</v>
      </c>
      <c r="D240" s="6">
        <v>28637.58</v>
      </c>
      <c r="E240" s="40">
        <f t="shared" si="10"/>
        <v>23667.42149</v>
      </c>
      <c r="F240" s="38"/>
      <c r="G240" s="8"/>
      <c r="H240" s="3"/>
      <c r="I240" s="9" t="s">
        <v>421</v>
      </c>
      <c r="J240" s="32">
        <v>45588.0</v>
      </c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4.25" customHeight="1">
      <c r="A241" s="5" t="s">
        <v>442</v>
      </c>
      <c r="B241" s="3" t="s">
        <v>443</v>
      </c>
      <c r="C241" s="5" t="s">
        <v>24</v>
      </c>
      <c r="D241" s="6">
        <v>41090.72</v>
      </c>
      <c r="E241" s="7">
        <f t="shared" si="10"/>
        <v>33959.27273</v>
      </c>
      <c r="F241" s="38"/>
      <c r="G241" s="8"/>
      <c r="H241" s="3"/>
      <c r="I241" s="9" t="s">
        <v>421</v>
      </c>
      <c r="J241" s="32">
        <v>45588.0</v>
      </c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4.25" customHeight="1">
      <c r="A242" s="5" t="s">
        <v>444</v>
      </c>
      <c r="B242" s="3" t="s">
        <v>445</v>
      </c>
      <c r="C242" s="5" t="s">
        <v>446</v>
      </c>
      <c r="D242" s="6">
        <v>59335.96</v>
      </c>
      <c r="E242" s="48">
        <f t="shared" si="10"/>
        <v>49037.98347</v>
      </c>
      <c r="F242" s="38"/>
      <c r="G242" s="8"/>
      <c r="H242" s="3"/>
      <c r="I242" s="3"/>
      <c r="J242" s="18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4.25" customHeight="1">
      <c r="A243" s="5" t="s">
        <v>447</v>
      </c>
      <c r="B243" s="3" t="s">
        <v>448</v>
      </c>
      <c r="C243" s="5" t="s">
        <v>24</v>
      </c>
      <c r="D243" s="3"/>
      <c r="E243" s="40">
        <v>66212.89</v>
      </c>
      <c r="F243" s="38"/>
      <c r="G243" s="8"/>
      <c r="H243" s="3"/>
      <c r="I243" s="9" t="s">
        <v>449</v>
      </c>
      <c r="J243" s="32">
        <v>45589.0</v>
      </c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4.25" customHeight="1">
      <c r="A244" s="5" t="s">
        <v>450</v>
      </c>
      <c r="B244" s="3" t="s">
        <v>451</v>
      </c>
      <c r="C244" s="5" t="s">
        <v>24</v>
      </c>
      <c r="D244" s="3"/>
      <c r="E244" s="7">
        <v>55788.0</v>
      </c>
      <c r="F244" s="38"/>
      <c r="G244" s="8"/>
      <c r="H244" s="3"/>
      <c r="I244" s="9" t="s">
        <v>449</v>
      </c>
      <c r="J244" s="32">
        <v>45589.0</v>
      </c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4.25" customHeight="1">
      <c r="A245" s="5" t="s">
        <v>452</v>
      </c>
      <c r="B245" s="3" t="s">
        <v>453</v>
      </c>
      <c r="C245" s="5" t="s">
        <v>66</v>
      </c>
      <c r="D245" s="3"/>
      <c r="E245" s="40">
        <v>1.0</v>
      </c>
      <c r="F245" s="38"/>
      <c r="G245" s="8"/>
      <c r="H245" s="3"/>
      <c r="I245" s="9" t="s">
        <v>449</v>
      </c>
      <c r="J245" s="18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4.25" customHeight="1">
      <c r="A246" s="5" t="s">
        <v>454</v>
      </c>
      <c r="B246" s="3" t="s">
        <v>455</v>
      </c>
      <c r="C246" s="5" t="s">
        <v>66</v>
      </c>
      <c r="D246" s="28">
        <v>231000.0</v>
      </c>
      <c r="E246" s="7">
        <f>D246/1.21</f>
        <v>190909.0909</v>
      </c>
      <c r="F246" s="38"/>
      <c r="G246" s="8"/>
      <c r="H246" s="3"/>
      <c r="I246" s="9" t="s">
        <v>449</v>
      </c>
      <c r="J246" s="32">
        <v>45526.0</v>
      </c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4.25" customHeight="1">
      <c r="A247" s="5" t="s">
        <v>456</v>
      </c>
      <c r="B247" s="3" t="s">
        <v>457</v>
      </c>
      <c r="C247" s="5" t="s">
        <v>24</v>
      </c>
      <c r="D247" s="3"/>
      <c r="E247" s="40">
        <v>1753.0</v>
      </c>
      <c r="F247" s="38"/>
      <c r="G247" s="8"/>
      <c r="H247" s="3"/>
      <c r="I247" s="9" t="s">
        <v>449</v>
      </c>
      <c r="J247" s="32">
        <v>45526.0</v>
      </c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4.25" customHeight="1">
      <c r="A248" s="5" t="s">
        <v>458</v>
      </c>
      <c r="B248" s="3" t="s">
        <v>459</v>
      </c>
      <c r="C248" s="5" t="s">
        <v>24</v>
      </c>
      <c r="D248" s="6">
        <v>92815.62</v>
      </c>
      <c r="E248" s="48">
        <f t="shared" ref="E248:E250" si="11">D248/1.21</f>
        <v>76707.12397</v>
      </c>
      <c r="F248" s="38"/>
      <c r="G248" s="8"/>
      <c r="H248" s="3"/>
      <c r="I248" s="3"/>
      <c r="J248" s="18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4.25" customHeight="1">
      <c r="A249" s="5" t="s">
        <v>460</v>
      </c>
      <c r="B249" s="3" t="s">
        <v>461</v>
      </c>
      <c r="C249" s="5" t="s">
        <v>24</v>
      </c>
      <c r="D249" s="6">
        <v>138008.1</v>
      </c>
      <c r="E249" s="48">
        <f t="shared" si="11"/>
        <v>114056.281</v>
      </c>
      <c r="F249" s="38"/>
      <c r="G249" s="8"/>
      <c r="H249" s="3"/>
      <c r="I249" s="3"/>
      <c r="J249" s="18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4.25" customHeight="1">
      <c r="A250" s="5" t="s">
        <v>462</v>
      </c>
      <c r="B250" s="3" t="s">
        <v>463</v>
      </c>
      <c r="C250" s="5" t="s">
        <v>446</v>
      </c>
      <c r="D250" s="6">
        <v>110518.0</v>
      </c>
      <c r="E250" s="48">
        <f t="shared" si="11"/>
        <v>91337.19008</v>
      </c>
      <c r="F250" s="38"/>
      <c r="G250" s="8"/>
      <c r="H250" s="3"/>
      <c r="I250" s="3"/>
      <c r="J250" s="18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4.25" customHeight="1">
      <c r="A251" s="5" t="s">
        <v>464</v>
      </c>
      <c r="B251" s="3" t="s">
        <v>465</v>
      </c>
      <c r="C251" s="5" t="s">
        <v>24</v>
      </c>
      <c r="D251" s="3"/>
      <c r="E251" s="48">
        <v>1.0</v>
      </c>
      <c r="F251" s="38"/>
      <c r="G251" s="8"/>
      <c r="H251" s="3"/>
      <c r="I251" s="3"/>
      <c r="J251" s="18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4.25" customHeight="1">
      <c r="A252" s="5" t="s">
        <v>466</v>
      </c>
      <c r="B252" s="3" t="s">
        <v>467</v>
      </c>
      <c r="C252" s="5" t="s">
        <v>24</v>
      </c>
      <c r="D252" s="28">
        <v>27102.0</v>
      </c>
      <c r="E252" s="7">
        <f t="shared" ref="E252:E254" si="12">D252/1.21</f>
        <v>22398.34711</v>
      </c>
      <c r="F252" s="38"/>
      <c r="G252" s="8"/>
      <c r="H252" s="3"/>
      <c r="I252" s="3"/>
      <c r="J252" s="18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4.25" customHeight="1">
      <c r="A253" s="5" t="s">
        <v>468</v>
      </c>
      <c r="B253" s="3" t="s">
        <v>469</v>
      </c>
      <c r="C253" s="5" t="s">
        <v>446</v>
      </c>
      <c r="D253" s="28">
        <v>34580.0</v>
      </c>
      <c r="E253" s="48">
        <f t="shared" si="12"/>
        <v>28578.5124</v>
      </c>
      <c r="F253" s="38"/>
      <c r="G253" s="8"/>
      <c r="H253" s="3"/>
      <c r="I253" s="3"/>
      <c r="J253" s="18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4.25" customHeight="1">
      <c r="A254" s="5" t="s">
        <v>470</v>
      </c>
      <c r="B254" s="3" t="s">
        <v>471</v>
      </c>
      <c r="C254" s="5" t="s">
        <v>446</v>
      </c>
      <c r="D254" s="28">
        <v>29640.0</v>
      </c>
      <c r="E254" s="48">
        <f t="shared" si="12"/>
        <v>24495.86777</v>
      </c>
      <c r="F254" s="38"/>
      <c r="G254" s="8"/>
      <c r="H254" s="3"/>
      <c r="I254" s="3"/>
      <c r="J254" s="18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4.25" customHeight="1">
      <c r="A255" s="5"/>
      <c r="B255" s="3"/>
      <c r="C255" s="5"/>
      <c r="D255" s="3"/>
      <c r="E255" s="33"/>
      <c r="F255" s="38"/>
      <c r="G255" s="8"/>
      <c r="H255" s="3"/>
      <c r="I255" s="3"/>
      <c r="J255" s="18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4.25" customHeight="1">
      <c r="A256" s="4" t="s">
        <v>1</v>
      </c>
      <c r="B256" s="4" t="s">
        <v>472</v>
      </c>
      <c r="C256" s="2"/>
      <c r="D256" s="4" t="s">
        <v>4</v>
      </c>
      <c r="E256" s="35" t="s">
        <v>5</v>
      </c>
      <c r="F256" s="36"/>
      <c r="G256" s="21"/>
      <c r="H256" s="2"/>
      <c r="I256" s="4" t="s">
        <v>8</v>
      </c>
      <c r="J256" s="22" t="s">
        <v>9</v>
      </c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4.25" customHeight="1">
      <c r="A257" s="5" t="s">
        <v>473</v>
      </c>
      <c r="B257" s="3" t="s">
        <v>474</v>
      </c>
      <c r="C257" s="5" t="s">
        <v>145</v>
      </c>
      <c r="D257" s="28">
        <v>1.0</v>
      </c>
      <c r="E257" s="7">
        <v>1.0</v>
      </c>
      <c r="F257" s="38"/>
      <c r="G257" s="8"/>
      <c r="H257" s="3"/>
      <c r="I257" s="9" t="s">
        <v>421</v>
      </c>
      <c r="J257" s="32">
        <v>45588.0</v>
      </c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4.25" customHeight="1">
      <c r="A258" s="5" t="s">
        <v>475</v>
      </c>
      <c r="B258" s="3" t="s">
        <v>476</v>
      </c>
      <c r="C258" s="5" t="s">
        <v>145</v>
      </c>
      <c r="D258" s="28">
        <v>1.0</v>
      </c>
      <c r="E258" s="7">
        <v>1.0</v>
      </c>
      <c r="F258" s="38"/>
      <c r="G258" s="8"/>
      <c r="H258" s="3"/>
      <c r="I258" s="9" t="s">
        <v>421</v>
      </c>
      <c r="J258" s="32">
        <v>45588.0</v>
      </c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4.25" customHeight="1">
      <c r="A259" s="5"/>
      <c r="B259" s="3"/>
      <c r="C259" s="5"/>
      <c r="D259" s="3"/>
      <c r="E259" s="33"/>
      <c r="F259" s="38"/>
      <c r="G259" s="8"/>
      <c r="H259" s="3"/>
      <c r="I259" s="3"/>
      <c r="J259" s="18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4.25" customHeight="1">
      <c r="A260" s="3"/>
      <c r="B260" s="3"/>
      <c r="C260" s="3"/>
      <c r="D260" s="3"/>
      <c r="E260" s="33"/>
      <c r="F260" s="38"/>
      <c r="G260" s="8"/>
      <c r="H260" s="3"/>
      <c r="I260" s="3"/>
      <c r="J260" s="18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4.25" customHeight="1">
      <c r="A261" s="3"/>
      <c r="B261" s="3"/>
      <c r="C261" s="3"/>
      <c r="D261" s="3"/>
      <c r="E261" s="33"/>
      <c r="F261" s="38"/>
      <c r="G261" s="8"/>
      <c r="H261" s="3"/>
      <c r="I261" s="3"/>
      <c r="J261" s="18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4.25" customHeight="1">
      <c r="A265" s="4" t="s">
        <v>1</v>
      </c>
      <c r="B265" s="4" t="s">
        <v>477</v>
      </c>
      <c r="C265" s="2"/>
      <c r="D265" s="4" t="s">
        <v>4</v>
      </c>
      <c r="E265" s="4" t="s">
        <v>5</v>
      </c>
      <c r="F265" s="2"/>
      <c r="G265" s="2"/>
      <c r="H265" s="2"/>
      <c r="I265" s="4" t="s">
        <v>8</v>
      </c>
      <c r="J265" s="4" t="s">
        <v>9</v>
      </c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4.25" customHeight="1">
      <c r="A266" s="11" t="s">
        <v>478</v>
      </c>
      <c r="B266" s="11" t="s">
        <v>479</v>
      </c>
      <c r="C266" s="11" t="s">
        <v>12</v>
      </c>
      <c r="D266" s="11"/>
      <c r="E266" s="45">
        <v>101500.0</v>
      </c>
      <c r="F266" s="43"/>
      <c r="G266" s="12"/>
      <c r="H266" s="11"/>
      <c r="I266" s="14" t="s">
        <v>480</v>
      </c>
      <c r="J266" s="15">
        <v>45792.0</v>
      </c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4.25" customHeight="1">
      <c r="A267" s="5" t="s">
        <v>481</v>
      </c>
      <c r="B267" s="5" t="s">
        <v>482</v>
      </c>
      <c r="C267" s="5" t="s">
        <v>12</v>
      </c>
      <c r="D267" s="3"/>
      <c r="E267" s="47">
        <v>122132.0</v>
      </c>
      <c r="F267" s="38"/>
      <c r="G267" s="8"/>
      <c r="H267" s="3"/>
      <c r="I267" s="9" t="s">
        <v>483</v>
      </c>
      <c r="J267" s="10">
        <v>45498.0</v>
      </c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4.25" customHeight="1">
      <c r="A268" s="5" t="s">
        <v>484</v>
      </c>
      <c r="B268" s="5" t="s">
        <v>485</v>
      </c>
      <c r="C268" s="5" t="s">
        <v>12</v>
      </c>
      <c r="D268" s="3"/>
      <c r="E268" s="47">
        <f>125280</f>
        <v>125280</v>
      </c>
      <c r="F268" s="38"/>
      <c r="G268" s="8"/>
      <c r="H268" s="3"/>
      <c r="I268" s="9" t="s">
        <v>483</v>
      </c>
      <c r="J268" s="10">
        <v>45498.0</v>
      </c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4.25" customHeight="1">
      <c r="A269" s="5" t="s">
        <v>486</v>
      </c>
      <c r="B269" s="5" t="s">
        <v>487</v>
      </c>
      <c r="C269" s="5" t="s">
        <v>12</v>
      </c>
      <c r="D269" s="3"/>
      <c r="E269" s="47">
        <v>130000.0</v>
      </c>
      <c r="F269" s="38"/>
      <c r="G269" s="8"/>
      <c r="H269" s="3"/>
      <c r="I269" s="9" t="s">
        <v>483</v>
      </c>
      <c r="J269" s="10">
        <v>45498.0</v>
      </c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4.25" customHeight="1">
      <c r="A270" s="5" t="s">
        <v>488</v>
      </c>
      <c r="B270" s="5" t="s">
        <v>489</v>
      </c>
      <c r="C270" s="5" t="s">
        <v>12</v>
      </c>
      <c r="D270" s="3"/>
      <c r="E270" s="47">
        <v>73611.0</v>
      </c>
      <c r="F270" s="38"/>
      <c r="G270" s="8"/>
      <c r="H270" s="3"/>
      <c r="I270" s="9" t="s">
        <v>483</v>
      </c>
      <c r="J270" s="10">
        <v>45355.0</v>
      </c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4.25" customHeight="1">
      <c r="A271" s="5" t="s">
        <v>490</v>
      </c>
      <c r="B271" s="5" t="s">
        <v>491</v>
      </c>
      <c r="C271" s="5" t="s">
        <v>24</v>
      </c>
      <c r="D271" s="3"/>
      <c r="E271" s="47">
        <v>6000.0</v>
      </c>
      <c r="F271" s="38"/>
      <c r="G271" s="8"/>
      <c r="H271" s="3"/>
      <c r="I271" s="9" t="s">
        <v>492</v>
      </c>
      <c r="J271" s="49" t="s">
        <v>493</v>
      </c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4.25" customHeight="1">
      <c r="A272" s="5" t="s">
        <v>494</v>
      </c>
      <c r="B272" s="5" t="s">
        <v>495</v>
      </c>
      <c r="C272" s="5" t="s">
        <v>12</v>
      </c>
      <c r="D272" s="3"/>
      <c r="E272" s="33">
        <v>5200.0</v>
      </c>
      <c r="F272" s="38"/>
      <c r="G272" s="8"/>
      <c r="H272" s="3"/>
      <c r="I272" s="3"/>
      <c r="J272" s="18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4.25" customHeight="1">
      <c r="A273" s="3" t="s">
        <v>496</v>
      </c>
      <c r="B273" s="3" t="s">
        <v>497</v>
      </c>
      <c r="C273" s="5" t="s">
        <v>24</v>
      </c>
      <c r="D273" s="3"/>
      <c r="E273" s="33">
        <v>520000.0</v>
      </c>
      <c r="F273" s="3"/>
      <c r="G273" s="3"/>
      <c r="H273" s="3"/>
      <c r="I273" s="3"/>
      <c r="J273" s="3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4.2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4.25" customHeight="1">
      <c r="A275" s="4" t="s">
        <v>1</v>
      </c>
      <c r="B275" s="4" t="s">
        <v>498</v>
      </c>
      <c r="C275" s="2"/>
      <c r="D275" s="4" t="s">
        <v>4</v>
      </c>
      <c r="E275" s="4" t="s">
        <v>5</v>
      </c>
      <c r="F275" s="2"/>
      <c r="G275" s="2"/>
      <c r="H275" s="2"/>
      <c r="I275" s="4" t="s">
        <v>8</v>
      </c>
      <c r="J275" s="4" t="s">
        <v>9</v>
      </c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4.25" customHeight="1">
      <c r="A276" s="30" t="s">
        <v>499</v>
      </c>
      <c r="B276" s="5" t="s">
        <v>500</v>
      </c>
      <c r="C276" s="30" t="s">
        <v>24</v>
      </c>
      <c r="D276" s="30"/>
      <c r="E276" s="33">
        <v>24000.0</v>
      </c>
      <c r="F276" s="30"/>
      <c r="G276" s="30"/>
      <c r="H276" s="30"/>
      <c r="I276" s="9" t="s">
        <v>501</v>
      </c>
      <c r="J276" s="49">
        <v>45882.0</v>
      </c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4.25" customHeight="1">
      <c r="A277" s="30" t="s">
        <v>502</v>
      </c>
      <c r="B277" s="5" t="s">
        <v>503</v>
      </c>
      <c r="C277" s="30"/>
      <c r="D277" s="30"/>
      <c r="E277" s="33">
        <v>32500.0</v>
      </c>
      <c r="F277" s="30"/>
      <c r="G277" s="30"/>
      <c r="H277" s="30"/>
      <c r="I277" s="9" t="s">
        <v>501</v>
      </c>
      <c r="J277" s="49">
        <v>45882.0</v>
      </c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4.25" customHeight="1">
      <c r="A278" s="30" t="s">
        <v>504</v>
      </c>
      <c r="B278" s="5" t="s">
        <v>505</v>
      </c>
      <c r="C278" s="30"/>
      <c r="D278" s="30"/>
      <c r="E278" s="33">
        <v>75000.0</v>
      </c>
      <c r="F278" s="30"/>
      <c r="G278" s="30"/>
      <c r="H278" s="30"/>
      <c r="I278" s="9" t="s">
        <v>27</v>
      </c>
      <c r="J278" s="49">
        <v>45889.0</v>
      </c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4.25" customHeight="1">
      <c r="A279" s="30" t="s">
        <v>506</v>
      </c>
      <c r="B279" s="30" t="s">
        <v>507</v>
      </c>
      <c r="C279" s="30"/>
      <c r="D279" s="30"/>
      <c r="E279" s="30">
        <v>12000.0</v>
      </c>
      <c r="F279" s="30"/>
      <c r="G279" s="30"/>
      <c r="H279" s="30"/>
      <c r="I279" s="9" t="s">
        <v>27</v>
      </c>
      <c r="J279" s="49">
        <v>45890.0</v>
      </c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4.2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4.2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4.2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4.2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4.2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4.2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4.2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4.2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4.2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4.2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4.2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4.2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4.2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4.2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4.2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4.2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4.2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4.2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4.2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4.2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4.2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4.2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4.2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4.2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4.2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4.2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4.2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4.2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4.2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4.2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4.2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4.2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4.2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4.2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4.2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4.2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4.2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 ht="15.75" customHeight="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  <row r="1002" ht="15.75" customHeight="1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</row>
    <row r="1003" ht="15.75" customHeight="1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</row>
    <row r="1004" ht="15.75" customHeight="1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</row>
    <row r="1005" ht="15.75" customHeight="1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</row>
    <row r="1006" ht="15.75" customHeight="1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</row>
    <row r="1007" ht="15.75" customHeight="1">
      <c r="A1007" s="30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</row>
    <row r="1008" ht="15.75" customHeight="1">
      <c r="A1008" s="30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</row>
    <row r="1009" ht="15.75" customHeight="1">
      <c r="A1009" s="30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</row>
    <row r="1010" ht="15.75" customHeight="1">
      <c r="A1010" s="30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</row>
    <row r="1011" ht="15.75" customHeight="1">
      <c r="A1011" s="30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</row>
    <row r="1012" ht="15.75" customHeight="1">
      <c r="A1012" s="30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</row>
    <row r="1013" ht="15.75" customHeight="1">
      <c r="A1013" s="30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</row>
    <row r="1014" ht="15.75" customHeight="1">
      <c r="A1014" s="30"/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</row>
    <row r="1015" ht="15.75" customHeight="1">
      <c r="A1015" s="30"/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</row>
    <row r="1016" ht="15.75" customHeight="1">
      <c r="A1016" s="30"/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</row>
    <row r="1017" ht="15.75" customHeight="1">
      <c r="A1017" s="30"/>
      <c r="B1017" s="30"/>
      <c r="C1017" s="30"/>
      <c r="D1017" s="30"/>
      <c r="E1017" s="30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</row>
    <row r="1018" ht="15.75" customHeight="1">
      <c r="A1018" s="30"/>
      <c r="B1018" s="30"/>
      <c r="C1018" s="30"/>
      <c r="D1018" s="30"/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</row>
    <row r="1019" ht="15.75" customHeight="1">
      <c r="A1019" s="30"/>
      <c r="B1019" s="30"/>
      <c r="C1019" s="30"/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</row>
    <row r="1020" ht="15.75" customHeight="1">
      <c r="A1020" s="30"/>
      <c r="B1020" s="30"/>
      <c r="C1020" s="30"/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</row>
    <row r="1021" ht="15.75" customHeight="1">
      <c r="A1021" s="30"/>
      <c r="B1021" s="30"/>
      <c r="C1021" s="30"/>
      <c r="D1021" s="30"/>
      <c r="E1021" s="30"/>
      <c r="F1021" s="30"/>
      <c r="G1021" s="30"/>
      <c r="H1021" s="30"/>
      <c r="I1021" s="30"/>
      <c r="J1021" s="30"/>
      <c r="K1021" s="30"/>
      <c r="L1021" s="30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</row>
    <row r="1022" ht="15.75" customHeight="1">
      <c r="A1022" s="30"/>
      <c r="B1022" s="30"/>
      <c r="C1022" s="30"/>
      <c r="D1022" s="30"/>
      <c r="E1022" s="30"/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</row>
    <row r="1023" ht="15.75" customHeight="1">
      <c r="A1023" s="30"/>
      <c r="B1023" s="30"/>
      <c r="C1023" s="30"/>
      <c r="D1023" s="30"/>
      <c r="E1023" s="30"/>
      <c r="F1023" s="30"/>
      <c r="G1023" s="30"/>
      <c r="H1023" s="30"/>
      <c r="I1023" s="30"/>
      <c r="J1023" s="30"/>
      <c r="K1023" s="30"/>
      <c r="L1023" s="30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</row>
    <row r="1024" ht="15.75" customHeight="1">
      <c r="A1024" s="30"/>
      <c r="B1024" s="30"/>
      <c r="C1024" s="30"/>
      <c r="D1024" s="30"/>
      <c r="E1024" s="30"/>
      <c r="F1024" s="30"/>
      <c r="G1024" s="30"/>
      <c r="H1024" s="30"/>
      <c r="I1024" s="30"/>
      <c r="J1024" s="30"/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</row>
    <row r="1025" ht="15.75" customHeight="1">
      <c r="A1025" s="30"/>
      <c r="B1025" s="30"/>
      <c r="C1025" s="30"/>
      <c r="D1025" s="30"/>
      <c r="E1025" s="30"/>
      <c r="F1025" s="30"/>
      <c r="G1025" s="30"/>
      <c r="H1025" s="30"/>
      <c r="I1025" s="30"/>
      <c r="J1025" s="30"/>
      <c r="K1025" s="30"/>
      <c r="L1025" s="30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</row>
    <row r="1026" ht="15.75" customHeight="1">
      <c r="A1026" s="30"/>
      <c r="B1026" s="30"/>
      <c r="C1026" s="30"/>
      <c r="D1026" s="30"/>
      <c r="E1026" s="30"/>
      <c r="F1026" s="30"/>
      <c r="G1026" s="30"/>
      <c r="H1026" s="30"/>
      <c r="I1026" s="30"/>
      <c r="J1026" s="30"/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</row>
    <row r="1027" ht="15.75" customHeight="1">
      <c r="A1027" s="30"/>
      <c r="B1027" s="30"/>
      <c r="C1027" s="30"/>
      <c r="D1027" s="30"/>
      <c r="E1027" s="30"/>
      <c r="F1027" s="30"/>
      <c r="G1027" s="30"/>
      <c r="H1027" s="30"/>
      <c r="I1027" s="30"/>
      <c r="J1027" s="30"/>
      <c r="K1027" s="30"/>
      <c r="L1027" s="30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</row>
    <row r="1028" ht="15.75" customHeight="1">
      <c r="A1028" s="30"/>
      <c r="B1028" s="30"/>
      <c r="C1028" s="30"/>
      <c r="D1028" s="30"/>
      <c r="E1028" s="30"/>
      <c r="F1028" s="30"/>
      <c r="G1028" s="30"/>
      <c r="H1028" s="30"/>
      <c r="I1028" s="30"/>
      <c r="J1028" s="30"/>
      <c r="K1028" s="30"/>
      <c r="L1028" s="30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</row>
    <row r="1029" ht="15.75" customHeight="1">
      <c r="A1029" s="30"/>
      <c r="B1029" s="30"/>
      <c r="C1029" s="30"/>
      <c r="D1029" s="30"/>
      <c r="E1029" s="30"/>
      <c r="F1029" s="30"/>
      <c r="G1029" s="30"/>
      <c r="H1029" s="30"/>
      <c r="I1029" s="30"/>
      <c r="J1029" s="30"/>
      <c r="K1029" s="30"/>
      <c r="L1029" s="30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</row>
    <row r="1030" ht="15.75" customHeight="1">
      <c r="A1030" s="30"/>
      <c r="B1030" s="30"/>
      <c r="C1030" s="30"/>
      <c r="D1030" s="30"/>
      <c r="E1030" s="30"/>
      <c r="F1030" s="30"/>
      <c r="G1030" s="30"/>
      <c r="H1030" s="30"/>
      <c r="I1030" s="30"/>
      <c r="J1030" s="30"/>
      <c r="K1030" s="30"/>
      <c r="L1030" s="30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</row>
    <row r="1031" ht="15.75" customHeight="1">
      <c r="A1031" s="30"/>
      <c r="B1031" s="30"/>
      <c r="C1031" s="30"/>
      <c r="D1031" s="30"/>
      <c r="E1031" s="30"/>
      <c r="F1031" s="30"/>
      <c r="G1031" s="30"/>
      <c r="H1031" s="30"/>
      <c r="I1031" s="30"/>
      <c r="J1031" s="30"/>
      <c r="K1031" s="30"/>
      <c r="L1031" s="30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</row>
    <row r="1032" ht="15.75" customHeight="1">
      <c r="A1032" s="30"/>
      <c r="B1032" s="30"/>
      <c r="C1032" s="30"/>
      <c r="D1032" s="30"/>
      <c r="E1032" s="30"/>
      <c r="F1032" s="30"/>
      <c r="G1032" s="30"/>
      <c r="H1032" s="30"/>
      <c r="I1032" s="30"/>
      <c r="J1032" s="30"/>
      <c r="K1032" s="30"/>
      <c r="L1032" s="30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</row>
    <row r="1033" ht="15.75" customHeight="1">
      <c r="A1033" s="30"/>
      <c r="B1033" s="30"/>
      <c r="C1033" s="30"/>
      <c r="D1033" s="30"/>
      <c r="E1033" s="30"/>
      <c r="F1033" s="30"/>
      <c r="G1033" s="30"/>
      <c r="H1033" s="30"/>
      <c r="I1033" s="30"/>
      <c r="J1033" s="30"/>
      <c r="K1033" s="30"/>
      <c r="L1033" s="30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</row>
    <row r="1034" ht="15.75" customHeight="1">
      <c r="A1034" s="30"/>
      <c r="B1034" s="30"/>
      <c r="C1034" s="30"/>
      <c r="D1034" s="30"/>
      <c r="E1034" s="30"/>
      <c r="F1034" s="30"/>
      <c r="G1034" s="30"/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</row>
    <row r="1035" ht="15.75" customHeight="1">
      <c r="A1035" s="30"/>
      <c r="B1035" s="30"/>
      <c r="C1035" s="30"/>
      <c r="D1035" s="30"/>
      <c r="E1035" s="30"/>
      <c r="F1035" s="30"/>
      <c r="G1035" s="30"/>
      <c r="H1035" s="30"/>
      <c r="I1035" s="30"/>
      <c r="J1035" s="30"/>
      <c r="K1035" s="30"/>
      <c r="L1035" s="30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</row>
    <row r="1036" ht="15.75" customHeight="1">
      <c r="A1036" s="30"/>
      <c r="B1036" s="30"/>
      <c r="C1036" s="30"/>
      <c r="D1036" s="30"/>
      <c r="E1036" s="30"/>
      <c r="F1036" s="30"/>
      <c r="G1036" s="30"/>
      <c r="H1036" s="30"/>
      <c r="I1036" s="30"/>
      <c r="J1036" s="30"/>
      <c r="K1036" s="30"/>
      <c r="L1036" s="30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</row>
    <row r="1037" ht="15.75" customHeight="1">
      <c r="A1037" s="30"/>
      <c r="B1037" s="30"/>
      <c r="C1037" s="30"/>
      <c r="D1037" s="30"/>
      <c r="E1037" s="30"/>
      <c r="F1037" s="30"/>
      <c r="G1037" s="30"/>
      <c r="H1037" s="30"/>
      <c r="I1037" s="30"/>
      <c r="J1037" s="30"/>
      <c r="K1037" s="30"/>
      <c r="L1037" s="30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</row>
    <row r="1038" ht="15.75" customHeight="1">
      <c r="A1038" s="30"/>
      <c r="B1038" s="30"/>
      <c r="C1038" s="30"/>
      <c r="D1038" s="30"/>
      <c r="E1038" s="30"/>
      <c r="F1038" s="30"/>
      <c r="G1038" s="30"/>
      <c r="H1038" s="30"/>
      <c r="I1038" s="30"/>
      <c r="J1038" s="30"/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</row>
    <row r="1039" ht="15.75" customHeight="1">
      <c r="A1039" s="30"/>
      <c r="B1039" s="30"/>
      <c r="C1039" s="30"/>
      <c r="D1039" s="30"/>
      <c r="E1039" s="30"/>
      <c r="F1039" s="30"/>
      <c r="G1039" s="30"/>
      <c r="H1039" s="30"/>
      <c r="I1039" s="30"/>
      <c r="J1039" s="30"/>
      <c r="K1039" s="30"/>
      <c r="L1039" s="30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</row>
    <row r="1040" ht="15.75" customHeight="1">
      <c r="A1040" s="30"/>
      <c r="B1040" s="30"/>
      <c r="C1040" s="30"/>
      <c r="D1040" s="30"/>
      <c r="E1040" s="30"/>
      <c r="F1040" s="30"/>
      <c r="G1040" s="30"/>
      <c r="H1040" s="30"/>
      <c r="I1040" s="30"/>
      <c r="J1040" s="30"/>
      <c r="K1040" s="30"/>
      <c r="L1040" s="30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</row>
    <row r="1041" ht="15.75" customHeight="1">
      <c r="A1041" s="30"/>
      <c r="B1041" s="30"/>
      <c r="C1041" s="30"/>
      <c r="D1041" s="30"/>
      <c r="E1041" s="30"/>
      <c r="F1041" s="30"/>
      <c r="G1041" s="30"/>
      <c r="H1041" s="30"/>
      <c r="I1041" s="30"/>
      <c r="J1041" s="30"/>
      <c r="K1041" s="30"/>
      <c r="L1041" s="30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</row>
    <row r="1042" ht="15.75" customHeight="1">
      <c r="A1042" s="30"/>
      <c r="B1042" s="30"/>
      <c r="C1042" s="30"/>
      <c r="D1042" s="30"/>
      <c r="E1042" s="30"/>
      <c r="F1042" s="30"/>
      <c r="G1042" s="30"/>
      <c r="H1042" s="30"/>
      <c r="I1042" s="30"/>
      <c r="J1042" s="30"/>
      <c r="K1042" s="30"/>
      <c r="L1042" s="30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</row>
    <row r="1043" ht="15.75" customHeight="1">
      <c r="A1043" s="30"/>
      <c r="B1043" s="30"/>
      <c r="C1043" s="30"/>
      <c r="D1043" s="30"/>
      <c r="E1043" s="30"/>
      <c r="F1043" s="30"/>
      <c r="G1043" s="30"/>
      <c r="H1043" s="30"/>
      <c r="I1043" s="30"/>
      <c r="J1043" s="30"/>
      <c r="K1043" s="30"/>
      <c r="L1043" s="30"/>
      <c r="M1043" s="3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</row>
    <row r="1044" ht="15.75" customHeight="1">
      <c r="A1044" s="30"/>
      <c r="B1044" s="30"/>
      <c r="C1044" s="30"/>
      <c r="D1044" s="30"/>
      <c r="E1044" s="30"/>
      <c r="F1044" s="30"/>
      <c r="G1044" s="30"/>
      <c r="H1044" s="30"/>
      <c r="I1044" s="30"/>
      <c r="J1044" s="30"/>
      <c r="K1044" s="30"/>
      <c r="L1044" s="30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</row>
    <row r="1045" ht="15.75" customHeight="1">
      <c r="A1045" s="30"/>
      <c r="B1045" s="30"/>
      <c r="C1045" s="30"/>
      <c r="D1045" s="30"/>
      <c r="E1045" s="30"/>
      <c r="F1045" s="30"/>
      <c r="G1045" s="30"/>
      <c r="H1045" s="30"/>
      <c r="I1045" s="30"/>
      <c r="J1045" s="30"/>
      <c r="K1045" s="30"/>
      <c r="L1045" s="30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</row>
    <row r="1046" ht="15.75" customHeight="1">
      <c r="A1046" s="30"/>
      <c r="B1046" s="30"/>
      <c r="C1046" s="30"/>
      <c r="D1046" s="30"/>
      <c r="E1046" s="30"/>
      <c r="F1046" s="30"/>
      <c r="G1046" s="30"/>
      <c r="H1046" s="30"/>
      <c r="I1046" s="30"/>
      <c r="J1046" s="30"/>
      <c r="K1046" s="30"/>
      <c r="L1046" s="30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</row>
    <row r="1047" ht="15.75" customHeight="1">
      <c r="A1047" s="30"/>
      <c r="B1047" s="30"/>
      <c r="C1047" s="30"/>
      <c r="D1047" s="30"/>
      <c r="E1047" s="30"/>
      <c r="F1047" s="30"/>
      <c r="G1047" s="30"/>
      <c r="H1047" s="30"/>
      <c r="I1047" s="30"/>
      <c r="J1047" s="30"/>
      <c r="K1047" s="30"/>
      <c r="L1047" s="30"/>
      <c r="M1047" s="3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</row>
    <row r="1048" ht="15.75" customHeight="1">
      <c r="A1048" s="30"/>
      <c r="B1048" s="30"/>
      <c r="C1048" s="30"/>
      <c r="D1048" s="30"/>
      <c r="E1048" s="30"/>
      <c r="F1048" s="30"/>
      <c r="G1048" s="30"/>
      <c r="H1048" s="30"/>
      <c r="I1048" s="30"/>
      <c r="J1048" s="30"/>
      <c r="K1048" s="30"/>
      <c r="L1048" s="30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</row>
    <row r="1049" ht="15.75" customHeight="1">
      <c r="A1049" s="30"/>
      <c r="B1049" s="30"/>
      <c r="C1049" s="30"/>
      <c r="D1049" s="30"/>
      <c r="E1049" s="30"/>
      <c r="F1049" s="30"/>
      <c r="G1049" s="30"/>
      <c r="H1049" s="30"/>
      <c r="I1049" s="30"/>
      <c r="J1049" s="30"/>
      <c r="K1049" s="30"/>
      <c r="L1049" s="30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</row>
    <row r="1050" ht="15.75" customHeight="1">
      <c r="A1050" s="30"/>
      <c r="B1050" s="30"/>
      <c r="C1050" s="30"/>
      <c r="D1050" s="30"/>
      <c r="E1050" s="30"/>
      <c r="F1050" s="30"/>
      <c r="G1050" s="30"/>
      <c r="H1050" s="30"/>
      <c r="I1050" s="30"/>
      <c r="J1050" s="30"/>
      <c r="K1050" s="30"/>
      <c r="L1050" s="30"/>
      <c r="M1050" s="3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</row>
    <row r="1051" ht="15.75" customHeight="1">
      <c r="A1051" s="30"/>
      <c r="B1051" s="30"/>
      <c r="C1051" s="30"/>
      <c r="D1051" s="30"/>
      <c r="E1051" s="30"/>
      <c r="F1051" s="30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</row>
    <row r="1052" ht="15.75" customHeight="1">
      <c r="A1052" s="30"/>
      <c r="B1052" s="30"/>
      <c r="C1052" s="30"/>
      <c r="D1052" s="30"/>
      <c r="E1052" s="30"/>
      <c r="F1052" s="30"/>
      <c r="G1052" s="30"/>
      <c r="H1052" s="30"/>
      <c r="I1052" s="30"/>
      <c r="J1052" s="30"/>
      <c r="K1052" s="30"/>
      <c r="L1052" s="30"/>
      <c r="M1052" s="30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</row>
    <row r="1053" ht="15.75" customHeight="1">
      <c r="A1053" s="30"/>
      <c r="B1053" s="30"/>
      <c r="C1053" s="30"/>
      <c r="D1053" s="30"/>
      <c r="E1053" s="30"/>
      <c r="F1053" s="30"/>
      <c r="G1053" s="30"/>
      <c r="H1053" s="30"/>
      <c r="I1053" s="30"/>
      <c r="J1053" s="30"/>
      <c r="K1053" s="30"/>
      <c r="L1053" s="30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</row>
    <row r="1054" ht="15.75" customHeight="1">
      <c r="A1054" s="30"/>
      <c r="B1054" s="30"/>
      <c r="C1054" s="30"/>
      <c r="D1054" s="30"/>
      <c r="E1054" s="30"/>
      <c r="F1054" s="30"/>
      <c r="G1054" s="30"/>
      <c r="H1054" s="30"/>
      <c r="I1054" s="30"/>
      <c r="J1054" s="30"/>
      <c r="K1054" s="30"/>
      <c r="L1054" s="30"/>
      <c r="M1054" s="30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</row>
    <row r="1055" ht="15.75" customHeight="1">
      <c r="A1055" s="30"/>
      <c r="B1055" s="30"/>
      <c r="C1055" s="30"/>
      <c r="D1055" s="30"/>
      <c r="E1055" s="30"/>
      <c r="F1055" s="30"/>
      <c r="G1055" s="30"/>
      <c r="H1055" s="30"/>
      <c r="I1055" s="30"/>
      <c r="J1055" s="30"/>
      <c r="K1055" s="30"/>
      <c r="L1055" s="30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</row>
    <row r="1056" ht="15.75" customHeight="1">
      <c r="A1056" s="30"/>
      <c r="B1056" s="30"/>
      <c r="C1056" s="30"/>
      <c r="D1056" s="30"/>
      <c r="E1056" s="30"/>
      <c r="F1056" s="30"/>
      <c r="G1056" s="30"/>
      <c r="H1056" s="30"/>
      <c r="I1056" s="30"/>
      <c r="J1056" s="30"/>
      <c r="K1056" s="30"/>
      <c r="L1056" s="30"/>
      <c r="M1056" s="3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</row>
    <row r="1057" ht="15.75" customHeight="1">
      <c r="A1057" s="30"/>
      <c r="B1057" s="30"/>
      <c r="C1057" s="30"/>
      <c r="D1057" s="30"/>
      <c r="E1057" s="30"/>
      <c r="F1057" s="30"/>
      <c r="G1057" s="30"/>
      <c r="H1057" s="30"/>
      <c r="I1057" s="30"/>
      <c r="J1057" s="30"/>
      <c r="K1057" s="30"/>
      <c r="L1057" s="30"/>
      <c r="M1057" s="30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</row>
    <row r="1058" ht="15.75" customHeight="1">
      <c r="A1058" s="30"/>
      <c r="B1058" s="30"/>
      <c r="C1058" s="30"/>
      <c r="D1058" s="30"/>
      <c r="E1058" s="30"/>
      <c r="F1058" s="30"/>
      <c r="G1058" s="30"/>
      <c r="H1058" s="30"/>
      <c r="I1058" s="30"/>
      <c r="J1058" s="30"/>
      <c r="K1058" s="30"/>
      <c r="L1058" s="30"/>
      <c r="M1058" s="30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</row>
    <row r="1059" ht="15.75" customHeight="1">
      <c r="A1059" s="30"/>
      <c r="B1059" s="30"/>
      <c r="C1059" s="30"/>
      <c r="D1059" s="30"/>
      <c r="E1059" s="30"/>
      <c r="F1059" s="30"/>
      <c r="G1059" s="30"/>
      <c r="H1059" s="30"/>
      <c r="I1059" s="30"/>
      <c r="J1059" s="30"/>
      <c r="K1059" s="30"/>
      <c r="L1059" s="30"/>
      <c r="M1059" s="30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</row>
    <row r="1060" ht="15.75" customHeight="1">
      <c r="A1060" s="30"/>
      <c r="B1060" s="30"/>
      <c r="C1060" s="30"/>
      <c r="D1060" s="30"/>
      <c r="E1060" s="30"/>
      <c r="F1060" s="30"/>
      <c r="G1060" s="30"/>
      <c r="H1060" s="30"/>
      <c r="I1060" s="30"/>
      <c r="J1060" s="30"/>
      <c r="K1060" s="30"/>
      <c r="L1060" s="30"/>
      <c r="M1060" s="30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</row>
    <row r="1061" ht="15.75" customHeight="1">
      <c r="A1061" s="30"/>
      <c r="B1061" s="30"/>
      <c r="C1061" s="30"/>
      <c r="D1061" s="30"/>
      <c r="E1061" s="30"/>
      <c r="F1061" s="30"/>
      <c r="G1061" s="30"/>
      <c r="H1061" s="30"/>
      <c r="I1061" s="30"/>
      <c r="J1061" s="30"/>
      <c r="K1061" s="30"/>
      <c r="L1061" s="30"/>
      <c r="M1061" s="30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</row>
    <row r="1062" ht="15.75" customHeight="1">
      <c r="A1062" s="30"/>
      <c r="B1062" s="30"/>
      <c r="C1062" s="30"/>
      <c r="D1062" s="30"/>
      <c r="E1062" s="30"/>
      <c r="F1062" s="30"/>
      <c r="G1062" s="30"/>
      <c r="H1062" s="30"/>
      <c r="I1062" s="30"/>
      <c r="J1062" s="30"/>
      <c r="K1062" s="30"/>
      <c r="L1062" s="30"/>
      <c r="M1062" s="30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</row>
    <row r="1063" ht="15.75" customHeight="1">
      <c r="A1063" s="30"/>
      <c r="B1063" s="30"/>
      <c r="C1063" s="30"/>
      <c r="D1063" s="30"/>
      <c r="E1063" s="30"/>
      <c r="F1063" s="30"/>
      <c r="G1063" s="30"/>
      <c r="H1063" s="30"/>
      <c r="I1063" s="30"/>
      <c r="J1063" s="30"/>
      <c r="K1063" s="30"/>
      <c r="L1063" s="30"/>
      <c r="M1063" s="30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</row>
    <row r="1064" ht="15.75" customHeight="1">
      <c r="A1064" s="30"/>
      <c r="B1064" s="30"/>
      <c r="C1064" s="30"/>
      <c r="D1064" s="30"/>
      <c r="E1064" s="30"/>
      <c r="F1064" s="30"/>
      <c r="G1064" s="30"/>
      <c r="H1064" s="30"/>
      <c r="I1064" s="30"/>
      <c r="J1064" s="30"/>
      <c r="K1064" s="30"/>
      <c r="L1064" s="30"/>
      <c r="M1064" s="30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</row>
    <row r="1065" ht="15.75" customHeight="1">
      <c r="A1065" s="30"/>
      <c r="B1065" s="30"/>
      <c r="C1065" s="30"/>
      <c r="D1065" s="30"/>
      <c r="E1065" s="30"/>
      <c r="F1065" s="30"/>
      <c r="G1065" s="30"/>
      <c r="H1065" s="30"/>
      <c r="I1065" s="30"/>
      <c r="J1065" s="30"/>
      <c r="K1065" s="30"/>
      <c r="L1065" s="30"/>
      <c r="M1065" s="30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</row>
    <row r="1066" ht="15.75" customHeight="1">
      <c r="A1066" s="30"/>
      <c r="B1066" s="30"/>
      <c r="C1066" s="30"/>
      <c r="D1066" s="30"/>
      <c r="E1066" s="30"/>
      <c r="F1066" s="30"/>
      <c r="G1066" s="30"/>
      <c r="H1066" s="30"/>
      <c r="I1066" s="30"/>
      <c r="J1066" s="30"/>
      <c r="K1066" s="30"/>
      <c r="L1066" s="30"/>
      <c r="M1066" s="30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</row>
    <row r="1067" ht="15.75" customHeight="1">
      <c r="A1067" s="30"/>
      <c r="B1067" s="30"/>
      <c r="C1067" s="30"/>
      <c r="D1067" s="30"/>
      <c r="E1067" s="30"/>
      <c r="F1067" s="30"/>
      <c r="G1067" s="30"/>
      <c r="H1067" s="30"/>
      <c r="I1067" s="30"/>
      <c r="J1067" s="30"/>
      <c r="K1067" s="30"/>
      <c r="L1067" s="30"/>
      <c r="M1067" s="30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</row>
    <row r="1068" ht="15.75" customHeight="1">
      <c r="A1068" s="30"/>
      <c r="B1068" s="30"/>
      <c r="C1068" s="30"/>
      <c r="D1068" s="30"/>
      <c r="E1068" s="30"/>
      <c r="F1068" s="30"/>
      <c r="G1068" s="30"/>
      <c r="H1068" s="30"/>
      <c r="I1068" s="30"/>
      <c r="J1068" s="30"/>
      <c r="K1068" s="30"/>
      <c r="L1068" s="30"/>
      <c r="M1068" s="30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</row>
    <row r="1069" ht="15.75" customHeight="1">
      <c r="A1069" s="30"/>
      <c r="B1069" s="30"/>
      <c r="C1069" s="30"/>
      <c r="D1069" s="30"/>
      <c r="E1069" s="30"/>
      <c r="F1069" s="30"/>
      <c r="G1069" s="30"/>
      <c r="H1069" s="30"/>
      <c r="I1069" s="30"/>
      <c r="J1069" s="30"/>
      <c r="K1069" s="30"/>
      <c r="L1069" s="30"/>
      <c r="M1069" s="30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</row>
    <row r="1070" ht="15.75" customHeight="1">
      <c r="A1070" s="30"/>
      <c r="B1070" s="30"/>
      <c r="C1070" s="30"/>
      <c r="D1070" s="30"/>
      <c r="E1070" s="30"/>
      <c r="F1070" s="30"/>
      <c r="G1070" s="30"/>
      <c r="H1070" s="30"/>
      <c r="I1070" s="30"/>
      <c r="J1070" s="30"/>
      <c r="K1070" s="30"/>
      <c r="L1070" s="30"/>
      <c r="M1070" s="30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</row>
    <row r="1071" ht="15.75" customHeight="1">
      <c r="A1071" s="30"/>
      <c r="B1071" s="30"/>
      <c r="C1071" s="30"/>
      <c r="D1071" s="30"/>
      <c r="E1071" s="30"/>
      <c r="F1071" s="30"/>
      <c r="G1071" s="30"/>
      <c r="H1071" s="30"/>
      <c r="I1071" s="30"/>
      <c r="J1071" s="30"/>
      <c r="K1071" s="30"/>
      <c r="L1071" s="30"/>
      <c r="M1071" s="30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</row>
    <row r="1072" ht="15.75" customHeight="1">
      <c r="A1072" s="30"/>
      <c r="B1072" s="30"/>
      <c r="C1072" s="30"/>
      <c r="D1072" s="30"/>
      <c r="E1072" s="30"/>
      <c r="F1072" s="30"/>
      <c r="G1072" s="30"/>
      <c r="H1072" s="30"/>
      <c r="I1072" s="30"/>
      <c r="J1072" s="30"/>
      <c r="K1072" s="30"/>
      <c r="L1072" s="30"/>
      <c r="M1072" s="30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</row>
    <row r="1073" ht="15.75" customHeight="1">
      <c r="A1073" s="30"/>
      <c r="B1073" s="30"/>
      <c r="C1073" s="30"/>
      <c r="D1073" s="30"/>
      <c r="E1073" s="30"/>
      <c r="F1073" s="30"/>
      <c r="G1073" s="30"/>
      <c r="H1073" s="30"/>
      <c r="I1073" s="30"/>
      <c r="J1073" s="30"/>
      <c r="K1073" s="30"/>
      <c r="L1073" s="30"/>
      <c r="M1073" s="30"/>
      <c r="N1073" s="30"/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</row>
    <row r="1074" ht="15.75" customHeight="1">
      <c r="A1074" s="30"/>
      <c r="B1074" s="30"/>
      <c r="C1074" s="30"/>
      <c r="D1074" s="30"/>
      <c r="E1074" s="30"/>
      <c r="F1074" s="30"/>
      <c r="G1074" s="30"/>
      <c r="H1074" s="30"/>
      <c r="I1074" s="30"/>
      <c r="J1074" s="30"/>
      <c r="K1074" s="30"/>
      <c r="L1074" s="30"/>
      <c r="M1074" s="30"/>
      <c r="N1074" s="30"/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</row>
    <row r="1075" ht="15.75" customHeight="1">
      <c r="A1075" s="30"/>
      <c r="B1075" s="30"/>
      <c r="C1075" s="30"/>
      <c r="D1075" s="30"/>
      <c r="E1075" s="30"/>
      <c r="F1075" s="30"/>
      <c r="G1075" s="30"/>
      <c r="H1075" s="30"/>
      <c r="I1075" s="30"/>
      <c r="J1075" s="30"/>
      <c r="K1075" s="30"/>
      <c r="L1075" s="30"/>
      <c r="M1075" s="30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</row>
    <row r="1076" ht="15.75" customHeight="1">
      <c r="A1076" s="30"/>
      <c r="B1076" s="30"/>
      <c r="C1076" s="30"/>
      <c r="D1076" s="30"/>
      <c r="E1076" s="30"/>
      <c r="F1076" s="30"/>
      <c r="G1076" s="30"/>
      <c r="H1076" s="30"/>
      <c r="I1076" s="30"/>
      <c r="J1076" s="30"/>
      <c r="K1076" s="30"/>
      <c r="L1076" s="30"/>
      <c r="M1076" s="30"/>
      <c r="N1076" s="30"/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</row>
    <row r="1077" ht="15.75" customHeight="1">
      <c r="A1077" s="30"/>
      <c r="B1077" s="30"/>
      <c r="C1077" s="30"/>
      <c r="D1077" s="30"/>
      <c r="E1077" s="30"/>
      <c r="F1077" s="30"/>
      <c r="G1077" s="30"/>
      <c r="H1077" s="30"/>
      <c r="I1077" s="30"/>
      <c r="J1077" s="30"/>
      <c r="K1077" s="30"/>
      <c r="L1077" s="30"/>
      <c r="M1077" s="30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</row>
    <row r="1078" ht="15.75" customHeight="1">
      <c r="A1078" s="30"/>
      <c r="B1078" s="30"/>
      <c r="C1078" s="30"/>
      <c r="D1078" s="30"/>
      <c r="E1078" s="30"/>
      <c r="F1078" s="30"/>
      <c r="G1078" s="30"/>
      <c r="H1078" s="30"/>
      <c r="I1078" s="30"/>
      <c r="J1078" s="30"/>
      <c r="K1078" s="30"/>
      <c r="L1078" s="30"/>
      <c r="M1078" s="30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</row>
    <row r="1079" ht="15.75" customHeight="1">
      <c r="A1079" s="30"/>
      <c r="B1079" s="30"/>
      <c r="C1079" s="30"/>
      <c r="D1079" s="30"/>
      <c r="E1079" s="30"/>
      <c r="F1079" s="30"/>
      <c r="G1079" s="30"/>
      <c r="H1079" s="30"/>
      <c r="I1079" s="30"/>
      <c r="J1079" s="30"/>
      <c r="K1079" s="30"/>
      <c r="L1079" s="30"/>
      <c r="M1079" s="30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</row>
    <row r="1080" ht="15.75" customHeight="1">
      <c r="A1080" s="30"/>
      <c r="B1080" s="30"/>
      <c r="C1080" s="30"/>
      <c r="D1080" s="30"/>
      <c r="E1080" s="30"/>
      <c r="F1080" s="30"/>
      <c r="G1080" s="30"/>
      <c r="H1080" s="30"/>
      <c r="I1080" s="30"/>
      <c r="J1080" s="30"/>
      <c r="K1080" s="30"/>
      <c r="L1080" s="30"/>
      <c r="M1080" s="30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</row>
    <row r="1081" ht="15.75" customHeight="1">
      <c r="A1081" s="30"/>
      <c r="B1081" s="30"/>
      <c r="C1081" s="30"/>
      <c r="D1081" s="30"/>
      <c r="E1081" s="30"/>
      <c r="F1081" s="30"/>
      <c r="G1081" s="30"/>
      <c r="H1081" s="30"/>
      <c r="I1081" s="30"/>
      <c r="J1081" s="30"/>
      <c r="K1081" s="30"/>
      <c r="L1081" s="30"/>
      <c r="M1081" s="30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</row>
    <row r="1082" ht="15.75" customHeight="1">
      <c r="A1082" s="30"/>
      <c r="B1082" s="30"/>
      <c r="C1082" s="30"/>
      <c r="D1082" s="30"/>
      <c r="E1082" s="30"/>
      <c r="F1082" s="30"/>
      <c r="G1082" s="30"/>
      <c r="H1082" s="30"/>
      <c r="I1082" s="30"/>
      <c r="J1082" s="30"/>
      <c r="K1082" s="30"/>
      <c r="L1082" s="30"/>
      <c r="M1082" s="30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</row>
    <row r="1083" ht="15.75" customHeight="1">
      <c r="A1083" s="30"/>
      <c r="B1083" s="30"/>
      <c r="C1083" s="30"/>
      <c r="D1083" s="30"/>
      <c r="E1083" s="30"/>
      <c r="F1083" s="30"/>
      <c r="G1083" s="30"/>
      <c r="H1083" s="30"/>
      <c r="I1083" s="30"/>
      <c r="J1083" s="30"/>
      <c r="K1083" s="30"/>
      <c r="L1083" s="30"/>
      <c r="M1083" s="30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</row>
    <row r="1084" ht="15.75" customHeight="1">
      <c r="A1084" s="30"/>
      <c r="B1084" s="30"/>
      <c r="C1084" s="30"/>
      <c r="D1084" s="30"/>
      <c r="E1084" s="30"/>
      <c r="F1084" s="30"/>
      <c r="G1084" s="30"/>
      <c r="H1084" s="30"/>
      <c r="I1084" s="30"/>
      <c r="J1084" s="30"/>
      <c r="K1084" s="30"/>
      <c r="L1084" s="30"/>
      <c r="M1084" s="30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</row>
    <row r="1085" ht="15.75" customHeight="1">
      <c r="A1085" s="30"/>
      <c r="B1085" s="30"/>
      <c r="C1085" s="30"/>
      <c r="D1085" s="30"/>
      <c r="E1085" s="30"/>
      <c r="F1085" s="30"/>
      <c r="G1085" s="30"/>
      <c r="H1085" s="30"/>
      <c r="I1085" s="30"/>
      <c r="J1085" s="30"/>
      <c r="K1085" s="30"/>
      <c r="L1085" s="30"/>
      <c r="M1085" s="30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</row>
    <row r="1086" ht="15.75" customHeight="1">
      <c r="A1086" s="30"/>
      <c r="B1086" s="30"/>
      <c r="C1086" s="30"/>
      <c r="D1086" s="30"/>
      <c r="E1086" s="30"/>
      <c r="F1086" s="30"/>
      <c r="G1086" s="30"/>
      <c r="H1086" s="30"/>
      <c r="I1086" s="30"/>
      <c r="J1086" s="30"/>
      <c r="K1086" s="30"/>
      <c r="L1086" s="30"/>
      <c r="M1086" s="30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</row>
    <row r="1087" ht="15.75" customHeight="1">
      <c r="A1087" s="30"/>
      <c r="B1087" s="30"/>
      <c r="C1087" s="30"/>
      <c r="D1087" s="30"/>
      <c r="E1087" s="30"/>
      <c r="F1087" s="30"/>
      <c r="G1087" s="30"/>
      <c r="H1087" s="30"/>
      <c r="I1087" s="30"/>
      <c r="J1087" s="30"/>
      <c r="K1087" s="30"/>
      <c r="L1087" s="30"/>
      <c r="M1087" s="30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</row>
    <row r="1088" ht="15.75" customHeight="1">
      <c r="A1088" s="30"/>
      <c r="B1088" s="30"/>
      <c r="C1088" s="30"/>
      <c r="D1088" s="30"/>
      <c r="E1088" s="30"/>
      <c r="F1088" s="30"/>
      <c r="G1088" s="30"/>
      <c r="H1088" s="30"/>
      <c r="I1088" s="30"/>
      <c r="J1088" s="30"/>
      <c r="K1088" s="30"/>
      <c r="L1088" s="30"/>
      <c r="M1088" s="30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</row>
    <row r="1089" ht="15.75" customHeight="1">
      <c r="A1089" s="30"/>
      <c r="B1089" s="30"/>
      <c r="C1089" s="30"/>
      <c r="D1089" s="30"/>
      <c r="E1089" s="30"/>
      <c r="F1089" s="30"/>
      <c r="G1089" s="30"/>
      <c r="H1089" s="30"/>
      <c r="I1089" s="30"/>
      <c r="J1089" s="30"/>
      <c r="K1089" s="30"/>
      <c r="L1089" s="30"/>
      <c r="M1089" s="30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</row>
    <row r="1090" ht="15.75" customHeight="1">
      <c r="A1090" s="30"/>
      <c r="B1090" s="30"/>
      <c r="C1090" s="30"/>
      <c r="D1090" s="30"/>
      <c r="E1090" s="30"/>
      <c r="F1090" s="30"/>
      <c r="G1090" s="30"/>
      <c r="H1090" s="30"/>
      <c r="I1090" s="30"/>
      <c r="J1090" s="30"/>
      <c r="K1090" s="30"/>
      <c r="L1090" s="30"/>
      <c r="M1090" s="30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</row>
    <row r="1091" ht="15.75" customHeight="1">
      <c r="A1091" s="30"/>
      <c r="B1091" s="30"/>
      <c r="C1091" s="30"/>
      <c r="D1091" s="30"/>
      <c r="E1091" s="30"/>
      <c r="F1091" s="30"/>
      <c r="G1091" s="30"/>
      <c r="H1091" s="30"/>
      <c r="I1091" s="30"/>
      <c r="J1091" s="30"/>
      <c r="K1091" s="30"/>
      <c r="L1091" s="30"/>
      <c r="M1091" s="30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</row>
    <row r="1092" ht="15.75" customHeight="1">
      <c r="A1092" s="30"/>
      <c r="B1092" s="30"/>
      <c r="C1092" s="30"/>
      <c r="D1092" s="30"/>
      <c r="E1092" s="30"/>
      <c r="F1092" s="30"/>
      <c r="G1092" s="30"/>
      <c r="H1092" s="30"/>
      <c r="I1092" s="30"/>
      <c r="J1092" s="30"/>
      <c r="K1092" s="30"/>
      <c r="L1092" s="30"/>
      <c r="M1092" s="30"/>
      <c r="N1092" s="30"/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</row>
    <row r="1093" ht="15.75" customHeight="1">
      <c r="A1093" s="30"/>
      <c r="B1093" s="30"/>
      <c r="C1093" s="30"/>
      <c r="D1093" s="30"/>
      <c r="E1093" s="30"/>
      <c r="F1093" s="30"/>
      <c r="G1093" s="30"/>
      <c r="H1093" s="30"/>
      <c r="I1093" s="30"/>
      <c r="J1093" s="30"/>
      <c r="K1093" s="30"/>
      <c r="L1093" s="30"/>
      <c r="M1093" s="30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</row>
    <row r="1094" ht="15.75" customHeight="1">
      <c r="A1094" s="30"/>
      <c r="B1094" s="30"/>
      <c r="C1094" s="30"/>
      <c r="D1094" s="30"/>
      <c r="E1094" s="30"/>
      <c r="F1094" s="30"/>
      <c r="G1094" s="30"/>
      <c r="H1094" s="30"/>
      <c r="I1094" s="30"/>
      <c r="J1094" s="30"/>
      <c r="K1094" s="30"/>
      <c r="L1094" s="30"/>
      <c r="M1094" s="30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</row>
    <row r="1095" ht="15.75" customHeight="1">
      <c r="A1095" s="30"/>
      <c r="B1095" s="30"/>
      <c r="C1095" s="30"/>
      <c r="D1095" s="30"/>
      <c r="E1095" s="30"/>
      <c r="F1095" s="30"/>
      <c r="G1095" s="30"/>
      <c r="H1095" s="30"/>
      <c r="I1095" s="30"/>
      <c r="J1095" s="30"/>
      <c r="K1095" s="30"/>
      <c r="L1095" s="30"/>
      <c r="M1095" s="30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</row>
    <row r="1096" ht="15.75" customHeight="1">
      <c r="A1096" s="30"/>
      <c r="B1096" s="30"/>
      <c r="C1096" s="30"/>
      <c r="D1096" s="30"/>
      <c r="E1096" s="30"/>
      <c r="F1096" s="30"/>
      <c r="G1096" s="30"/>
      <c r="H1096" s="30"/>
      <c r="I1096" s="30"/>
      <c r="J1096" s="30"/>
      <c r="K1096" s="30"/>
      <c r="L1096" s="30"/>
      <c r="M1096" s="30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</row>
    <row r="1097" ht="15.75" customHeight="1">
      <c r="A1097" s="30"/>
      <c r="B1097" s="30"/>
      <c r="C1097" s="30"/>
      <c r="D1097" s="30"/>
      <c r="E1097" s="30"/>
      <c r="F1097" s="30"/>
      <c r="G1097" s="30"/>
      <c r="H1097" s="30"/>
      <c r="I1097" s="30"/>
      <c r="J1097" s="30"/>
      <c r="K1097" s="30"/>
      <c r="L1097" s="30"/>
      <c r="M1097" s="30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</row>
    <row r="1098" ht="15.75" customHeight="1">
      <c r="A1098" s="30"/>
      <c r="B1098" s="30"/>
      <c r="C1098" s="30"/>
      <c r="D1098" s="30"/>
      <c r="E1098" s="30"/>
      <c r="F1098" s="30"/>
      <c r="G1098" s="30"/>
      <c r="H1098" s="30"/>
      <c r="I1098" s="30"/>
      <c r="J1098" s="30"/>
      <c r="K1098" s="30"/>
      <c r="L1098" s="30"/>
      <c r="M1098" s="30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</row>
    <row r="1099" ht="15.75" customHeight="1">
      <c r="A1099" s="30"/>
      <c r="B1099" s="30"/>
      <c r="C1099" s="30"/>
      <c r="D1099" s="30"/>
      <c r="E1099" s="30"/>
      <c r="F1099" s="30"/>
      <c r="G1099" s="30"/>
      <c r="H1099" s="30"/>
      <c r="I1099" s="30"/>
      <c r="J1099" s="30"/>
      <c r="K1099" s="30"/>
      <c r="L1099" s="30"/>
      <c r="M1099" s="3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</row>
    <row r="1100" ht="15.75" customHeight="1">
      <c r="A1100" s="30"/>
      <c r="B1100" s="30"/>
      <c r="C1100" s="30"/>
      <c r="D1100" s="30"/>
      <c r="E1100" s="30"/>
      <c r="F1100" s="30"/>
      <c r="G1100" s="30"/>
      <c r="H1100" s="30"/>
      <c r="I1100" s="30"/>
      <c r="J1100" s="30"/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</row>
    <row r="1101" ht="15.75" customHeight="1">
      <c r="A1101" s="30"/>
      <c r="B1101" s="30"/>
      <c r="C1101" s="30"/>
      <c r="D1101" s="30"/>
      <c r="E1101" s="30"/>
      <c r="F1101" s="30"/>
      <c r="G1101" s="30"/>
      <c r="H1101" s="30"/>
      <c r="I1101" s="30"/>
      <c r="J1101" s="30"/>
      <c r="K1101" s="30"/>
      <c r="L1101" s="30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</row>
    <row r="1102" ht="15.75" customHeight="1">
      <c r="A1102" s="30"/>
      <c r="B1102" s="30"/>
      <c r="C1102" s="30"/>
      <c r="D1102" s="30"/>
      <c r="E1102" s="30"/>
      <c r="F1102" s="30"/>
      <c r="G1102" s="30"/>
      <c r="H1102" s="30"/>
      <c r="I1102" s="30"/>
      <c r="J1102" s="30"/>
      <c r="K1102" s="30"/>
      <c r="L1102" s="30"/>
      <c r="M1102" s="30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</row>
    <row r="1103" ht="15.75" customHeight="1">
      <c r="A1103" s="30"/>
      <c r="B1103" s="30"/>
      <c r="C1103" s="30"/>
      <c r="D1103" s="30"/>
      <c r="E1103" s="30"/>
      <c r="F1103" s="30"/>
      <c r="G1103" s="30"/>
      <c r="H1103" s="30"/>
      <c r="I1103" s="30"/>
      <c r="J1103" s="30"/>
      <c r="K1103" s="30"/>
      <c r="L1103" s="30"/>
      <c r="M1103" s="30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</row>
    <row r="1104" ht="15.75" customHeight="1">
      <c r="A1104" s="30"/>
      <c r="B1104" s="30"/>
      <c r="C1104" s="30"/>
      <c r="D1104" s="30"/>
      <c r="E1104" s="30"/>
      <c r="F1104" s="30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</row>
    <row r="1105" ht="15.75" customHeight="1">
      <c r="A1105" s="30"/>
      <c r="B1105" s="30"/>
      <c r="C1105" s="30"/>
      <c r="D1105" s="30"/>
      <c r="E1105" s="30"/>
      <c r="F1105" s="30"/>
      <c r="G1105" s="30"/>
      <c r="H1105" s="30"/>
      <c r="I1105" s="30"/>
      <c r="J1105" s="30"/>
      <c r="K1105" s="30"/>
      <c r="L1105" s="30"/>
      <c r="M1105" s="30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</row>
    <row r="1106" ht="15.75" customHeight="1">
      <c r="A1106" s="30"/>
      <c r="B1106" s="30"/>
      <c r="C1106" s="30"/>
      <c r="D1106" s="30"/>
      <c r="E1106" s="30"/>
      <c r="F1106" s="30"/>
      <c r="G1106" s="30"/>
      <c r="H1106" s="30"/>
      <c r="I1106" s="30"/>
      <c r="J1106" s="30"/>
      <c r="K1106" s="30"/>
      <c r="L1106" s="30"/>
      <c r="M1106" s="30"/>
      <c r="N1106" s="30"/>
      <c r="O1106" s="30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  <c r="Z1106" s="30"/>
    </row>
    <row r="1107" ht="15.75" customHeight="1">
      <c r="A1107" s="30"/>
      <c r="B1107" s="30"/>
      <c r="C1107" s="30"/>
      <c r="D1107" s="30"/>
      <c r="E1107" s="30"/>
      <c r="F1107" s="30"/>
      <c r="G1107" s="30"/>
      <c r="H1107" s="30"/>
      <c r="I1107" s="30"/>
      <c r="J1107" s="30"/>
      <c r="K1107" s="30"/>
      <c r="L1107" s="30"/>
      <c r="M1107" s="30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</row>
    <row r="1108" ht="15.75" customHeight="1">
      <c r="A1108" s="30"/>
      <c r="B1108" s="30"/>
      <c r="C1108" s="30"/>
      <c r="D1108" s="30"/>
      <c r="E1108" s="30"/>
      <c r="F1108" s="30"/>
      <c r="G1108" s="30"/>
      <c r="H1108" s="30"/>
      <c r="I1108" s="30"/>
      <c r="J1108" s="30"/>
      <c r="K1108" s="30"/>
      <c r="L1108" s="30"/>
      <c r="M1108" s="30"/>
      <c r="N1108" s="30"/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</row>
    <row r="1109" ht="15.75" customHeight="1">
      <c r="A1109" s="30"/>
      <c r="B1109" s="30"/>
      <c r="C1109" s="30"/>
      <c r="D1109" s="30"/>
      <c r="E1109" s="30"/>
      <c r="F1109" s="30"/>
      <c r="G1109" s="30"/>
      <c r="H1109" s="30"/>
      <c r="I1109" s="30"/>
      <c r="J1109" s="30"/>
      <c r="K1109" s="30"/>
      <c r="L1109" s="30"/>
      <c r="M1109" s="30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</row>
    <row r="1110" ht="15.75" customHeight="1">
      <c r="A1110" s="30"/>
      <c r="B1110" s="30"/>
      <c r="C1110" s="30"/>
      <c r="D1110" s="30"/>
      <c r="E1110" s="30"/>
      <c r="F1110" s="30"/>
      <c r="G1110" s="30"/>
      <c r="H1110" s="30"/>
      <c r="I1110" s="30"/>
      <c r="J1110" s="30"/>
      <c r="K1110" s="30"/>
      <c r="L1110" s="30"/>
      <c r="M1110" s="30"/>
      <c r="N1110" s="30"/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</row>
    <row r="1111" ht="15.75" customHeight="1">
      <c r="A1111" s="30"/>
      <c r="B1111" s="30"/>
      <c r="C1111" s="30"/>
      <c r="D1111" s="30"/>
      <c r="E1111" s="30"/>
      <c r="F1111" s="30"/>
      <c r="G1111" s="30"/>
      <c r="H1111" s="30"/>
      <c r="I1111" s="30"/>
      <c r="J1111" s="30"/>
      <c r="K1111" s="30"/>
      <c r="L1111" s="30"/>
      <c r="M1111" s="30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</row>
    <row r="1112" ht="15.75" customHeight="1">
      <c r="A1112" s="30"/>
      <c r="B1112" s="30"/>
      <c r="C1112" s="30"/>
      <c r="D1112" s="30"/>
      <c r="E1112" s="30"/>
      <c r="F1112" s="30"/>
      <c r="G1112" s="30"/>
      <c r="H1112" s="30"/>
      <c r="I1112" s="30"/>
      <c r="J1112" s="30"/>
      <c r="K1112" s="30"/>
      <c r="L1112" s="30"/>
      <c r="M1112" s="30"/>
      <c r="N1112" s="30"/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</row>
    <row r="1113" ht="15.75" customHeight="1">
      <c r="A1113" s="30"/>
      <c r="B1113" s="30"/>
      <c r="C1113" s="30"/>
      <c r="D1113" s="30"/>
      <c r="E1113" s="30"/>
      <c r="F1113" s="30"/>
      <c r="G1113" s="30"/>
      <c r="H1113" s="30"/>
      <c r="I1113" s="30"/>
      <c r="J1113" s="30"/>
      <c r="K1113" s="30"/>
      <c r="L1113" s="30"/>
      <c r="M1113" s="30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</row>
    <row r="1114" ht="15.75" customHeight="1">
      <c r="A1114" s="30"/>
      <c r="B1114" s="30"/>
      <c r="C1114" s="30"/>
      <c r="D1114" s="30"/>
      <c r="E1114" s="30"/>
      <c r="F1114" s="30"/>
      <c r="G1114" s="30"/>
      <c r="H1114" s="30"/>
      <c r="I1114" s="30"/>
      <c r="J1114" s="30"/>
      <c r="K1114" s="30"/>
      <c r="L1114" s="30"/>
      <c r="M1114" s="30"/>
      <c r="N1114" s="30"/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</row>
    <row r="1115" ht="15.75" customHeight="1">
      <c r="A1115" s="30"/>
      <c r="B1115" s="30"/>
      <c r="C1115" s="30"/>
      <c r="D1115" s="30"/>
      <c r="E1115" s="30"/>
      <c r="F1115" s="30"/>
      <c r="G1115" s="30"/>
      <c r="H1115" s="30"/>
      <c r="I1115" s="30"/>
      <c r="J1115" s="30"/>
      <c r="K1115" s="30"/>
      <c r="L1115" s="30"/>
      <c r="M1115" s="30"/>
      <c r="N1115" s="30"/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</row>
    <row r="1116" ht="15.75" customHeight="1">
      <c r="A1116" s="30"/>
      <c r="B1116" s="30"/>
      <c r="C1116" s="30"/>
      <c r="D1116" s="30"/>
      <c r="E1116" s="30"/>
      <c r="F1116" s="30"/>
      <c r="G1116" s="30"/>
      <c r="H1116" s="30"/>
      <c r="I1116" s="30"/>
      <c r="J1116" s="30"/>
      <c r="K1116" s="30"/>
      <c r="L1116" s="30"/>
      <c r="M1116" s="30"/>
      <c r="N1116" s="30"/>
      <c r="O1116" s="30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</row>
    <row r="1117" ht="15.75" customHeight="1">
      <c r="A1117" s="30"/>
      <c r="B1117" s="30"/>
      <c r="C1117" s="30"/>
      <c r="D1117" s="30"/>
      <c r="E1117" s="30"/>
      <c r="F1117" s="30"/>
      <c r="G1117" s="30"/>
      <c r="H1117" s="30"/>
      <c r="I1117" s="30"/>
      <c r="J1117" s="30"/>
      <c r="K1117" s="30"/>
      <c r="L1117" s="30"/>
      <c r="M1117" s="30"/>
      <c r="N1117" s="30"/>
      <c r="O1117" s="30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43"/>
    <col customWidth="1" min="3" max="3" width="7.71"/>
    <col customWidth="1" min="4" max="4" width="13.71"/>
    <col customWidth="1" min="5" max="5" width="10.57"/>
    <col customWidth="1" min="6" max="6" width="8.71"/>
  </cols>
  <sheetData>
    <row r="1">
      <c r="A1" s="50" t="s">
        <v>508</v>
      </c>
      <c r="B1" s="51"/>
      <c r="C1" s="51"/>
      <c r="D1" s="51"/>
      <c r="E1" s="5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52" t="s">
        <v>1</v>
      </c>
      <c r="B3" s="52" t="s">
        <v>2</v>
      </c>
      <c r="C3" s="52" t="s">
        <v>3</v>
      </c>
      <c r="D3" s="52" t="s">
        <v>5</v>
      </c>
      <c r="E3" s="52" t="s">
        <v>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1" t="s">
        <v>509</v>
      </c>
      <c r="B4" s="31" t="s">
        <v>510</v>
      </c>
      <c r="C4" s="3" t="s">
        <v>24</v>
      </c>
      <c r="D4" s="7">
        <v>50000.0</v>
      </c>
      <c r="E4" s="32">
        <v>45877.0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1" t="s">
        <v>511</v>
      </c>
      <c r="B5" s="31" t="s">
        <v>512</v>
      </c>
      <c r="C5" s="3" t="s">
        <v>24</v>
      </c>
      <c r="D5" s="7">
        <v>45000.0</v>
      </c>
      <c r="E5" s="32">
        <v>45877.0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1" t="s">
        <v>513</v>
      </c>
      <c r="B6" s="31" t="s">
        <v>514</v>
      </c>
      <c r="C6" s="3" t="s">
        <v>24</v>
      </c>
      <c r="D6" s="7">
        <v>40000.0</v>
      </c>
      <c r="E6" s="32">
        <v>45877.0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1" t="s">
        <v>515</v>
      </c>
      <c r="B7" s="31" t="s">
        <v>516</v>
      </c>
      <c r="C7" s="3" t="s">
        <v>24</v>
      </c>
      <c r="D7" s="7">
        <v>30000.0</v>
      </c>
      <c r="E7" s="32">
        <v>45877.0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1" t="s">
        <v>517</v>
      </c>
      <c r="B8" s="3" t="s">
        <v>518</v>
      </c>
      <c r="C8" s="3" t="s">
        <v>24</v>
      </c>
      <c r="D8" s="7">
        <v>80000.0</v>
      </c>
      <c r="E8" s="32">
        <v>45877.0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43"/>
    <col customWidth="1" min="3" max="3" width="7.71"/>
    <col customWidth="1" min="4" max="4" width="12.86"/>
    <col customWidth="1" min="5" max="6" width="8.71"/>
  </cols>
  <sheetData>
    <row r="1">
      <c r="A1" s="1" t="s">
        <v>519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</v>
      </c>
      <c r="B3" s="4" t="s">
        <v>2</v>
      </c>
      <c r="C3" s="4" t="s">
        <v>3</v>
      </c>
      <c r="D3" s="4" t="s">
        <v>5</v>
      </c>
      <c r="E3" s="4" t="s">
        <v>520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521</v>
      </c>
      <c r="B4" s="5" t="s">
        <v>522</v>
      </c>
      <c r="C4" s="3" t="s">
        <v>24</v>
      </c>
      <c r="D4" s="7">
        <v>420000.0</v>
      </c>
      <c r="E4" s="53">
        <v>45804.0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523</v>
      </c>
      <c r="B5" s="5" t="s">
        <v>524</v>
      </c>
      <c r="C5" s="3" t="s">
        <v>24</v>
      </c>
      <c r="D5" s="7">
        <v>550000.0</v>
      </c>
      <c r="E5" s="53">
        <v>45804.0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525</v>
      </c>
      <c r="B6" s="5" t="s">
        <v>526</v>
      </c>
      <c r="C6" s="3" t="s">
        <v>24</v>
      </c>
      <c r="D6" s="7">
        <v>550000.0</v>
      </c>
      <c r="E6" s="53">
        <v>45804.0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527</v>
      </c>
      <c r="B7" s="5" t="s">
        <v>528</v>
      </c>
      <c r="C7" s="3" t="s">
        <v>24</v>
      </c>
      <c r="D7" s="7">
        <v>40000.0</v>
      </c>
      <c r="E7" s="5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529</v>
      </c>
      <c r="B8" s="5" t="s">
        <v>530</v>
      </c>
      <c r="C8" s="3" t="s">
        <v>24</v>
      </c>
      <c r="D8" s="7">
        <v>450000.0</v>
      </c>
      <c r="E8" s="5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531</v>
      </c>
      <c r="B9" s="5" t="s">
        <v>532</v>
      </c>
      <c r="C9" s="3" t="s">
        <v>24</v>
      </c>
      <c r="D9" s="7">
        <v>400000.0</v>
      </c>
      <c r="E9" s="5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533</v>
      </c>
      <c r="B10" s="5" t="s">
        <v>534</v>
      </c>
      <c r="C10" s="3" t="s">
        <v>24</v>
      </c>
      <c r="D10" s="7">
        <v>600000.0</v>
      </c>
      <c r="E10" s="5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535</v>
      </c>
      <c r="B11" s="5" t="s">
        <v>536</v>
      </c>
      <c r="C11" s="3" t="s">
        <v>24</v>
      </c>
      <c r="D11" s="7">
        <v>150000.0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537</v>
      </c>
      <c r="B12" s="5" t="s">
        <v>538</v>
      </c>
      <c r="C12" s="3" t="s">
        <v>24</v>
      </c>
      <c r="D12" s="7">
        <v>200000.0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539</v>
      </c>
      <c r="B13" s="5" t="s">
        <v>540</v>
      </c>
      <c r="C13" s="3" t="s">
        <v>24</v>
      </c>
      <c r="D13" s="7">
        <v>45000.0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541</v>
      </c>
      <c r="B14" s="5" t="s">
        <v>542</v>
      </c>
      <c r="C14" s="3" t="s">
        <v>24</v>
      </c>
      <c r="D14" s="7">
        <v>60000.0</v>
      </c>
      <c r="E14" s="53">
        <v>45890.0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543</v>
      </c>
      <c r="B15" s="5" t="s">
        <v>544</v>
      </c>
      <c r="C15" s="3" t="s">
        <v>24</v>
      </c>
      <c r="D15" s="7">
        <v>140000.0</v>
      </c>
      <c r="E15" s="53">
        <v>45890.0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545</v>
      </c>
      <c r="B16" s="5" t="s">
        <v>546</v>
      </c>
      <c r="C16" s="3" t="s">
        <v>24</v>
      </c>
      <c r="D16" s="7">
        <v>480000.0</v>
      </c>
      <c r="E16" s="53">
        <v>45804.0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547</v>
      </c>
      <c r="B17" s="5" t="s">
        <v>548</v>
      </c>
      <c r="C17" s="55" t="s">
        <v>12</v>
      </c>
      <c r="D17" s="7">
        <v>30000.0</v>
      </c>
      <c r="E17" s="53">
        <v>45804.0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549</v>
      </c>
      <c r="B18" s="5" t="s">
        <v>550</v>
      </c>
      <c r="C18" s="55" t="s">
        <v>12</v>
      </c>
      <c r="D18" s="7">
        <f>D17*8</f>
        <v>240000</v>
      </c>
      <c r="E18" s="53">
        <v>45804.0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551</v>
      </c>
      <c r="B19" s="5" t="s">
        <v>552</v>
      </c>
      <c r="C19" s="55" t="s">
        <v>12</v>
      </c>
      <c r="D19" s="7">
        <v>21000.0</v>
      </c>
      <c r="E19" s="53">
        <v>45804.0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553</v>
      </c>
      <c r="B20" s="5" t="s">
        <v>554</v>
      </c>
      <c r="C20" s="55" t="s">
        <v>12</v>
      </c>
      <c r="D20" s="7">
        <v>25000.0</v>
      </c>
      <c r="E20" s="53">
        <v>45804.0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555</v>
      </c>
      <c r="B21" s="5" t="s">
        <v>556</v>
      </c>
      <c r="C21" s="55" t="s">
        <v>24</v>
      </c>
      <c r="D21" s="7">
        <v>570000.0</v>
      </c>
      <c r="E21" s="53">
        <v>45804.0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 t="s">
        <v>557</v>
      </c>
      <c r="B22" s="5" t="s">
        <v>558</v>
      </c>
      <c r="C22" s="3" t="s">
        <v>24</v>
      </c>
      <c r="D22" s="7">
        <v>100000.0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559</v>
      </c>
      <c r="B23" s="5" t="s">
        <v>560</v>
      </c>
      <c r="C23" s="55" t="s">
        <v>24</v>
      </c>
      <c r="D23" s="7">
        <v>300000.0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8.0"/>
    <col customWidth="1" min="3" max="3" width="7.71"/>
    <col customWidth="1" min="4" max="4" width="13.71"/>
    <col customWidth="1" min="5" max="6" width="8.71"/>
  </cols>
  <sheetData>
    <row r="1">
      <c r="A1" s="1" t="s">
        <v>561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1</v>
      </c>
      <c r="B3" s="4" t="s">
        <v>561</v>
      </c>
      <c r="C3" s="56" t="s">
        <v>3</v>
      </c>
      <c r="D3" s="4" t="s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1" t="s">
        <v>562</v>
      </c>
      <c r="B4" s="11" t="s">
        <v>563</v>
      </c>
      <c r="C4" s="57" t="s">
        <v>48</v>
      </c>
      <c r="D4" s="13">
        <v>16000.0</v>
      </c>
      <c r="E4" s="58"/>
      <c r="F4" s="53">
        <v>45789.0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1" t="s">
        <v>564</v>
      </c>
      <c r="B5" s="11" t="s">
        <v>565</v>
      </c>
      <c r="C5" s="57" t="s">
        <v>48</v>
      </c>
      <c r="D5" s="13">
        <v>10000.0</v>
      </c>
      <c r="E5" s="58"/>
      <c r="F5" s="53">
        <v>45789.0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1" t="s">
        <v>566</v>
      </c>
      <c r="B6" s="11" t="s">
        <v>567</v>
      </c>
      <c r="C6" s="57" t="s">
        <v>48</v>
      </c>
      <c r="D6" s="13">
        <v>12000.0</v>
      </c>
      <c r="E6" s="58"/>
      <c r="F6" s="53">
        <v>45789.0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5" t="s">
        <v>568</v>
      </c>
      <c r="B7" s="5" t="s">
        <v>569</v>
      </c>
      <c r="C7" s="55" t="s">
        <v>48</v>
      </c>
      <c r="D7" s="7">
        <v>10000.0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5" t="s">
        <v>562</v>
      </c>
      <c r="B8" s="5" t="s">
        <v>570</v>
      </c>
      <c r="C8" s="55" t="s">
        <v>48</v>
      </c>
      <c r="D8" s="7">
        <v>8000.0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5" t="s">
        <v>571</v>
      </c>
      <c r="B9" s="5" t="s">
        <v>572</v>
      </c>
      <c r="C9" s="55" t="s">
        <v>48</v>
      </c>
      <c r="D9" s="7">
        <v>8000.0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5" t="s">
        <v>573</v>
      </c>
      <c r="B10" s="5" t="s">
        <v>574</v>
      </c>
      <c r="C10" s="55" t="s">
        <v>24</v>
      </c>
      <c r="D10" s="7">
        <v>25000.0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5" t="s">
        <v>575</v>
      </c>
      <c r="B11" s="5" t="s">
        <v>576</v>
      </c>
      <c r="C11" s="55" t="s">
        <v>24</v>
      </c>
      <c r="D11" s="7">
        <v>50000.0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11" t="s">
        <v>577</v>
      </c>
      <c r="B12" s="11" t="s">
        <v>578</v>
      </c>
      <c r="C12" s="57" t="s">
        <v>48</v>
      </c>
      <c r="D12" s="13">
        <v>37000.0</v>
      </c>
      <c r="E12" s="58"/>
      <c r="F12" s="53">
        <v>45791.0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1" t="s">
        <v>579</v>
      </c>
      <c r="B13" s="11" t="s">
        <v>580</v>
      </c>
      <c r="C13" s="57" t="s">
        <v>48</v>
      </c>
      <c r="D13" s="13">
        <v>37000.0</v>
      </c>
      <c r="E13" s="58"/>
      <c r="F13" s="53">
        <v>45791.0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11" t="s">
        <v>581</v>
      </c>
      <c r="B14" s="11" t="s">
        <v>582</v>
      </c>
      <c r="C14" s="57" t="s">
        <v>145</v>
      </c>
      <c r="D14" s="13">
        <v>45000.0</v>
      </c>
      <c r="E14" s="58"/>
      <c r="F14" s="53">
        <v>45791.0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11" t="s">
        <v>583</v>
      </c>
      <c r="B15" s="11" t="s">
        <v>584</v>
      </c>
      <c r="C15" s="57" t="s">
        <v>145</v>
      </c>
      <c r="D15" s="13">
        <v>20000.0</v>
      </c>
      <c r="E15" s="58"/>
      <c r="F15" s="53">
        <v>45791.0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1" t="s">
        <v>585</v>
      </c>
      <c r="B16" s="11" t="s">
        <v>586</v>
      </c>
      <c r="C16" s="57" t="s">
        <v>145</v>
      </c>
      <c r="D16" s="13">
        <v>45000.0</v>
      </c>
      <c r="E16" s="58"/>
      <c r="F16" s="53">
        <v>45791.0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1" t="s">
        <v>587</v>
      </c>
      <c r="B17" s="11" t="s">
        <v>588</v>
      </c>
      <c r="C17" s="57" t="s">
        <v>48</v>
      </c>
      <c r="D17" s="13">
        <v>48000.0</v>
      </c>
      <c r="E17" s="58"/>
      <c r="F17" s="53">
        <v>45791.0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1" t="s">
        <v>589</v>
      </c>
      <c r="B18" s="11" t="s">
        <v>590</v>
      </c>
      <c r="C18" s="57" t="s">
        <v>145</v>
      </c>
      <c r="D18" s="13">
        <v>16000.0</v>
      </c>
      <c r="E18" s="58"/>
      <c r="F18" s="53">
        <v>45791.0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1" t="s">
        <v>591</v>
      </c>
      <c r="B19" s="11" t="s">
        <v>592</v>
      </c>
      <c r="C19" s="57" t="s">
        <v>145</v>
      </c>
      <c r="D19" s="13">
        <v>16000.0</v>
      </c>
      <c r="E19" s="58"/>
      <c r="F19" s="53">
        <v>45791.0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1" t="s">
        <v>593</v>
      </c>
      <c r="B20" s="11" t="s">
        <v>594</v>
      </c>
      <c r="C20" s="57" t="s">
        <v>595</v>
      </c>
      <c r="D20" s="13">
        <v>100000.0</v>
      </c>
      <c r="E20" s="3" t="s">
        <v>596</v>
      </c>
      <c r="F20" s="53">
        <v>45800.0</v>
      </c>
      <c r="G20" s="3" t="s">
        <v>597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1" t="s">
        <v>598</v>
      </c>
      <c r="B21" s="11" t="s">
        <v>599</v>
      </c>
      <c r="C21" s="57" t="s">
        <v>24</v>
      </c>
      <c r="D21" s="13">
        <v>7000.0</v>
      </c>
      <c r="E21" s="3" t="s">
        <v>600</v>
      </c>
      <c r="F21" s="53">
        <v>45800.0</v>
      </c>
      <c r="G21" s="3" t="s">
        <v>597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1" t="s">
        <v>601</v>
      </c>
      <c r="B22" s="11" t="s">
        <v>602</v>
      </c>
      <c r="C22" s="57" t="s">
        <v>24</v>
      </c>
      <c r="D22" s="13">
        <v>100000.0</v>
      </c>
      <c r="E22" s="3" t="s">
        <v>596</v>
      </c>
      <c r="F22" s="53">
        <v>45800.0</v>
      </c>
      <c r="G22" s="3" t="s">
        <v>597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1" t="s">
        <v>603</v>
      </c>
      <c r="B23" s="11" t="s">
        <v>604</v>
      </c>
      <c r="C23" s="57" t="s">
        <v>24</v>
      </c>
      <c r="D23" s="13">
        <v>100000.0</v>
      </c>
      <c r="E23" s="3" t="s">
        <v>600</v>
      </c>
      <c r="F23" s="53">
        <v>45800.0</v>
      </c>
      <c r="G23" s="3" t="s">
        <v>597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5" t="s">
        <v>605</v>
      </c>
      <c r="B24" s="5" t="s">
        <v>606</v>
      </c>
      <c r="C24" s="55" t="s">
        <v>24</v>
      </c>
      <c r="D24" s="7">
        <v>700000.0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11" t="s">
        <v>607</v>
      </c>
      <c r="B25" s="11" t="s">
        <v>608</v>
      </c>
      <c r="C25" s="57" t="s">
        <v>609</v>
      </c>
      <c r="D25" s="13">
        <v>7000.0</v>
      </c>
      <c r="E25" s="3"/>
      <c r="F25" s="53">
        <v>45800.0</v>
      </c>
      <c r="G25" s="3" t="s">
        <v>610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11" t="s">
        <v>611</v>
      </c>
      <c r="B26" s="11" t="s">
        <v>612</v>
      </c>
      <c r="C26" s="57" t="s">
        <v>145</v>
      </c>
      <c r="D26" s="13">
        <v>10000.0</v>
      </c>
      <c r="E26" s="3"/>
      <c r="F26" s="53">
        <v>45800.0</v>
      </c>
      <c r="G26" s="3" t="s">
        <v>610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8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8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4" t="s">
        <v>1</v>
      </c>
      <c r="B29" s="4" t="s">
        <v>613</v>
      </c>
      <c r="C29" s="56" t="s">
        <v>3</v>
      </c>
      <c r="D29" s="20" t="s">
        <v>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 t="s">
        <v>614</v>
      </c>
      <c r="B30" s="5" t="s">
        <v>615</v>
      </c>
      <c r="C30" s="55" t="s">
        <v>24</v>
      </c>
      <c r="D30" s="7">
        <v>420000.0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 t="s">
        <v>616</v>
      </c>
      <c r="B31" s="5" t="s">
        <v>617</v>
      </c>
      <c r="C31" s="55" t="s">
        <v>24</v>
      </c>
      <c r="D31" s="7">
        <v>550000.0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 t="s">
        <v>618</v>
      </c>
      <c r="B32" s="5" t="s">
        <v>619</v>
      </c>
      <c r="C32" s="55" t="s">
        <v>24</v>
      </c>
      <c r="D32" s="7">
        <v>550000.0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 t="s">
        <v>620</v>
      </c>
      <c r="B33" s="5" t="s">
        <v>560</v>
      </c>
      <c r="C33" s="55" t="s">
        <v>24</v>
      </c>
      <c r="D33" s="7">
        <v>300000.0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 t="s">
        <v>621</v>
      </c>
      <c r="B34" s="5" t="s">
        <v>622</v>
      </c>
      <c r="C34" s="55" t="s">
        <v>24</v>
      </c>
      <c r="D34" s="7">
        <v>140000.0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 t="s">
        <v>547</v>
      </c>
      <c r="B35" s="5" t="s">
        <v>548</v>
      </c>
      <c r="C35" s="55" t="s">
        <v>12</v>
      </c>
      <c r="D35" s="7">
        <v>30000.0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 t="s">
        <v>549</v>
      </c>
      <c r="B36" s="5" t="s">
        <v>550</v>
      </c>
      <c r="C36" s="55" t="s">
        <v>12</v>
      </c>
      <c r="D36" s="7">
        <f>D35*8</f>
        <v>240000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 t="s">
        <v>551</v>
      </c>
      <c r="B37" s="5" t="s">
        <v>552</v>
      </c>
      <c r="C37" s="55" t="s">
        <v>12</v>
      </c>
      <c r="D37" s="7">
        <v>21000.0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 t="s">
        <v>553</v>
      </c>
      <c r="B38" s="5" t="s">
        <v>554</v>
      </c>
      <c r="C38" s="55" t="s">
        <v>12</v>
      </c>
      <c r="D38" s="7">
        <v>25000.0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 t="s">
        <v>555</v>
      </c>
      <c r="B39" s="5" t="s">
        <v>556</v>
      </c>
      <c r="C39" s="55" t="s">
        <v>24</v>
      </c>
      <c r="D39" s="7">
        <v>570000.0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5"/>
      <c r="C40" s="3"/>
      <c r="D40" s="8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5"/>
      <c r="C41" s="3"/>
      <c r="D41" s="8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 t="s">
        <v>623</v>
      </c>
      <c r="B42" s="5" t="s">
        <v>624</v>
      </c>
      <c r="C42" s="55" t="s">
        <v>446</v>
      </c>
      <c r="D42" s="7">
        <v>120000.0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5"/>
      <c r="C43" s="3"/>
      <c r="D43" s="8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 t="s">
        <v>625</v>
      </c>
      <c r="B44" s="5" t="s">
        <v>626</v>
      </c>
      <c r="C44" s="3"/>
      <c r="D44" s="8">
        <v>2800000.0</v>
      </c>
      <c r="E44" s="3"/>
      <c r="F44" s="3">
        <v>14614.9</v>
      </c>
      <c r="G44" s="3" t="s">
        <v>627</v>
      </c>
      <c r="H44" s="8">
        <v>2250000.0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5"/>
      <c r="C45" s="3"/>
      <c r="D45" s="8"/>
      <c r="E45" s="3"/>
      <c r="F45" s="3">
        <v>1692950.0</v>
      </c>
      <c r="G45" s="3" t="s">
        <v>628</v>
      </c>
      <c r="H45" s="59">
        <f>F45*H44/F44</f>
        <v>260633839.4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43"/>
  </cols>
  <sheetData>
    <row r="1">
      <c r="A1" s="60" t="s">
        <v>629</v>
      </c>
      <c r="B1" s="3"/>
      <c r="C1" s="3"/>
    </row>
    <row r="2">
      <c r="A2" s="61"/>
      <c r="B2" s="61"/>
      <c r="C2" s="3"/>
    </row>
    <row r="3">
      <c r="A3" s="62" t="s">
        <v>630</v>
      </c>
      <c r="B3" s="63">
        <f>SUM(B4:B5)</f>
        <v>3000000</v>
      </c>
      <c r="C3" s="3"/>
    </row>
    <row r="4">
      <c r="A4" s="64" t="s">
        <v>631</v>
      </c>
      <c r="B4" s="65">
        <v>1000000.0</v>
      </c>
      <c r="C4" s="3"/>
    </row>
    <row r="5">
      <c r="A5" s="64" t="s">
        <v>632</v>
      </c>
      <c r="B5" s="65">
        <v>2000000.0</v>
      </c>
      <c r="C5" s="3"/>
    </row>
    <row r="6">
      <c r="A6" s="62" t="s">
        <v>633</v>
      </c>
      <c r="B6" s="63">
        <f>SUM(B7:B11)</f>
        <v>1550000</v>
      </c>
      <c r="C6" s="3"/>
    </row>
    <row r="7">
      <c r="A7" s="66" t="s">
        <v>634</v>
      </c>
      <c r="B7" s="67">
        <v>250000.0</v>
      </c>
      <c r="C7" s="3"/>
    </row>
    <row r="8">
      <c r="A8" s="66" t="s">
        <v>635</v>
      </c>
      <c r="B8" s="67">
        <v>100000.0</v>
      </c>
      <c r="C8" s="3"/>
    </row>
    <row r="9">
      <c r="A9" s="66"/>
      <c r="B9" s="67"/>
      <c r="C9" s="3"/>
    </row>
    <row r="10">
      <c r="A10" s="66" t="s">
        <v>636</v>
      </c>
      <c r="B10" s="67">
        <v>200000.0</v>
      </c>
      <c r="C10" s="3"/>
    </row>
    <row r="11">
      <c r="A11" s="68" t="s">
        <v>637</v>
      </c>
      <c r="B11" s="69">
        <v>1000000.0</v>
      </c>
      <c r="C11" s="3"/>
    </row>
    <row r="12">
      <c r="A12" s="3"/>
      <c r="B12" s="61"/>
      <c r="C12" s="3"/>
    </row>
    <row r="13">
      <c r="A13" s="70"/>
      <c r="B13" s="71">
        <f>SUM(B6+B3)</f>
        <v>4550000</v>
      </c>
      <c r="C13" s="7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57"/>
    <col customWidth="1" min="2" max="2" width="103.29"/>
    <col customWidth="1" min="3" max="3" width="7.71"/>
    <col customWidth="1" min="4" max="4" width="11.57"/>
    <col customWidth="1" min="5" max="26" width="20.71"/>
    <col customWidth="1" min="27" max="37" width="8.71"/>
  </cols>
  <sheetData>
    <row r="1" ht="33.75" customHeight="1">
      <c r="A1" s="73" t="s">
        <v>638</v>
      </c>
      <c r="B1" s="73"/>
      <c r="Z1" s="74"/>
    </row>
    <row r="2" ht="9.0" customHeight="1"/>
    <row r="3" ht="30.75" customHeight="1">
      <c r="A3" s="75" t="s">
        <v>639</v>
      </c>
      <c r="B3" s="75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15.0" customHeight="1">
      <c r="C4" s="74"/>
    </row>
    <row r="5" ht="14.25" customHeight="1">
      <c r="A5" s="77" t="s">
        <v>640</v>
      </c>
      <c r="B5" s="78" t="s">
        <v>641</v>
      </c>
      <c r="C5" s="77" t="s">
        <v>3</v>
      </c>
      <c r="D5" s="79" t="s">
        <v>642</v>
      </c>
      <c r="E5" s="80" t="s">
        <v>643</v>
      </c>
      <c r="F5" s="81"/>
      <c r="G5" s="81"/>
      <c r="H5" s="81"/>
      <c r="I5" s="81"/>
      <c r="J5" s="81"/>
      <c r="K5" s="81"/>
      <c r="L5" s="81"/>
      <c r="M5" s="81"/>
      <c r="N5" s="82"/>
      <c r="O5" s="83" t="s">
        <v>644</v>
      </c>
      <c r="P5" s="81"/>
      <c r="Q5" s="82"/>
      <c r="R5" s="83" t="s">
        <v>645</v>
      </c>
      <c r="S5" s="81"/>
      <c r="T5" s="82"/>
      <c r="U5" s="83" t="s">
        <v>646</v>
      </c>
      <c r="V5" s="81"/>
      <c r="W5" s="81"/>
      <c r="X5" s="81"/>
      <c r="Y5" s="81"/>
      <c r="Z5" s="84"/>
    </row>
    <row r="6" ht="14.25" customHeight="1">
      <c r="A6" s="85"/>
      <c r="B6" s="85"/>
      <c r="C6" s="85"/>
      <c r="D6" s="86"/>
      <c r="E6" s="87" t="s">
        <v>647</v>
      </c>
      <c r="F6" s="88"/>
      <c r="G6" s="88"/>
      <c r="H6" s="88"/>
      <c r="I6" s="88"/>
      <c r="J6" s="88"/>
      <c r="K6" s="89"/>
      <c r="L6" s="90" t="s">
        <v>648</v>
      </c>
      <c r="M6" s="88"/>
      <c r="N6" s="91"/>
      <c r="O6" s="92" t="s">
        <v>649</v>
      </c>
      <c r="P6" s="88"/>
      <c r="Q6" s="91"/>
      <c r="R6" s="92" t="s">
        <v>649</v>
      </c>
      <c r="S6" s="88"/>
      <c r="T6" s="91"/>
      <c r="U6" s="92" t="s">
        <v>650</v>
      </c>
      <c r="V6" s="88"/>
      <c r="W6" s="89"/>
      <c r="X6" s="93" t="s">
        <v>648</v>
      </c>
      <c r="Y6" s="88"/>
      <c r="Z6" s="94"/>
    </row>
    <row r="7" ht="14.25" customHeight="1">
      <c r="A7" s="95"/>
      <c r="B7" s="95"/>
      <c r="C7" s="95"/>
      <c r="D7" s="96"/>
      <c r="E7" s="97" t="s">
        <v>651</v>
      </c>
      <c r="F7" s="98" t="s">
        <v>652</v>
      </c>
      <c r="G7" s="98" t="s">
        <v>653</v>
      </c>
      <c r="H7" s="98" t="s">
        <v>654</v>
      </c>
      <c r="I7" s="98" t="s">
        <v>655</v>
      </c>
      <c r="J7" s="98" t="s">
        <v>656</v>
      </c>
      <c r="K7" s="98" t="s">
        <v>657</v>
      </c>
      <c r="L7" s="98" t="s">
        <v>651</v>
      </c>
      <c r="M7" s="98" t="s">
        <v>658</v>
      </c>
      <c r="N7" s="99" t="s">
        <v>657</v>
      </c>
      <c r="O7" s="100" t="s">
        <v>651</v>
      </c>
      <c r="P7" s="101" t="s">
        <v>656</v>
      </c>
      <c r="Q7" s="102" t="s">
        <v>657</v>
      </c>
      <c r="R7" s="100" t="s">
        <v>651</v>
      </c>
      <c r="S7" s="101" t="s">
        <v>656</v>
      </c>
      <c r="T7" s="102" t="s">
        <v>657</v>
      </c>
      <c r="U7" s="100" t="s">
        <v>651</v>
      </c>
      <c r="V7" s="101" t="s">
        <v>658</v>
      </c>
      <c r="W7" s="101" t="s">
        <v>657</v>
      </c>
      <c r="X7" s="101" t="s">
        <v>651</v>
      </c>
      <c r="Y7" s="101" t="s">
        <v>658</v>
      </c>
      <c r="Z7" s="103" t="s">
        <v>657</v>
      </c>
    </row>
    <row r="8" ht="14.25" customHeight="1">
      <c r="A8" s="104" t="s">
        <v>659</v>
      </c>
      <c r="B8" s="105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ht="14.25" customHeight="1">
      <c r="A9" s="108">
        <v>45292.0</v>
      </c>
      <c r="B9" s="109" t="s">
        <v>660</v>
      </c>
      <c r="C9" s="101" t="s">
        <v>661</v>
      </c>
      <c r="D9" s="110">
        <v>4.0</v>
      </c>
      <c r="E9" s="111"/>
      <c r="F9" s="111"/>
      <c r="G9" s="111"/>
      <c r="H9" s="111"/>
      <c r="I9" s="111">
        <v>400000.0</v>
      </c>
      <c r="J9" s="112">
        <f t="shared" ref="J9:J15" si="4">SUM(F9:I9)</f>
        <v>400000</v>
      </c>
      <c r="K9" s="112">
        <f t="shared" ref="K9:K15" si="5">SUM(E9,J9)</f>
        <v>400000</v>
      </c>
      <c r="L9" s="112">
        <f t="shared" ref="L9:L15" si="6">$D9*E9</f>
        <v>0</v>
      </c>
      <c r="M9" s="112">
        <f t="shared" ref="M9:M15" si="7">$D9*(SUM(F9:I9))</f>
        <v>1600000</v>
      </c>
      <c r="N9" s="112">
        <f t="shared" ref="N9:N15" si="8">L9+M9</f>
        <v>1600000</v>
      </c>
      <c r="O9" s="112">
        <f t="shared" ref="O9:P9" si="1">(O$39*L9)/L$39</f>
        <v>0</v>
      </c>
      <c r="P9" s="112">
        <f t="shared" si="1"/>
        <v>2000000</v>
      </c>
      <c r="Q9" s="112">
        <f t="shared" ref="Q9:Q15" si="10">O9+P9</f>
        <v>2000000</v>
      </c>
      <c r="R9" s="112">
        <f t="shared" ref="R9:S9" si="2">(R$39*O9)/O$39</f>
        <v>0</v>
      </c>
      <c r="S9" s="112">
        <f t="shared" si="2"/>
        <v>3000000</v>
      </c>
      <c r="T9" s="112">
        <f t="shared" ref="T9:T15" si="12">R9+S9</f>
        <v>3000000</v>
      </c>
      <c r="U9" s="112">
        <f t="shared" ref="U9:U15" si="13">X9/D9</f>
        <v>0</v>
      </c>
      <c r="V9" s="112">
        <f t="shared" ref="V9:V15" si="14">Y9/D9</f>
        <v>811500</v>
      </c>
      <c r="W9" s="112">
        <f t="shared" ref="W9:W15" si="15">U9+V9</f>
        <v>811500</v>
      </c>
      <c r="X9" s="112">
        <f t="shared" ref="X9:Y9" si="3">(X$39*R9)/R$39</f>
        <v>0</v>
      </c>
      <c r="Y9" s="112">
        <f t="shared" si="3"/>
        <v>3246000</v>
      </c>
      <c r="Z9" s="112">
        <f t="shared" ref="Z9:Z15" si="17">X9+Y9</f>
        <v>3246000</v>
      </c>
    </row>
    <row r="10" ht="14.25" customHeight="1">
      <c r="A10" s="108">
        <v>45323.0</v>
      </c>
      <c r="B10" s="109" t="s">
        <v>662</v>
      </c>
      <c r="C10" s="101" t="s">
        <v>663</v>
      </c>
      <c r="D10" s="110">
        <v>1.0</v>
      </c>
      <c r="E10" s="111"/>
      <c r="F10" s="111">
        <f>300000*10</f>
        <v>3000000</v>
      </c>
      <c r="G10" s="111"/>
      <c r="H10" s="111"/>
      <c r="I10" s="111"/>
      <c r="J10" s="112">
        <f t="shared" si="4"/>
        <v>3000000</v>
      </c>
      <c r="K10" s="112">
        <f t="shared" si="5"/>
        <v>3000000</v>
      </c>
      <c r="L10" s="112">
        <f t="shared" si="6"/>
        <v>0</v>
      </c>
      <c r="M10" s="112">
        <f t="shared" si="7"/>
        <v>3000000</v>
      </c>
      <c r="N10" s="112">
        <f t="shared" si="8"/>
        <v>3000000</v>
      </c>
      <c r="O10" s="112">
        <f t="shared" ref="O10:P10" si="9">(O$39*L10)/L$39</f>
        <v>0</v>
      </c>
      <c r="P10" s="112">
        <f t="shared" si="9"/>
        <v>3750000</v>
      </c>
      <c r="Q10" s="112">
        <f t="shared" si="10"/>
        <v>3750000</v>
      </c>
      <c r="R10" s="112">
        <f t="shared" ref="R10:S10" si="11">(R$39*O10)/O$39</f>
        <v>0</v>
      </c>
      <c r="S10" s="112">
        <f t="shared" si="11"/>
        <v>5625000</v>
      </c>
      <c r="T10" s="112">
        <f t="shared" si="12"/>
        <v>5625000</v>
      </c>
      <c r="U10" s="112">
        <f t="shared" si="13"/>
        <v>0</v>
      </c>
      <c r="V10" s="112">
        <f t="shared" si="14"/>
        <v>6086250</v>
      </c>
      <c r="W10" s="112">
        <f t="shared" si="15"/>
        <v>6086250</v>
      </c>
      <c r="X10" s="112">
        <f t="shared" ref="X10:Y10" si="16">(X$39*R10)/R$39</f>
        <v>0</v>
      </c>
      <c r="Y10" s="112">
        <f t="shared" si="16"/>
        <v>6086250</v>
      </c>
      <c r="Z10" s="112">
        <f t="shared" si="17"/>
        <v>6086250</v>
      </c>
    </row>
    <row r="11" ht="14.25" customHeight="1">
      <c r="A11" s="108">
        <v>45352.0</v>
      </c>
      <c r="B11" s="109" t="s">
        <v>624</v>
      </c>
      <c r="C11" s="101" t="s">
        <v>661</v>
      </c>
      <c r="D11" s="110">
        <v>4.0</v>
      </c>
      <c r="E11" s="111"/>
      <c r="F11" s="111"/>
      <c r="G11" s="111"/>
      <c r="H11" s="111"/>
      <c r="I11" s="111">
        <v>80000.0</v>
      </c>
      <c r="J11" s="112">
        <f t="shared" si="4"/>
        <v>80000</v>
      </c>
      <c r="K11" s="112">
        <f t="shared" si="5"/>
        <v>80000</v>
      </c>
      <c r="L11" s="112">
        <f t="shared" si="6"/>
        <v>0</v>
      </c>
      <c r="M11" s="112">
        <f t="shared" si="7"/>
        <v>320000</v>
      </c>
      <c r="N11" s="112">
        <f t="shared" si="8"/>
        <v>320000</v>
      </c>
      <c r="O11" s="112">
        <f t="shared" ref="O11:P11" si="18">(O$39*L11)/L$39</f>
        <v>0</v>
      </c>
      <c r="P11" s="112">
        <f t="shared" si="18"/>
        <v>400000</v>
      </c>
      <c r="Q11" s="112">
        <f t="shared" si="10"/>
        <v>400000</v>
      </c>
      <c r="R11" s="112">
        <f t="shared" ref="R11:S11" si="19">(R$39*O11)/O$39</f>
        <v>0</v>
      </c>
      <c r="S11" s="112">
        <f t="shared" si="19"/>
        <v>600000</v>
      </c>
      <c r="T11" s="112">
        <f t="shared" si="12"/>
        <v>600000</v>
      </c>
      <c r="U11" s="112">
        <f t="shared" si="13"/>
        <v>0</v>
      </c>
      <c r="V11" s="112">
        <f t="shared" si="14"/>
        <v>162300</v>
      </c>
      <c r="W11" s="112">
        <f t="shared" si="15"/>
        <v>162300</v>
      </c>
      <c r="X11" s="112">
        <f t="shared" ref="X11:Y11" si="20">(X$39*R11)/R$39</f>
        <v>0</v>
      </c>
      <c r="Y11" s="112">
        <f t="shared" si="20"/>
        <v>649200</v>
      </c>
      <c r="Z11" s="112">
        <f t="shared" si="17"/>
        <v>649200</v>
      </c>
    </row>
    <row r="12" ht="14.25" customHeight="1">
      <c r="A12" s="108">
        <v>45383.0</v>
      </c>
      <c r="B12" s="109" t="s">
        <v>664</v>
      </c>
      <c r="C12" s="101" t="s">
        <v>661</v>
      </c>
      <c r="D12" s="110">
        <v>4.0</v>
      </c>
      <c r="E12" s="111"/>
      <c r="F12" s="111">
        <v>200000.0</v>
      </c>
      <c r="G12" s="111"/>
      <c r="H12" s="111">
        <f>(26300*4)+(20000*((D24/1)/12))</f>
        <v>365366.6667</v>
      </c>
      <c r="I12" s="111"/>
      <c r="J12" s="112">
        <f t="shared" si="4"/>
        <v>565366.6667</v>
      </c>
      <c r="K12" s="112">
        <f t="shared" si="5"/>
        <v>565366.6667</v>
      </c>
      <c r="L12" s="112">
        <f t="shared" si="6"/>
        <v>0</v>
      </c>
      <c r="M12" s="112">
        <f t="shared" si="7"/>
        <v>2261466.667</v>
      </c>
      <c r="N12" s="112">
        <f t="shared" si="8"/>
        <v>2261466.667</v>
      </c>
      <c r="O12" s="112">
        <f t="shared" ref="O12:P12" si="21">(O$39*L12)/L$39</f>
        <v>0</v>
      </c>
      <c r="P12" s="112">
        <f t="shared" si="21"/>
        <v>2826833.333</v>
      </c>
      <c r="Q12" s="112">
        <f t="shared" si="10"/>
        <v>2826833.333</v>
      </c>
      <c r="R12" s="112">
        <f t="shared" ref="R12:S12" si="22">(R$39*O12)/O$39</f>
        <v>0</v>
      </c>
      <c r="S12" s="112">
        <f t="shared" si="22"/>
        <v>4240250</v>
      </c>
      <c r="T12" s="112">
        <f t="shared" si="12"/>
        <v>4240250</v>
      </c>
      <c r="U12" s="112">
        <f t="shared" si="13"/>
        <v>0</v>
      </c>
      <c r="V12" s="112">
        <f t="shared" si="14"/>
        <v>1146987.625</v>
      </c>
      <c r="W12" s="112">
        <f t="shared" si="15"/>
        <v>1146987.625</v>
      </c>
      <c r="X12" s="112">
        <f t="shared" ref="X12:Y12" si="23">(X$39*R12)/R$39</f>
        <v>0</v>
      </c>
      <c r="Y12" s="112">
        <f t="shared" si="23"/>
        <v>4587950.5</v>
      </c>
      <c r="Z12" s="112">
        <f t="shared" si="17"/>
        <v>4587950.5</v>
      </c>
    </row>
    <row r="13" ht="14.25" customHeight="1">
      <c r="A13" s="108">
        <v>45413.0</v>
      </c>
      <c r="B13" s="109" t="s">
        <v>665</v>
      </c>
      <c r="C13" s="101" t="s">
        <v>661</v>
      </c>
      <c r="D13" s="110">
        <v>4.0</v>
      </c>
      <c r="E13" s="111"/>
      <c r="F13" s="111">
        <v>600000.0</v>
      </c>
      <c r="G13" s="111"/>
      <c r="H13" s="111"/>
      <c r="I13" s="111"/>
      <c r="J13" s="112">
        <f t="shared" si="4"/>
        <v>600000</v>
      </c>
      <c r="K13" s="112">
        <f t="shared" si="5"/>
        <v>600000</v>
      </c>
      <c r="L13" s="112">
        <f t="shared" si="6"/>
        <v>0</v>
      </c>
      <c r="M13" s="112">
        <f t="shared" si="7"/>
        <v>2400000</v>
      </c>
      <c r="N13" s="112">
        <f t="shared" si="8"/>
        <v>2400000</v>
      </c>
      <c r="O13" s="112">
        <f t="shared" ref="O13:P13" si="24">(O$39*L13)/L$39</f>
        <v>0</v>
      </c>
      <c r="P13" s="112">
        <f t="shared" si="24"/>
        <v>3000000</v>
      </c>
      <c r="Q13" s="112">
        <f t="shared" si="10"/>
        <v>3000000</v>
      </c>
      <c r="R13" s="112">
        <f t="shared" ref="R13:S13" si="25">(R$39*O13)/O$39</f>
        <v>0</v>
      </c>
      <c r="S13" s="112">
        <f t="shared" si="25"/>
        <v>4500000</v>
      </c>
      <c r="T13" s="112">
        <f t="shared" si="12"/>
        <v>4500000</v>
      </c>
      <c r="U13" s="112">
        <f t="shared" si="13"/>
        <v>0</v>
      </c>
      <c r="V13" s="112">
        <f t="shared" si="14"/>
        <v>1217250</v>
      </c>
      <c r="W13" s="112">
        <f t="shared" si="15"/>
        <v>1217250</v>
      </c>
      <c r="X13" s="112">
        <f t="shared" ref="X13:Y13" si="26">(X$39*R13)/R$39</f>
        <v>0</v>
      </c>
      <c r="Y13" s="112">
        <f t="shared" si="26"/>
        <v>4869000</v>
      </c>
      <c r="Z13" s="112">
        <f t="shared" si="17"/>
        <v>4869000</v>
      </c>
    </row>
    <row r="14" ht="14.25" customHeight="1">
      <c r="A14" s="108">
        <v>45444.0</v>
      </c>
      <c r="B14" s="109" t="s">
        <v>666</v>
      </c>
      <c r="C14" s="101" t="s">
        <v>661</v>
      </c>
      <c r="D14" s="110">
        <v>4.0</v>
      </c>
      <c r="E14" s="111"/>
      <c r="F14" s="111">
        <v>600000.0</v>
      </c>
      <c r="G14" s="111"/>
      <c r="H14" s="111"/>
      <c r="I14" s="111"/>
      <c r="J14" s="112">
        <f t="shared" si="4"/>
        <v>600000</v>
      </c>
      <c r="K14" s="112">
        <f t="shared" si="5"/>
        <v>600000</v>
      </c>
      <c r="L14" s="112">
        <f t="shared" si="6"/>
        <v>0</v>
      </c>
      <c r="M14" s="112">
        <f t="shared" si="7"/>
        <v>2400000</v>
      </c>
      <c r="N14" s="112">
        <f t="shared" si="8"/>
        <v>2400000</v>
      </c>
      <c r="O14" s="112">
        <f t="shared" ref="O14:P14" si="27">(O$39*L14)/L$39</f>
        <v>0</v>
      </c>
      <c r="P14" s="112">
        <f t="shared" si="27"/>
        <v>3000000</v>
      </c>
      <c r="Q14" s="112">
        <f t="shared" si="10"/>
        <v>3000000</v>
      </c>
      <c r="R14" s="112">
        <f t="shared" ref="R14:S14" si="28">(R$39*O14)/O$39</f>
        <v>0</v>
      </c>
      <c r="S14" s="112">
        <f t="shared" si="28"/>
        <v>4500000</v>
      </c>
      <c r="T14" s="112">
        <f t="shared" si="12"/>
        <v>4500000</v>
      </c>
      <c r="U14" s="112">
        <f t="shared" si="13"/>
        <v>0</v>
      </c>
      <c r="V14" s="112">
        <f t="shared" si="14"/>
        <v>1217250</v>
      </c>
      <c r="W14" s="112">
        <f t="shared" si="15"/>
        <v>1217250</v>
      </c>
      <c r="X14" s="112">
        <f t="shared" ref="X14:Y14" si="29">(X$39*R14)/R$39</f>
        <v>0</v>
      </c>
      <c r="Y14" s="112">
        <f t="shared" si="29"/>
        <v>4869000</v>
      </c>
      <c r="Z14" s="112">
        <f t="shared" si="17"/>
        <v>4869000</v>
      </c>
    </row>
    <row r="15" ht="14.25" customHeight="1">
      <c r="A15" s="108">
        <v>45474.0</v>
      </c>
      <c r="B15" s="109" t="s">
        <v>667</v>
      </c>
      <c r="C15" s="101" t="s">
        <v>663</v>
      </c>
      <c r="D15" s="110">
        <v>1.0</v>
      </c>
      <c r="E15" s="111"/>
      <c r="F15" s="111">
        <v>880000.0</v>
      </c>
      <c r="G15" s="111"/>
      <c r="H15" s="111"/>
      <c r="I15" s="111"/>
      <c r="J15" s="112">
        <f t="shared" si="4"/>
        <v>880000</v>
      </c>
      <c r="K15" s="112">
        <f t="shared" si="5"/>
        <v>880000</v>
      </c>
      <c r="L15" s="112">
        <f t="shared" si="6"/>
        <v>0</v>
      </c>
      <c r="M15" s="112">
        <f t="shared" si="7"/>
        <v>880000</v>
      </c>
      <c r="N15" s="112">
        <f t="shared" si="8"/>
        <v>880000</v>
      </c>
      <c r="O15" s="112">
        <f t="shared" ref="O15:P15" si="30">(O$39*L15)/L$39</f>
        <v>0</v>
      </c>
      <c r="P15" s="112">
        <f t="shared" si="30"/>
        <v>1100000</v>
      </c>
      <c r="Q15" s="112">
        <f t="shared" si="10"/>
        <v>1100000</v>
      </c>
      <c r="R15" s="112">
        <f t="shared" ref="R15:S15" si="31">(R$39*O15)/O$39</f>
        <v>0</v>
      </c>
      <c r="S15" s="112">
        <f t="shared" si="31"/>
        <v>1650000</v>
      </c>
      <c r="T15" s="112">
        <f t="shared" si="12"/>
        <v>1650000</v>
      </c>
      <c r="U15" s="112">
        <f t="shared" si="13"/>
        <v>0</v>
      </c>
      <c r="V15" s="112">
        <f t="shared" si="14"/>
        <v>1785300</v>
      </c>
      <c r="W15" s="112">
        <f t="shared" si="15"/>
        <v>1785300</v>
      </c>
      <c r="X15" s="112">
        <f t="shared" ref="X15:Y15" si="32">(X$39*R15)/R$39</f>
        <v>0</v>
      </c>
      <c r="Y15" s="112">
        <f t="shared" si="32"/>
        <v>1785300</v>
      </c>
      <c r="Z15" s="112">
        <f t="shared" si="17"/>
        <v>1785300</v>
      </c>
    </row>
    <row r="16" ht="14.25" customHeight="1">
      <c r="A16" s="113" t="s">
        <v>668</v>
      </c>
      <c r="B16" s="105"/>
      <c r="C16" s="106"/>
      <c r="D16" s="107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ht="14.25" customHeight="1">
      <c r="A17" s="108">
        <v>45293.0</v>
      </c>
      <c r="B17" s="109" t="s">
        <v>669</v>
      </c>
      <c r="C17" s="101" t="s">
        <v>663</v>
      </c>
      <c r="D17" s="101">
        <v>1.0</v>
      </c>
      <c r="E17" s="111">
        <v>0.0</v>
      </c>
      <c r="F17" s="111">
        <v>0.0</v>
      </c>
      <c r="G17" s="111">
        <v>0.0</v>
      </c>
      <c r="H17" s="111">
        <v>0.0</v>
      </c>
      <c r="I17" s="111">
        <f>200000+120000</f>
        <v>320000</v>
      </c>
      <c r="J17" s="112">
        <f t="shared" ref="J17:J19" si="36">SUM(F17:I17)</f>
        <v>320000</v>
      </c>
      <c r="K17" s="112">
        <f t="shared" ref="K17:K19" si="37">SUM(E17,J17)</f>
        <v>320000</v>
      </c>
      <c r="L17" s="112">
        <f t="shared" ref="L17:L19" si="38">$D17*E17</f>
        <v>0</v>
      </c>
      <c r="M17" s="112">
        <f t="shared" ref="M17:M19" si="39">$D17*(SUM(F17:I17))</f>
        <v>320000</v>
      </c>
      <c r="N17" s="112">
        <f t="shared" ref="N17:N19" si="40">L17+M17</f>
        <v>320000</v>
      </c>
      <c r="O17" s="112">
        <f t="shared" ref="O17:P17" si="33">(O$39*L17)/L$39</f>
        <v>0</v>
      </c>
      <c r="P17" s="112">
        <f t="shared" si="33"/>
        <v>400000</v>
      </c>
      <c r="Q17" s="112">
        <f t="shared" ref="Q17:Q19" si="42">O17+P17</f>
        <v>400000</v>
      </c>
      <c r="R17" s="112">
        <f t="shared" ref="R17:S17" si="34">(R$39*O17)/O$39</f>
        <v>0</v>
      </c>
      <c r="S17" s="112">
        <f t="shared" si="34"/>
        <v>600000</v>
      </c>
      <c r="T17" s="112">
        <f t="shared" ref="T17:T19" si="44">R17+S17</f>
        <v>600000</v>
      </c>
      <c r="U17" s="112">
        <f t="shared" ref="U17:U19" si="45">X17/D17</f>
        <v>0</v>
      </c>
      <c r="V17" s="112">
        <f t="shared" ref="V17:V19" si="46">Y17/D17</f>
        <v>649200</v>
      </c>
      <c r="W17" s="112">
        <f t="shared" ref="W17:W19" si="47">U17+V17</f>
        <v>649200</v>
      </c>
      <c r="X17" s="112">
        <f t="shared" ref="X17:Y17" si="35">(X$39*R17)/R$39</f>
        <v>0</v>
      </c>
      <c r="Y17" s="112">
        <f t="shared" si="35"/>
        <v>649200</v>
      </c>
      <c r="Z17" s="112">
        <f t="shared" ref="Z17:Z19" si="49">X17+Y17</f>
        <v>649200</v>
      </c>
    </row>
    <row r="18" ht="30.0" customHeight="1">
      <c r="A18" s="108">
        <v>45324.0</v>
      </c>
      <c r="B18" s="114" t="s">
        <v>670</v>
      </c>
      <c r="C18" s="115" t="s">
        <v>671</v>
      </c>
      <c r="D18" s="101">
        <f>D86</f>
        <v>1513.12</v>
      </c>
      <c r="E18" s="111">
        <f>'2.2.'!I22</f>
        <v>0</v>
      </c>
      <c r="F18" s="111">
        <f>'2.2.'!I36</f>
        <v>1480.3849</v>
      </c>
      <c r="G18" s="111">
        <f>'2.2.'!I50</f>
        <v>0</v>
      </c>
      <c r="H18" s="111">
        <f>'2.2.'!I64</f>
        <v>0</v>
      </c>
      <c r="I18" s="111">
        <f>'2.2.'!I78</f>
        <v>25533.3351</v>
      </c>
      <c r="J18" s="112">
        <f t="shared" si="36"/>
        <v>27013.72</v>
      </c>
      <c r="K18" s="112">
        <f t="shared" si="37"/>
        <v>27013.72</v>
      </c>
      <c r="L18" s="112">
        <f t="shared" si="38"/>
        <v>0</v>
      </c>
      <c r="M18" s="112">
        <f t="shared" si="39"/>
        <v>40875000</v>
      </c>
      <c r="N18" s="112">
        <f t="shared" si="40"/>
        <v>40875000</v>
      </c>
      <c r="O18" s="112">
        <f t="shared" ref="O18:P18" si="41">(O$39*L18)/L$39</f>
        <v>0</v>
      </c>
      <c r="P18" s="112">
        <f t="shared" si="41"/>
        <v>51093750</v>
      </c>
      <c r="Q18" s="112">
        <f t="shared" si="42"/>
        <v>51093750</v>
      </c>
      <c r="R18" s="112">
        <f t="shared" ref="R18:S18" si="43">(R$39*O18)/O$39</f>
        <v>0</v>
      </c>
      <c r="S18" s="112">
        <f t="shared" si="43"/>
        <v>76640625</v>
      </c>
      <c r="T18" s="112">
        <f t="shared" si="44"/>
        <v>76640625</v>
      </c>
      <c r="U18" s="112">
        <f t="shared" si="45"/>
        <v>0</v>
      </c>
      <c r="V18" s="112">
        <f t="shared" si="46"/>
        <v>54804.08444</v>
      </c>
      <c r="W18" s="112">
        <f t="shared" si="47"/>
        <v>54804.08444</v>
      </c>
      <c r="X18" s="112">
        <f t="shared" ref="X18:Y18" si="48">(X$39*R18)/R$39</f>
        <v>0</v>
      </c>
      <c r="Y18" s="112">
        <f t="shared" si="48"/>
        <v>82925156.25</v>
      </c>
      <c r="Z18" s="112">
        <f t="shared" si="49"/>
        <v>82925156.25</v>
      </c>
    </row>
    <row r="19" ht="14.25" customHeight="1">
      <c r="A19" s="108">
        <v>45353.0</v>
      </c>
      <c r="B19" s="114" t="s">
        <v>672</v>
      </c>
      <c r="C19" s="115" t="s">
        <v>671</v>
      </c>
      <c r="D19" s="101">
        <f>C91</f>
        <v>278.991</v>
      </c>
      <c r="E19" s="111">
        <f>'2.3.'!I22</f>
        <v>46238.05069</v>
      </c>
      <c r="F19" s="111">
        <f>'2.3.'!I36</f>
        <v>0</v>
      </c>
      <c r="G19" s="111">
        <f>'2.3.'!I50</f>
        <v>0</v>
      </c>
      <c r="H19" s="111">
        <f>'2.3.'!I64</f>
        <v>0</v>
      </c>
      <c r="I19" s="111">
        <f>'2.3.'!I78</f>
        <v>28603.07322</v>
      </c>
      <c r="J19" s="112">
        <f t="shared" si="36"/>
        <v>28603.07322</v>
      </c>
      <c r="K19" s="112">
        <f t="shared" si="37"/>
        <v>74841.12391</v>
      </c>
      <c r="L19" s="112">
        <f t="shared" si="38"/>
        <v>12900000</v>
      </c>
      <c r="M19" s="112">
        <f t="shared" si="39"/>
        <v>7980000</v>
      </c>
      <c r="N19" s="112">
        <f t="shared" si="40"/>
        <v>20880000</v>
      </c>
      <c r="O19" s="112">
        <f t="shared" ref="O19:P19" si="50">(O$39*L19)/L$39</f>
        <v>12900000</v>
      </c>
      <c r="P19" s="112">
        <f t="shared" si="50"/>
        <v>9975000</v>
      </c>
      <c r="Q19" s="112">
        <f t="shared" si="42"/>
        <v>22875000</v>
      </c>
      <c r="R19" s="112">
        <f t="shared" ref="R19:S19" si="51">(R$39*O19)/O$39</f>
        <v>14835000</v>
      </c>
      <c r="S19" s="112">
        <f t="shared" si="51"/>
        <v>14962500</v>
      </c>
      <c r="T19" s="112">
        <f t="shared" si="44"/>
        <v>29797500</v>
      </c>
      <c r="U19" s="112">
        <f t="shared" si="45"/>
        <v>57534.00647</v>
      </c>
      <c r="V19" s="112">
        <f t="shared" si="46"/>
        <v>58028.48479</v>
      </c>
      <c r="W19" s="112">
        <f t="shared" si="47"/>
        <v>115562.4913</v>
      </c>
      <c r="X19" s="112">
        <f t="shared" ref="X19:Y19" si="52">(X$39*R19)/R$39</f>
        <v>16051470</v>
      </c>
      <c r="Y19" s="112">
        <f t="shared" si="52"/>
        <v>16189425</v>
      </c>
      <c r="Z19" s="112">
        <f t="shared" si="49"/>
        <v>32240895</v>
      </c>
    </row>
    <row r="20" ht="14.25" customHeight="1">
      <c r="A20" s="113" t="s">
        <v>673</v>
      </c>
      <c r="B20" s="105"/>
      <c r="C20" s="106"/>
      <c r="D20" s="107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ht="14.25" customHeight="1">
      <c r="A21" s="108">
        <v>45660.0</v>
      </c>
      <c r="B21" s="114" t="s">
        <v>674</v>
      </c>
      <c r="C21" s="101" t="s">
        <v>675</v>
      </c>
      <c r="D21" s="110">
        <f>D80+D82+D84</f>
        <v>719.3</v>
      </c>
      <c r="E21" s="111">
        <f>'3.1'!I22</f>
        <v>17349.48969</v>
      </c>
      <c r="F21" s="111">
        <f>'3.1'!I36</f>
        <v>1751.703045</v>
      </c>
      <c r="G21" s="111">
        <f>'3.1'!I50</f>
        <v>0</v>
      </c>
      <c r="H21" s="111">
        <f>'3.1'!I64</f>
        <v>0</v>
      </c>
      <c r="I21" s="111">
        <f>'3.1'!I78</f>
        <v>0</v>
      </c>
      <c r="J21" s="112">
        <f t="shared" ref="J21:J27" si="57">SUM(F21:I21)</f>
        <v>1751.703045</v>
      </c>
      <c r="K21" s="112">
        <f t="shared" ref="K21:K27" si="58">SUM(E21,J21)</f>
        <v>19101.19273</v>
      </c>
      <c r="L21" s="112">
        <f t="shared" ref="L21:L27" si="59">$D21*E21</f>
        <v>12479487.93</v>
      </c>
      <c r="M21" s="112">
        <f t="shared" ref="M21:M27" si="60">$D21*(SUM(F21:I21))</f>
        <v>1260000</v>
      </c>
      <c r="N21" s="112">
        <f t="shared" ref="N21:N27" si="61">L21+M21</f>
        <v>13739487.93</v>
      </c>
      <c r="O21" s="112">
        <f t="shared" ref="O21:P21" si="53">(O$39*L21)/L$39</f>
        <v>12479487.93</v>
      </c>
      <c r="P21" s="112">
        <f t="shared" si="53"/>
        <v>1575000</v>
      </c>
      <c r="Q21" s="112">
        <f t="shared" ref="Q21:Q27" si="63">O21+P21</f>
        <v>14054487.93</v>
      </c>
      <c r="R21" s="112">
        <f t="shared" ref="R21:S21" si="54">(R$39*O21)/O$39</f>
        <v>14351411.12</v>
      </c>
      <c r="S21" s="112">
        <f t="shared" si="54"/>
        <v>2362500</v>
      </c>
      <c r="T21" s="112">
        <f t="shared" ref="T21:T27" si="65">R21+S21</f>
        <v>16713911.12</v>
      </c>
      <c r="U21" s="112">
        <f t="shared" ref="U21:U27" si="66">X21/D21</f>
        <v>21587.97002</v>
      </c>
      <c r="V21" s="112">
        <f t="shared" ref="V21:V27" si="67">Y21/D21</f>
        <v>3553.767552</v>
      </c>
      <c r="W21" s="112">
        <f t="shared" ref="W21:W27" si="68">U21+V21</f>
        <v>25141.73757</v>
      </c>
      <c r="X21" s="112">
        <f t="shared" ref="X21:Y21" si="55">(X$39*R21)/R$39</f>
        <v>15528226.84</v>
      </c>
      <c r="Y21" s="112">
        <f t="shared" si="55"/>
        <v>2556225</v>
      </c>
      <c r="Z21" s="112">
        <f t="shared" ref="Z21:Z27" si="70">X21+Y21</f>
        <v>18084451.84</v>
      </c>
    </row>
    <row r="22" ht="14.25" customHeight="1">
      <c r="A22" s="108">
        <v>45691.0</v>
      </c>
      <c r="B22" s="114" t="s">
        <v>676</v>
      </c>
      <c r="C22" s="101" t="s">
        <v>675</v>
      </c>
      <c r="D22" s="110">
        <f>D79</f>
        <v>314</v>
      </c>
      <c r="E22" s="111">
        <f t="shared" ref="E22:I22" si="56">E21</f>
        <v>17349.48969</v>
      </c>
      <c r="F22" s="111">
        <f t="shared" si="56"/>
        <v>1751.703045</v>
      </c>
      <c r="G22" s="111">
        <f t="shared" si="56"/>
        <v>0</v>
      </c>
      <c r="H22" s="111">
        <f t="shared" si="56"/>
        <v>0</v>
      </c>
      <c r="I22" s="111">
        <f t="shared" si="56"/>
        <v>0</v>
      </c>
      <c r="J22" s="112">
        <f t="shared" si="57"/>
        <v>1751.703045</v>
      </c>
      <c r="K22" s="112">
        <f t="shared" si="58"/>
        <v>19101.19273</v>
      </c>
      <c r="L22" s="112">
        <f t="shared" si="59"/>
        <v>5447739.763</v>
      </c>
      <c r="M22" s="112">
        <f t="shared" si="60"/>
        <v>550034.756</v>
      </c>
      <c r="N22" s="112">
        <f t="shared" si="61"/>
        <v>5997774.519</v>
      </c>
      <c r="O22" s="112">
        <f t="shared" ref="O22:P22" si="62">(O$39*L22)/L$39</f>
        <v>5447739.763</v>
      </c>
      <c r="P22" s="112">
        <f t="shared" si="62"/>
        <v>687543.445</v>
      </c>
      <c r="Q22" s="112">
        <f t="shared" si="63"/>
        <v>6135283.208</v>
      </c>
      <c r="R22" s="112">
        <f t="shared" ref="R22:S22" si="64">(R$39*O22)/O$39</f>
        <v>6264900.727</v>
      </c>
      <c r="S22" s="112">
        <f t="shared" si="64"/>
        <v>1031315.168</v>
      </c>
      <c r="T22" s="112">
        <f t="shared" si="65"/>
        <v>7296215.895</v>
      </c>
      <c r="U22" s="112">
        <f t="shared" si="66"/>
        <v>21587.97002</v>
      </c>
      <c r="V22" s="112">
        <f t="shared" si="67"/>
        <v>3553.767552</v>
      </c>
      <c r="W22" s="112">
        <f t="shared" si="68"/>
        <v>25141.73757</v>
      </c>
      <c r="X22" s="112">
        <f t="shared" ref="X22:Y22" si="69">(X$39*R22)/R$39</f>
        <v>6778622.587</v>
      </c>
      <c r="Y22" s="112">
        <f t="shared" si="69"/>
        <v>1115883.011</v>
      </c>
      <c r="Z22" s="112">
        <f t="shared" si="70"/>
        <v>7894505.598</v>
      </c>
    </row>
    <row r="23" ht="14.25" customHeight="1">
      <c r="A23" s="108">
        <v>45719.0</v>
      </c>
      <c r="B23" s="114" t="s">
        <v>677</v>
      </c>
      <c r="C23" s="101" t="s">
        <v>145</v>
      </c>
      <c r="D23" s="110">
        <f>E97</f>
        <v>435.5</v>
      </c>
      <c r="E23" s="111">
        <f>'3.3'!I22</f>
        <v>21203.05733</v>
      </c>
      <c r="F23" s="111">
        <f>'3.3'!I36</f>
        <v>8128.58783</v>
      </c>
      <c r="G23" s="111">
        <f>'3.3'!I50</f>
        <v>14466.13088</v>
      </c>
      <c r="H23" s="111">
        <f>'3.3'!I64</f>
        <v>0</v>
      </c>
      <c r="I23" s="111">
        <f>'3.3'!I78</f>
        <v>0</v>
      </c>
      <c r="J23" s="112">
        <f t="shared" si="57"/>
        <v>22594.71871</v>
      </c>
      <c r="K23" s="112">
        <f t="shared" si="58"/>
        <v>43797.77604</v>
      </c>
      <c r="L23" s="112">
        <f t="shared" si="59"/>
        <v>9233931.467</v>
      </c>
      <c r="M23" s="112">
        <f t="shared" si="60"/>
        <v>9840000</v>
      </c>
      <c r="N23" s="112">
        <f t="shared" si="61"/>
        <v>19073931.47</v>
      </c>
      <c r="O23" s="112">
        <f t="shared" ref="O23:P23" si="71">(O$39*L23)/L$39</f>
        <v>9233931.467</v>
      </c>
      <c r="P23" s="112">
        <f t="shared" si="71"/>
        <v>12300000</v>
      </c>
      <c r="Q23" s="112">
        <f t="shared" si="63"/>
        <v>21533931.47</v>
      </c>
      <c r="R23" s="112">
        <f t="shared" ref="R23:S23" si="72">(R$39*O23)/O$39</f>
        <v>10619021.19</v>
      </c>
      <c r="S23" s="112">
        <f t="shared" si="72"/>
        <v>18450000</v>
      </c>
      <c r="T23" s="112">
        <f t="shared" si="65"/>
        <v>29069021.19</v>
      </c>
      <c r="U23" s="112">
        <f t="shared" si="66"/>
        <v>26382.96423</v>
      </c>
      <c r="V23" s="112">
        <f t="shared" si="67"/>
        <v>45839.03559</v>
      </c>
      <c r="W23" s="112">
        <f t="shared" si="68"/>
        <v>72221.99983</v>
      </c>
      <c r="X23" s="112">
        <f t="shared" ref="X23:Y23" si="73">(X$39*R23)/R$39</f>
        <v>11489780.92</v>
      </c>
      <c r="Y23" s="112">
        <f t="shared" si="73"/>
        <v>19962900</v>
      </c>
      <c r="Z23" s="112">
        <f t="shared" si="70"/>
        <v>31452680.92</v>
      </c>
    </row>
    <row r="24" ht="14.25" customHeight="1">
      <c r="A24" s="108">
        <v>45750.0</v>
      </c>
      <c r="B24" s="114" t="s">
        <v>678</v>
      </c>
      <c r="C24" s="101" t="s">
        <v>145</v>
      </c>
      <c r="D24" s="110">
        <f>D96</f>
        <v>156.1</v>
      </c>
      <c r="E24" s="111">
        <f>'3.4'!I22</f>
        <v>3836.601882</v>
      </c>
      <c r="F24" s="111">
        <f>'3.4'!I36</f>
        <v>3651.505445</v>
      </c>
      <c r="G24" s="111">
        <f>'3.4'!I50</f>
        <v>5381.165919</v>
      </c>
      <c r="H24" s="111">
        <f>'3.4'!I64</f>
        <v>0</v>
      </c>
      <c r="I24" s="111">
        <f>'3.4'!I78</f>
        <v>0</v>
      </c>
      <c r="J24" s="116">
        <f t="shared" si="57"/>
        <v>9032.671365</v>
      </c>
      <c r="K24" s="116">
        <f t="shared" si="58"/>
        <v>12869.27325</v>
      </c>
      <c r="L24" s="116">
        <f t="shared" si="59"/>
        <v>598893.5537</v>
      </c>
      <c r="M24" s="116">
        <f t="shared" si="60"/>
        <v>1410000</v>
      </c>
      <c r="N24" s="116">
        <f t="shared" si="61"/>
        <v>2008893.554</v>
      </c>
      <c r="O24" s="112">
        <f t="shared" ref="O24:P24" si="74">(O$39*L24)/L$39</f>
        <v>598893.5537</v>
      </c>
      <c r="P24" s="116">
        <f t="shared" si="74"/>
        <v>1762500</v>
      </c>
      <c r="Q24" s="116">
        <f t="shared" si="63"/>
        <v>2361393.554</v>
      </c>
      <c r="R24" s="112">
        <f t="shared" ref="R24:S24" si="75">(R$39*O24)/O$39</f>
        <v>688727.5868</v>
      </c>
      <c r="S24" s="116">
        <f t="shared" si="75"/>
        <v>2643750</v>
      </c>
      <c r="T24" s="116">
        <f t="shared" si="65"/>
        <v>3332477.587</v>
      </c>
      <c r="U24" s="116">
        <f t="shared" si="66"/>
        <v>4773.883721</v>
      </c>
      <c r="V24" s="116">
        <f t="shared" si="67"/>
        <v>18325.03203</v>
      </c>
      <c r="W24" s="116">
        <f t="shared" si="68"/>
        <v>23098.91575</v>
      </c>
      <c r="X24" s="112">
        <f t="shared" ref="X24:Y24" si="76">(X$39*R24)/R$39</f>
        <v>745203.2489</v>
      </c>
      <c r="Y24" s="116">
        <f t="shared" si="76"/>
        <v>2860537.5</v>
      </c>
      <c r="Z24" s="116">
        <f t="shared" si="70"/>
        <v>3605740.749</v>
      </c>
    </row>
    <row r="25" ht="14.25" customHeight="1">
      <c r="A25" s="108">
        <v>45780.0</v>
      </c>
      <c r="B25" s="114" t="s">
        <v>679</v>
      </c>
      <c r="C25" s="101" t="s">
        <v>675</v>
      </c>
      <c r="D25" s="110">
        <f>E69</f>
        <v>427</v>
      </c>
      <c r="E25" s="111">
        <f>'3.5'!I22</f>
        <v>28832.78689</v>
      </c>
      <c r="F25" s="111">
        <f>'3.5'!I36</f>
        <v>8454.332553</v>
      </c>
      <c r="G25" s="111">
        <f>'3.5'!I50</f>
        <v>0</v>
      </c>
      <c r="H25" s="111">
        <f>'3.5'!I64</f>
        <v>0</v>
      </c>
      <c r="I25" s="111">
        <f>'3.5'!I78</f>
        <v>0</v>
      </c>
      <c r="J25" s="112">
        <f t="shared" si="57"/>
        <v>8454.332553</v>
      </c>
      <c r="K25" s="112">
        <f t="shared" si="58"/>
        <v>37287.11944</v>
      </c>
      <c r="L25" s="112">
        <f t="shared" si="59"/>
        <v>12311600</v>
      </c>
      <c r="M25" s="112">
        <f t="shared" si="60"/>
        <v>3610000</v>
      </c>
      <c r="N25" s="112">
        <f t="shared" si="61"/>
        <v>15921600</v>
      </c>
      <c r="O25" s="112">
        <f t="shared" ref="O25:P25" si="77">(O$39*L25)/L$39</f>
        <v>12311600</v>
      </c>
      <c r="P25" s="112">
        <f t="shared" si="77"/>
        <v>4512500</v>
      </c>
      <c r="Q25" s="112">
        <f t="shared" si="63"/>
        <v>16824100</v>
      </c>
      <c r="R25" s="112">
        <f t="shared" ref="R25:S25" si="78">(R$39*O25)/O$39</f>
        <v>14158340</v>
      </c>
      <c r="S25" s="112">
        <f t="shared" si="78"/>
        <v>6768750</v>
      </c>
      <c r="T25" s="112">
        <f t="shared" si="65"/>
        <v>20927090</v>
      </c>
      <c r="U25" s="112">
        <f t="shared" si="66"/>
        <v>35876.63672</v>
      </c>
      <c r="V25" s="112">
        <f t="shared" si="67"/>
        <v>17151.72717</v>
      </c>
      <c r="W25" s="112">
        <f t="shared" si="68"/>
        <v>53028.36389</v>
      </c>
      <c r="X25" s="112">
        <f t="shared" ref="X25:Y25" si="79">(X$39*R25)/R$39</f>
        <v>15319323.88</v>
      </c>
      <c r="Y25" s="112">
        <f t="shared" si="79"/>
        <v>7323787.5</v>
      </c>
      <c r="Z25" s="112">
        <f t="shared" si="70"/>
        <v>22643111.38</v>
      </c>
    </row>
    <row r="26" ht="14.25" customHeight="1">
      <c r="A26" s="108">
        <v>45811.0</v>
      </c>
      <c r="B26" s="114" t="s">
        <v>680</v>
      </c>
      <c r="C26" s="101" t="s">
        <v>675</v>
      </c>
      <c r="D26" s="110">
        <f>E67</f>
        <v>1006</v>
      </c>
      <c r="E26" s="111">
        <f>'3.6'!I22</f>
        <v>47531.09841</v>
      </c>
      <c r="F26" s="111">
        <f>'3.6'!I36</f>
        <v>7932.405567</v>
      </c>
      <c r="G26" s="111">
        <f>'3.6'!I50</f>
        <v>0</v>
      </c>
      <c r="H26" s="111">
        <f>'3.6'!I64</f>
        <v>0</v>
      </c>
      <c r="I26" s="111">
        <f>'3.6'!I78</f>
        <v>0</v>
      </c>
      <c r="J26" s="112">
        <f t="shared" si="57"/>
        <v>7932.405567</v>
      </c>
      <c r="K26" s="112">
        <f t="shared" si="58"/>
        <v>55463.50398</v>
      </c>
      <c r="L26" s="112">
        <f t="shared" si="59"/>
        <v>47816285</v>
      </c>
      <c r="M26" s="112">
        <f t="shared" si="60"/>
        <v>7980000</v>
      </c>
      <c r="N26" s="112">
        <f t="shared" si="61"/>
        <v>55796285</v>
      </c>
      <c r="O26" s="112">
        <f t="shared" ref="O26:P26" si="80">(O$39*L26)/L$39</f>
        <v>47816285</v>
      </c>
      <c r="P26" s="112">
        <f t="shared" si="80"/>
        <v>9975000</v>
      </c>
      <c r="Q26" s="112">
        <f t="shared" si="63"/>
        <v>57791285</v>
      </c>
      <c r="R26" s="112">
        <f t="shared" ref="R26:S26" si="81">(R$39*O26)/O$39</f>
        <v>54988727.75</v>
      </c>
      <c r="S26" s="112">
        <f t="shared" si="81"/>
        <v>14962500</v>
      </c>
      <c r="T26" s="112">
        <f t="shared" si="65"/>
        <v>69951227.75</v>
      </c>
      <c r="U26" s="112">
        <f t="shared" si="66"/>
        <v>59142.94575</v>
      </c>
      <c r="V26" s="112">
        <f t="shared" si="67"/>
        <v>16092.86779</v>
      </c>
      <c r="W26" s="112">
        <f t="shared" si="68"/>
        <v>75235.81354</v>
      </c>
      <c r="X26" s="112">
        <f t="shared" ref="X26:Y26" si="82">(X$39*R26)/R$39</f>
        <v>59497803.43</v>
      </c>
      <c r="Y26" s="112">
        <f t="shared" si="82"/>
        <v>16189425</v>
      </c>
      <c r="Z26" s="112">
        <f t="shared" si="70"/>
        <v>75687228.43</v>
      </c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</row>
    <row r="27" ht="14.25" customHeight="1">
      <c r="A27" s="108">
        <v>45841.0</v>
      </c>
      <c r="B27" s="114" t="s">
        <v>681</v>
      </c>
      <c r="C27" s="101" t="s">
        <v>675</v>
      </c>
      <c r="D27" s="110">
        <f>E66</f>
        <v>27.3</v>
      </c>
      <c r="E27" s="111">
        <f>'3.7'!I22</f>
        <v>48058.60806</v>
      </c>
      <c r="F27" s="111">
        <f>'3.7'!I36</f>
        <v>6959.70696</v>
      </c>
      <c r="G27" s="111">
        <f>'3.7'!I50</f>
        <v>0</v>
      </c>
      <c r="H27" s="111">
        <f>'3.7'!I64</f>
        <v>0</v>
      </c>
      <c r="I27" s="111">
        <f>'3.7'!I78</f>
        <v>0</v>
      </c>
      <c r="J27" s="112">
        <f t="shared" si="57"/>
        <v>6959.70696</v>
      </c>
      <c r="K27" s="112">
        <f t="shared" si="58"/>
        <v>55018.31502</v>
      </c>
      <c r="L27" s="112">
        <f t="shared" si="59"/>
        <v>1312000</v>
      </c>
      <c r="M27" s="112">
        <f t="shared" si="60"/>
        <v>190000</v>
      </c>
      <c r="N27" s="112">
        <f t="shared" si="61"/>
        <v>1502000</v>
      </c>
      <c r="O27" s="112">
        <f t="shared" ref="O27:P27" si="83">(O$39*L27)/L$39</f>
        <v>1312000</v>
      </c>
      <c r="P27" s="112">
        <f t="shared" si="83"/>
        <v>237500</v>
      </c>
      <c r="Q27" s="112">
        <f t="shared" si="63"/>
        <v>1549500</v>
      </c>
      <c r="R27" s="112">
        <f t="shared" ref="R27:S27" si="84">(R$39*O27)/O$39</f>
        <v>1508800</v>
      </c>
      <c r="S27" s="112">
        <f t="shared" si="84"/>
        <v>356250</v>
      </c>
      <c r="T27" s="112">
        <f t="shared" si="65"/>
        <v>1865050</v>
      </c>
      <c r="U27" s="112">
        <f t="shared" si="66"/>
        <v>59799.32601</v>
      </c>
      <c r="V27" s="112">
        <f t="shared" si="67"/>
        <v>14119.50549</v>
      </c>
      <c r="W27" s="112">
        <f t="shared" si="68"/>
        <v>73918.8315</v>
      </c>
      <c r="X27" s="112">
        <f t="shared" ref="X27:Y27" si="85">(X$39*R27)/R$39</f>
        <v>1632521.6</v>
      </c>
      <c r="Y27" s="112">
        <f t="shared" si="85"/>
        <v>385462.5</v>
      </c>
      <c r="Z27" s="112">
        <f t="shared" si="70"/>
        <v>2017984.1</v>
      </c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</row>
    <row r="28" ht="14.25" customHeight="1">
      <c r="A28" s="113" t="s">
        <v>682</v>
      </c>
      <c r="B28" s="105"/>
      <c r="C28" s="106"/>
      <c r="D28" s="107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ht="14.25" customHeight="1">
      <c r="A29" s="108">
        <v>45661.0</v>
      </c>
      <c r="B29" s="114" t="s">
        <v>683</v>
      </c>
      <c r="C29" s="101" t="s">
        <v>675</v>
      </c>
      <c r="D29" s="110">
        <f>E64</f>
        <v>2060</v>
      </c>
      <c r="E29" s="111">
        <f>'4.1'!I22</f>
        <v>1155</v>
      </c>
      <c r="F29" s="111">
        <f>'4.1'!I36</f>
        <v>0</v>
      </c>
      <c r="G29" s="111">
        <f>'4.1'!I50</f>
        <v>0</v>
      </c>
      <c r="H29" s="111">
        <f>'4.1'!I64</f>
        <v>0</v>
      </c>
      <c r="I29" s="111">
        <f>'4.1'!I78</f>
        <v>750</v>
      </c>
      <c r="J29" s="112">
        <f t="shared" ref="J29:J34" si="89">SUM(F29:I29)</f>
        <v>750</v>
      </c>
      <c r="K29" s="112">
        <f t="shared" ref="K29:K34" si="90">SUM(E29,J29)</f>
        <v>1905</v>
      </c>
      <c r="L29" s="112">
        <f t="shared" ref="L29:L34" si="91">$D29*E29</f>
        <v>2379300</v>
      </c>
      <c r="M29" s="112">
        <f t="shared" ref="M29:M34" si="92">$D29*(SUM(F29:I29))</f>
        <v>1545000</v>
      </c>
      <c r="N29" s="112">
        <f t="shared" ref="N29:N34" si="93">L29+M29</f>
        <v>3924300</v>
      </c>
      <c r="O29" s="112">
        <f t="shared" ref="O29:P29" si="86">(O$39*L29)/L$39</f>
        <v>2379300</v>
      </c>
      <c r="P29" s="112">
        <f t="shared" si="86"/>
        <v>1931250</v>
      </c>
      <c r="Q29" s="112">
        <f t="shared" ref="Q29:Q34" si="95">O29+P29</f>
        <v>4310550</v>
      </c>
      <c r="R29" s="112">
        <f t="shared" ref="R29:S29" si="87">(R$39*O29)/O$39</f>
        <v>2736195</v>
      </c>
      <c r="S29" s="112">
        <f t="shared" si="87"/>
        <v>2896875</v>
      </c>
      <c r="T29" s="112">
        <f t="shared" ref="T29:T34" si="97">R29+S29</f>
        <v>5633070</v>
      </c>
      <c r="U29" s="112">
        <f t="shared" ref="U29:U34" si="98">X29/D29</f>
        <v>1437.1665</v>
      </c>
      <c r="V29" s="112">
        <f t="shared" ref="V29:V34" si="99">Y29/D29</f>
        <v>1521.5625</v>
      </c>
      <c r="W29" s="112">
        <f t="shared" ref="W29:W34" si="100">U29+V29</f>
        <v>2958.729</v>
      </c>
      <c r="X29" s="112">
        <f t="shared" ref="X29:Y29" si="88">(X$39*R29)/R$39</f>
        <v>2960562.99</v>
      </c>
      <c r="Y29" s="112">
        <f t="shared" si="88"/>
        <v>3134418.75</v>
      </c>
      <c r="Z29" s="112">
        <f t="shared" ref="Z29:Z34" si="102">X29+Y29</f>
        <v>6094981.74</v>
      </c>
    </row>
    <row r="30" ht="14.25" customHeight="1">
      <c r="A30" s="101" t="s">
        <v>684</v>
      </c>
      <c r="B30" s="114" t="s">
        <v>685</v>
      </c>
      <c r="C30" s="101" t="s">
        <v>663</v>
      </c>
      <c r="D30" s="110">
        <v>1.0</v>
      </c>
      <c r="E30" s="111">
        <f>'4.1-2'!I22</f>
        <v>1400519.397</v>
      </c>
      <c r="F30" s="111">
        <f>'4.1-2'!I36</f>
        <v>0</v>
      </c>
      <c r="G30" s="111">
        <f>'4.1-2'!I50</f>
        <v>0</v>
      </c>
      <c r="H30" s="111">
        <f>'4.1-2'!I64</f>
        <v>0</v>
      </c>
      <c r="I30" s="111">
        <f>'4.1-2'!I78</f>
        <v>2800000</v>
      </c>
      <c r="J30" s="112">
        <f t="shared" si="89"/>
        <v>2800000</v>
      </c>
      <c r="K30" s="112">
        <f t="shared" si="90"/>
        <v>4200519.397</v>
      </c>
      <c r="L30" s="112">
        <f t="shared" si="91"/>
        <v>1400519.397</v>
      </c>
      <c r="M30" s="112">
        <f t="shared" si="92"/>
        <v>2800000</v>
      </c>
      <c r="N30" s="112">
        <f t="shared" si="93"/>
        <v>4200519.397</v>
      </c>
      <c r="O30" s="112">
        <f t="shared" ref="O30:P30" si="94">(O$39*L30)/L$39</f>
        <v>1400519.397</v>
      </c>
      <c r="P30" s="112">
        <f t="shared" si="94"/>
        <v>3500000</v>
      </c>
      <c r="Q30" s="112">
        <f t="shared" si="95"/>
        <v>4900519.397</v>
      </c>
      <c r="R30" s="112">
        <f t="shared" ref="R30:S30" si="96">(R$39*O30)/O$39</f>
        <v>1610597.306</v>
      </c>
      <c r="S30" s="112">
        <f t="shared" si="96"/>
        <v>5250000</v>
      </c>
      <c r="T30" s="112">
        <f t="shared" si="97"/>
        <v>6860597.306</v>
      </c>
      <c r="U30" s="112">
        <f t="shared" si="98"/>
        <v>1742666.285</v>
      </c>
      <c r="V30" s="112">
        <f t="shared" si="99"/>
        <v>5680500</v>
      </c>
      <c r="W30" s="112">
        <f t="shared" si="100"/>
        <v>7423166.285</v>
      </c>
      <c r="X30" s="112">
        <f t="shared" ref="X30:Y30" si="101">(X$39*R30)/R$39</f>
        <v>1742666.285</v>
      </c>
      <c r="Y30" s="112">
        <f t="shared" si="101"/>
        <v>5680500</v>
      </c>
      <c r="Z30" s="112">
        <f t="shared" si="102"/>
        <v>7423166.285</v>
      </c>
    </row>
    <row r="31" ht="14.25" customHeight="1">
      <c r="A31" s="108">
        <v>45692.0</v>
      </c>
      <c r="B31" s="114" t="s">
        <v>686</v>
      </c>
      <c r="C31" s="101" t="s">
        <v>687</v>
      </c>
      <c r="D31" s="110">
        <v>4.0</v>
      </c>
      <c r="E31" s="111">
        <f>'4.2'!I22</f>
        <v>15000</v>
      </c>
      <c r="F31" s="111">
        <f>'4.2'!I36</f>
        <v>20000</v>
      </c>
      <c r="G31" s="111">
        <f>'4.2'!I50</f>
        <v>0</v>
      </c>
      <c r="H31" s="111">
        <f>'4.2'!I64</f>
        <v>0</v>
      </c>
      <c r="I31" s="111">
        <f>'4.2'!I78</f>
        <v>0</v>
      </c>
      <c r="J31" s="112">
        <f t="shared" si="89"/>
        <v>20000</v>
      </c>
      <c r="K31" s="112">
        <f t="shared" si="90"/>
        <v>35000</v>
      </c>
      <c r="L31" s="112">
        <f t="shared" si="91"/>
        <v>60000</v>
      </c>
      <c r="M31" s="112">
        <f t="shared" si="92"/>
        <v>80000</v>
      </c>
      <c r="N31" s="112">
        <f t="shared" si="93"/>
        <v>140000</v>
      </c>
      <c r="O31" s="112">
        <f t="shared" ref="O31:P31" si="103">(O$39*L31)/L$39</f>
        <v>60000</v>
      </c>
      <c r="P31" s="112">
        <f t="shared" si="103"/>
        <v>100000</v>
      </c>
      <c r="Q31" s="112">
        <f t="shared" si="95"/>
        <v>160000</v>
      </c>
      <c r="R31" s="112">
        <f t="shared" ref="R31:S31" si="104">(R$39*O31)/O$39</f>
        <v>69000</v>
      </c>
      <c r="S31" s="112">
        <f t="shared" si="104"/>
        <v>150000</v>
      </c>
      <c r="T31" s="112">
        <f t="shared" si="97"/>
        <v>219000</v>
      </c>
      <c r="U31" s="112">
        <f t="shared" si="98"/>
        <v>18664.5</v>
      </c>
      <c r="V31" s="112">
        <f t="shared" si="99"/>
        <v>40575</v>
      </c>
      <c r="W31" s="112">
        <f t="shared" si="100"/>
        <v>59239.5</v>
      </c>
      <c r="X31" s="112">
        <f t="shared" ref="X31:Y31" si="105">(X$39*R31)/R$39</f>
        <v>74658</v>
      </c>
      <c r="Y31" s="112">
        <f t="shared" si="105"/>
        <v>162300</v>
      </c>
      <c r="Z31" s="112">
        <f t="shared" si="102"/>
        <v>236958</v>
      </c>
    </row>
    <row r="32" ht="14.25" customHeight="1">
      <c r="A32" s="108">
        <v>45720.0</v>
      </c>
      <c r="B32" s="114" t="s">
        <v>688</v>
      </c>
      <c r="C32" s="101" t="s">
        <v>687</v>
      </c>
      <c r="D32" s="110">
        <v>80.0</v>
      </c>
      <c r="E32" s="111">
        <f>'4.3'!I22</f>
        <v>44000</v>
      </c>
      <c r="F32" s="111">
        <f>'4.3'!I36</f>
        <v>0</v>
      </c>
      <c r="G32" s="111">
        <f>'4.3'!I50</f>
        <v>0</v>
      </c>
      <c r="H32" s="111">
        <f>'4.3'!I64</f>
        <v>0</v>
      </c>
      <c r="I32" s="111">
        <f>'4.3'!I78</f>
        <v>65000</v>
      </c>
      <c r="J32" s="112">
        <f t="shared" si="89"/>
        <v>65000</v>
      </c>
      <c r="K32" s="112">
        <f t="shared" si="90"/>
        <v>109000</v>
      </c>
      <c r="L32" s="112">
        <f t="shared" si="91"/>
        <v>3520000</v>
      </c>
      <c r="M32" s="112">
        <f t="shared" si="92"/>
        <v>5200000</v>
      </c>
      <c r="N32" s="112">
        <f t="shared" si="93"/>
        <v>8720000</v>
      </c>
      <c r="O32" s="112">
        <f t="shared" ref="O32:P32" si="106">(O$39*L32)/L$39</f>
        <v>3520000</v>
      </c>
      <c r="P32" s="112">
        <f t="shared" si="106"/>
        <v>6500000</v>
      </c>
      <c r="Q32" s="112">
        <f t="shared" si="95"/>
        <v>10020000</v>
      </c>
      <c r="R32" s="112">
        <f t="shared" ref="R32:S32" si="107">(R$39*O32)/O$39</f>
        <v>4048000</v>
      </c>
      <c r="S32" s="112">
        <f t="shared" si="107"/>
        <v>9750000</v>
      </c>
      <c r="T32" s="112">
        <f t="shared" si="97"/>
        <v>13798000</v>
      </c>
      <c r="U32" s="112">
        <f t="shared" si="98"/>
        <v>54749.2</v>
      </c>
      <c r="V32" s="112">
        <f t="shared" si="99"/>
        <v>131868.75</v>
      </c>
      <c r="W32" s="112">
        <f t="shared" si="100"/>
        <v>186617.95</v>
      </c>
      <c r="X32" s="112">
        <f t="shared" ref="X32:Y32" si="108">(X$39*R32)/R$39</f>
        <v>4379936</v>
      </c>
      <c r="Y32" s="112">
        <f t="shared" si="108"/>
        <v>10549500</v>
      </c>
      <c r="Z32" s="112">
        <f t="shared" si="102"/>
        <v>14929436</v>
      </c>
    </row>
    <row r="33" ht="14.25" customHeight="1">
      <c r="A33" s="108">
        <v>45751.0</v>
      </c>
      <c r="B33" s="114" t="s">
        <v>689</v>
      </c>
      <c r="C33" s="101" t="s">
        <v>145</v>
      </c>
      <c r="D33" s="110">
        <v>250.0</v>
      </c>
      <c r="E33" s="111">
        <f>((750000+25000+30000)*1.2)/D33</f>
        <v>3864</v>
      </c>
      <c r="F33" s="111">
        <v>0.0</v>
      </c>
      <c r="G33" s="111">
        <v>0.0</v>
      </c>
      <c r="H33" s="111">
        <v>0.0</v>
      </c>
      <c r="I33" s="111">
        <v>4400.0</v>
      </c>
      <c r="J33" s="112">
        <f t="shared" si="89"/>
        <v>4400</v>
      </c>
      <c r="K33" s="112">
        <f t="shared" si="90"/>
        <v>8264</v>
      </c>
      <c r="L33" s="112">
        <f t="shared" si="91"/>
        <v>966000</v>
      </c>
      <c r="M33" s="112">
        <f t="shared" si="92"/>
        <v>1100000</v>
      </c>
      <c r="N33" s="112">
        <f t="shared" si="93"/>
        <v>2066000</v>
      </c>
      <c r="O33" s="112">
        <f t="shared" ref="O33:P33" si="109">(O$39*L33)/L$39</f>
        <v>966000</v>
      </c>
      <c r="P33" s="112">
        <f t="shared" si="109"/>
        <v>1375000</v>
      </c>
      <c r="Q33" s="112">
        <f t="shared" si="95"/>
        <v>2341000</v>
      </c>
      <c r="R33" s="112">
        <f t="shared" ref="R33:S33" si="110">(R$39*O33)/O$39</f>
        <v>1110900</v>
      </c>
      <c r="S33" s="112">
        <f t="shared" si="110"/>
        <v>2062500</v>
      </c>
      <c r="T33" s="112">
        <f t="shared" si="97"/>
        <v>3173400</v>
      </c>
      <c r="U33" s="112">
        <f t="shared" si="98"/>
        <v>4807.9752</v>
      </c>
      <c r="V33" s="112">
        <f t="shared" si="99"/>
        <v>8926.5</v>
      </c>
      <c r="W33" s="112">
        <f t="shared" si="100"/>
        <v>13734.4752</v>
      </c>
      <c r="X33" s="112">
        <f t="shared" ref="X33:Y33" si="111">(X$39*R33)/R$39</f>
        <v>1201993.8</v>
      </c>
      <c r="Y33" s="112">
        <f t="shared" si="111"/>
        <v>2231625</v>
      </c>
      <c r="Z33" s="112">
        <f t="shared" si="102"/>
        <v>3433618.8</v>
      </c>
    </row>
    <row r="34" ht="14.25" customHeight="1">
      <c r="A34" s="108">
        <v>45781.0</v>
      </c>
      <c r="B34" s="114" t="s">
        <v>690</v>
      </c>
      <c r="C34" s="101" t="s">
        <v>687</v>
      </c>
      <c r="D34" s="110">
        <v>1.0</v>
      </c>
      <c r="E34" s="111">
        <f>'4.5'!I22</f>
        <v>2000000</v>
      </c>
      <c r="F34" s="111">
        <f>'4.5'!I36</f>
        <v>0</v>
      </c>
      <c r="G34" s="111">
        <f>'4.5'!I50</f>
        <v>0</v>
      </c>
      <c r="H34" s="111">
        <f>'4.5'!I64</f>
        <v>0</v>
      </c>
      <c r="I34" s="111">
        <f>'4.5'!I78</f>
        <v>1000000</v>
      </c>
      <c r="J34" s="112">
        <f t="shared" si="89"/>
        <v>1000000</v>
      </c>
      <c r="K34" s="112">
        <f t="shared" si="90"/>
        <v>3000000</v>
      </c>
      <c r="L34" s="112">
        <f t="shared" si="91"/>
        <v>2000000</v>
      </c>
      <c r="M34" s="112">
        <f t="shared" si="92"/>
        <v>1000000</v>
      </c>
      <c r="N34" s="112">
        <f t="shared" si="93"/>
        <v>3000000</v>
      </c>
      <c r="O34" s="112">
        <f t="shared" ref="O34:P34" si="112">(O$39*L34)/L$39</f>
        <v>2000000</v>
      </c>
      <c r="P34" s="112">
        <f t="shared" si="112"/>
        <v>1250000</v>
      </c>
      <c r="Q34" s="112">
        <f t="shared" si="95"/>
        <v>3250000</v>
      </c>
      <c r="R34" s="112">
        <f t="shared" ref="R34:S34" si="113">(R$39*O34)/O$39</f>
        <v>2300000</v>
      </c>
      <c r="S34" s="112">
        <f t="shared" si="113"/>
        <v>1875000</v>
      </c>
      <c r="T34" s="112">
        <f t="shared" si="97"/>
        <v>4175000</v>
      </c>
      <c r="U34" s="112">
        <f t="shared" si="98"/>
        <v>2488600</v>
      </c>
      <c r="V34" s="112">
        <f t="shared" si="99"/>
        <v>2028750</v>
      </c>
      <c r="W34" s="112">
        <f t="shared" si="100"/>
        <v>4517350</v>
      </c>
      <c r="X34" s="112">
        <f t="shared" ref="X34:Y34" si="114">(X$39*R34)/R$39</f>
        <v>2488600</v>
      </c>
      <c r="Y34" s="112">
        <f t="shared" si="114"/>
        <v>2028750</v>
      </c>
      <c r="Z34" s="112">
        <f t="shared" si="102"/>
        <v>4517350</v>
      </c>
    </row>
    <row r="35" ht="14.25" customHeight="1">
      <c r="A35" s="113" t="s">
        <v>691</v>
      </c>
      <c r="B35" s="105"/>
      <c r="C35" s="106"/>
      <c r="D35" s="107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ht="14.25" customHeight="1">
      <c r="A36" s="108">
        <v>45662.0</v>
      </c>
      <c r="B36" s="114" t="s">
        <v>692</v>
      </c>
      <c r="C36" s="101" t="s">
        <v>687</v>
      </c>
      <c r="D36" s="110">
        <v>58.0</v>
      </c>
      <c r="E36" s="111">
        <f>'5.1'!I22</f>
        <v>611965.5172</v>
      </c>
      <c r="F36" s="111">
        <f>'5.1'!I36</f>
        <v>104827.5862</v>
      </c>
      <c r="G36" s="111">
        <f>'5.1'!I50</f>
        <v>108620.6897</v>
      </c>
      <c r="H36" s="111">
        <f>'5.1'!I64</f>
        <v>0</v>
      </c>
      <c r="I36" s="111">
        <f>'5.1'!I78</f>
        <v>0</v>
      </c>
      <c r="J36" s="112">
        <f>SUM(F36:I36)</f>
        <v>213448.2759</v>
      </c>
      <c r="K36" s="112">
        <f>SUM(E36,J36)</f>
        <v>825413.7931</v>
      </c>
      <c r="L36" s="112">
        <f>$D36*E36</f>
        <v>35494000</v>
      </c>
      <c r="M36" s="112">
        <f>$D36*(SUM(F36:I36))</f>
        <v>12380000</v>
      </c>
      <c r="N36" s="112">
        <f>L36+M36</f>
        <v>47874000</v>
      </c>
      <c r="O36" s="112">
        <f t="shared" ref="O36:P36" si="115">(O$39*L36)/L$39</f>
        <v>35494000</v>
      </c>
      <c r="P36" s="112">
        <f t="shared" si="115"/>
        <v>15475000</v>
      </c>
      <c r="Q36" s="112">
        <f>O36+P36</f>
        <v>50969000</v>
      </c>
      <c r="R36" s="112">
        <f t="shared" ref="R36:S36" si="116">(R$39*O36)/O$39</f>
        <v>40818100</v>
      </c>
      <c r="S36" s="112">
        <f t="shared" si="116"/>
        <v>23212500</v>
      </c>
      <c r="T36" s="112">
        <f>R36+S36</f>
        <v>64030600</v>
      </c>
      <c r="U36" s="112">
        <f>X36/D36</f>
        <v>761468.6931</v>
      </c>
      <c r="V36" s="112">
        <f>Y36/D36</f>
        <v>433033.1897</v>
      </c>
      <c r="W36" s="112">
        <f>U36+V36</f>
        <v>1194501.883</v>
      </c>
      <c r="X36" s="112">
        <f t="shared" ref="X36:Y36" si="117">(X$39*R36)/R$39</f>
        <v>44165184.2</v>
      </c>
      <c r="Y36" s="112">
        <f t="shared" si="117"/>
        <v>25115925</v>
      </c>
      <c r="Z36" s="112">
        <f>X36+Y36</f>
        <v>69281109.2</v>
      </c>
    </row>
    <row r="37" ht="14.25" customHeight="1">
      <c r="A37" s="113" t="s">
        <v>693</v>
      </c>
      <c r="B37" s="105"/>
      <c r="C37" s="106"/>
      <c r="D37" s="10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ht="14.25" customHeight="1">
      <c r="A38" s="108">
        <v>45694.0</v>
      </c>
      <c r="B38" s="114" t="s">
        <v>694</v>
      </c>
      <c r="C38" s="101" t="s">
        <v>663</v>
      </c>
      <c r="D38" s="110">
        <v>1.0</v>
      </c>
      <c r="E38" s="111"/>
      <c r="F38" s="111"/>
      <c r="G38" s="111"/>
      <c r="H38" s="111"/>
      <c r="I38" s="111"/>
      <c r="J38" s="112">
        <f>SUM(F38:I38)</f>
        <v>0</v>
      </c>
      <c r="K38" s="112">
        <f>SUM(E38,J38)</f>
        <v>0</v>
      </c>
      <c r="L38" s="112">
        <f>$D38*E38</f>
        <v>0</v>
      </c>
      <c r="M38" s="112">
        <f>$D38*(SUM(F38:I38))</f>
        <v>0</v>
      </c>
      <c r="N38" s="112">
        <f>L38+M38</f>
        <v>0</v>
      </c>
      <c r="O38" s="112">
        <f t="shared" ref="O38:P38" si="118">(O$39*L38)/L$39</f>
        <v>0</v>
      </c>
      <c r="P38" s="112">
        <f t="shared" si="118"/>
        <v>0</v>
      </c>
      <c r="Q38" s="112">
        <f>O38+P38</f>
        <v>0</v>
      </c>
      <c r="R38" s="112">
        <f t="shared" ref="R38:S38" si="119">(R$39*O38)/O$39</f>
        <v>0</v>
      </c>
      <c r="S38" s="112">
        <f t="shared" si="119"/>
        <v>0</v>
      </c>
      <c r="T38" s="112">
        <f>R38+S38</f>
        <v>0</v>
      </c>
      <c r="U38" s="112">
        <f>X38/D38</f>
        <v>0</v>
      </c>
      <c r="V38" s="112">
        <f>Y38/D38</f>
        <v>0</v>
      </c>
      <c r="W38" s="112">
        <f>U38+V38</f>
        <v>0</v>
      </c>
      <c r="X38" s="112">
        <f t="shared" ref="X38:Y38" si="120">(X$39*R38)/R$39</f>
        <v>0</v>
      </c>
      <c r="Y38" s="112">
        <f t="shared" si="120"/>
        <v>0</v>
      </c>
      <c r="Z38" s="112">
        <f>X38+Y38</f>
        <v>0</v>
      </c>
    </row>
    <row r="39" ht="123.0" customHeight="1">
      <c r="B39" s="117"/>
      <c r="E39" s="74"/>
      <c r="F39" s="74"/>
      <c r="G39" s="74"/>
      <c r="H39" s="74"/>
      <c r="I39" s="74"/>
      <c r="J39" s="118"/>
      <c r="K39" s="74"/>
      <c r="L39" s="119">
        <f t="shared" ref="L39:M39" si="121">SUM(L9:L38)</f>
        <v>147919757.1</v>
      </c>
      <c r="M39" s="119">
        <f t="shared" si="121"/>
        <v>110981501.4</v>
      </c>
      <c r="N39" s="120"/>
      <c r="O39" s="119">
        <f>Q65</f>
        <v>147919757.1</v>
      </c>
      <c r="P39" s="119">
        <f>Q47</f>
        <v>138726876.8</v>
      </c>
      <c r="Q39" s="120"/>
      <c r="R39" s="119">
        <f>Q68</f>
        <v>170107720.7</v>
      </c>
      <c r="S39" s="119">
        <f>Q50</f>
        <v>208090315.2</v>
      </c>
      <c r="T39" s="120"/>
      <c r="U39" s="120"/>
      <c r="V39" s="120"/>
      <c r="W39" s="120"/>
      <c r="X39" s="119">
        <f>Q71</f>
        <v>184056553.8</v>
      </c>
      <c r="Y39" s="119">
        <f>Q53</f>
        <v>225153721</v>
      </c>
      <c r="Z39" s="121">
        <f>SUM(Z9:Z38)</f>
        <v>409210274.8</v>
      </c>
    </row>
    <row r="40" ht="14.25" customHeight="1"/>
    <row r="41" ht="14.25" customHeight="1">
      <c r="A41" s="74"/>
      <c r="B41" s="74"/>
      <c r="C41" s="74"/>
      <c r="D41" s="74"/>
      <c r="E41" s="74"/>
      <c r="F41" s="74"/>
      <c r="G41" s="74"/>
      <c r="H41" s="74"/>
      <c r="Z41" s="122">
        <f>SUM(Y39+X39)</f>
        <v>409210274.8</v>
      </c>
    </row>
    <row r="42" ht="14.25" customHeight="1">
      <c r="B42" s="74"/>
      <c r="M42" s="123" t="s">
        <v>508</v>
      </c>
    </row>
    <row r="43" ht="14.25" customHeight="1">
      <c r="B43" s="74"/>
      <c r="M43" s="124" t="s">
        <v>695</v>
      </c>
      <c r="N43" s="124"/>
      <c r="O43" s="124"/>
      <c r="P43" s="125"/>
      <c r="Q43" s="125">
        <f>SUM(M9:M38)</f>
        <v>110981501.4</v>
      </c>
    </row>
    <row r="44" ht="14.25" customHeight="1">
      <c r="B44" s="74"/>
      <c r="O44" s="74" t="s">
        <v>696</v>
      </c>
      <c r="P44" s="126">
        <v>0.08</v>
      </c>
      <c r="Q44" s="120">
        <f t="shared" ref="Q44:Q46" si="122">Q$43*P44</f>
        <v>8878520.114</v>
      </c>
    </row>
    <row r="45" ht="14.25" customHeight="1">
      <c r="A45" s="74"/>
      <c r="B45" s="74"/>
      <c r="C45" s="74"/>
      <c r="D45" s="74"/>
      <c r="E45" s="74"/>
      <c r="F45" s="74"/>
      <c r="G45" s="74"/>
      <c r="H45" s="74"/>
      <c r="O45" s="74" t="s">
        <v>697</v>
      </c>
      <c r="P45" s="126">
        <v>0.06</v>
      </c>
      <c r="Q45" s="120">
        <f t="shared" si="122"/>
        <v>6658890.085</v>
      </c>
      <c r="R45" s="125">
        <f>('00_JEF + ESTR'!B6)*4</f>
        <v>6200000</v>
      </c>
    </row>
    <row r="46" ht="14.25" customHeight="1">
      <c r="B46" s="74"/>
      <c r="G46" s="127">
        <v>15.0</v>
      </c>
      <c r="O46" s="74" t="s">
        <v>698</v>
      </c>
      <c r="P46" s="126">
        <v>0.11</v>
      </c>
      <c r="Q46" s="120">
        <f t="shared" si="122"/>
        <v>12207965.16</v>
      </c>
      <c r="R46" s="125">
        <f>('00_JEF + ESTR'!B3)*4</f>
        <v>12000000</v>
      </c>
    </row>
    <row r="47" ht="14.25" customHeight="1">
      <c r="B47" s="74"/>
      <c r="M47" s="124" t="s">
        <v>699</v>
      </c>
      <c r="N47" s="124"/>
      <c r="O47" s="124"/>
      <c r="P47" s="125"/>
      <c r="Q47" s="125">
        <f>SUM(Q43:Q46)</f>
        <v>138726876.8</v>
      </c>
    </row>
    <row r="48" ht="14.25" customHeight="1">
      <c r="A48" s="74"/>
      <c r="B48" s="74"/>
      <c r="C48" s="74"/>
      <c r="D48" s="74"/>
      <c r="E48" s="74"/>
      <c r="F48" s="74"/>
      <c r="G48" s="74"/>
      <c r="H48" s="74"/>
      <c r="O48" s="74" t="s">
        <v>700</v>
      </c>
      <c r="P48" s="126">
        <v>0.5</v>
      </c>
      <c r="Q48" s="120">
        <f t="shared" ref="Q48:Q49" si="123">Q$47*P48</f>
        <v>69363438.39</v>
      </c>
    </row>
    <row r="49" ht="14.25" customHeight="1">
      <c r="B49" s="74"/>
      <c r="G49" s="127" t="s">
        <v>701</v>
      </c>
      <c r="O49" s="74" t="s">
        <v>702</v>
      </c>
      <c r="P49" s="126">
        <v>0.0</v>
      </c>
      <c r="Q49" s="120">
        <f t="shared" si="123"/>
        <v>0</v>
      </c>
    </row>
    <row r="50" ht="14.25" customHeight="1">
      <c r="B50" s="74"/>
      <c r="G50" s="127" t="s">
        <v>701</v>
      </c>
      <c r="M50" s="124" t="s">
        <v>703</v>
      </c>
      <c r="N50" s="124"/>
      <c r="O50" s="124"/>
      <c r="P50" s="125"/>
      <c r="Q50" s="125">
        <f>SUM(Q47:Q49)</f>
        <v>208090315.2</v>
      </c>
    </row>
    <row r="51" ht="14.25" customHeight="1">
      <c r="A51" s="74"/>
      <c r="B51" s="74"/>
      <c r="C51" s="74"/>
      <c r="D51" s="74"/>
      <c r="E51" s="74"/>
      <c r="F51" s="74"/>
      <c r="G51" s="74"/>
      <c r="H51" s="74"/>
      <c r="O51" s="74" t="s">
        <v>704</v>
      </c>
      <c r="P51" s="126">
        <v>0.07</v>
      </c>
      <c r="Q51" s="120">
        <f t="shared" ref="Q51:Q52" si="124">Q$50*P51</f>
        <v>14566322.06</v>
      </c>
    </row>
    <row r="52" ht="14.25" customHeight="1">
      <c r="B52" s="74"/>
      <c r="O52" s="74" t="s">
        <v>705</v>
      </c>
      <c r="P52" s="126">
        <v>0.012</v>
      </c>
      <c r="Q52" s="120">
        <f t="shared" si="124"/>
        <v>2497083.782</v>
      </c>
    </row>
    <row r="53" ht="14.25" customHeight="1">
      <c r="A53" s="74"/>
      <c r="B53" s="74"/>
      <c r="C53" s="74"/>
      <c r="D53" s="74"/>
      <c r="E53" s="74"/>
      <c r="F53" s="74"/>
      <c r="G53" s="74"/>
      <c r="H53" s="74"/>
      <c r="M53" s="124" t="s">
        <v>646</v>
      </c>
      <c r="N53" s="124"/>
      <c r="O53" s="124"/>
      <c r="P53" s="125"/>
      <c r="Q53" s="125">
        <f>SUM(Q50:Q52)</f>
        <v>225153721</v>
      </c>
    </row>
    <row r="54" ht="14.25" customHeight="1">
      <c r="O54" s="74" t="s">
        <v>706</v>
      </c>
      <c r="P54" s="126">
        <v>0.21</v>
      </c>
      <c r="Q54" s="120">
        <f>Q53*P54</f>
        <v>47282281.41</v>
      </c>
    </row>
    <row r="55" ht="14.25" customHeight="1">
      <c r="M55" s="124" t="s">
        <v>707</v>
      </c>
      <c r="N55" s="124"/>
      <c r="O55" s="124"/>
      <c r="P55" s="125"/>
      <c r="Q55" s="125">
        <f>SUM(Q53:Q54)</f>
        <v>272436002.4</v>
      </c>
    </row>
    <row r="56" ht="14.25" customHeight="1"/>
    <row r="57" ht="14.25" customHeight="1"/>
    <row r="58" ht="14.25" customHeight="1">
      <c r="C58" s="127" t="s">
        <v>708</v>
      </c>
    </row>
    <row r="59" ht="50.25" customHeight="1">
      <c r="A59" s="128"/>
      <c r="B59" s="128"/>
      <c r="C59" s="128"/>
      <c r="D59" s="128" t="s">
        <v>613</v>
      </c>
      <c r="E59" s="128" t="s">
        <v>709</v>
      </c>
      <c r="F59" s="128" t="s">
        <v>710</v>
      </c>
      <c r="G59" s="128" t="s">
        <v>711</v>
      </c>
      <c r="H59" s="128" t="s">
        <v>712</v>
      </c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</row>
    <row r="60" ht="14.25" customHeight="1">
      <c r="C60" s="127" t="s">
        <v>713</v>
      </c>
      <c r="D60" s="127">
        <v>493.0</v>
      </c>
      <c r="E60" s="127">
        <v>314.0</v>
      </c>
      <c r="F60" s="127">
        <v>0.5</v>
      </c>
      <c r="G60" s="127">
        <v>0.0</v>
      </c>
      <c r="H60" s="127">
        <f t="shared" ref="H60:H63" si="125">(F60-G60)*D60</f>
        <v>246.5</v>
      </c>
      <c r="M60" s="123" t="s">
        <v>0</v>
      </c>
    </row>
    <row r="61" ht="14.25" customHeight="1">
      <c r="C61" s="127" t="s">
        <v>714</v>
      </c>
      <c r="D61" s="127">
        <v>883.0</v>
      </c>
      <c r="E61" s="127">
        <v>549.0</v>
      </c>
      <c r="F61" s="127">
        <v>0.7</v>
      </c>
      <c r="G61" s="127">
        <v>0.0</v>
      </c>
      <c r="H61" s="127">
        <f t="shared" si="125"/>
        <v>618.1</v>
      </c>
      <c r="M61" s="124" t="s">
        <v>695</v>
      </c>
      <c r="N61" s="124"/>
      <c r="O61" s="124"/>
      <c r="P61" s="125"/>
      <c r="Q61" s="125">
        <f>L39</f>
        <v>147919757.1</v>
      </c>
    </row>
    <row r="62" ht="14.25" customHeight="1">
      <c r="C62" s="127" t="s">
        <v>715</v>
      </c>
      <c r="D62" s="127">
        <v>862.0</v>
      </c>
      <c r="E62" s="127">
        <v>567.0</v>
      </c>
      <c r="F62" s="127">
        <v>0.9</v>
      </c>
      <c r="G62" s="127">
        <v>0.4</v>
      </c>
      <c r="H62" s="127">
        <f t="shared" si="125"/>
        <v>431</v>
      </c>
      <c r="O62" s="74" t="s">
        <v>696</v>
      </c>
      <c r="P62" s="126">
        <v>0.0</v>
      </c>
      <c r="Q62" s="120">
        <f t="shared" ref="Q62:Q64" si="126">Q$43*P62</f>
        <v>0</v>
      </c>
    </row>
    <row r="63" ht="14.25" customHeight="1">
      <c r="C63" s="127" t="s">
        <v>716</v>
      </c>
      <c r="D63" s="127">
        <v>732.0</v>
      </c>
      <c r="E63" s="127">
        <v>630.0</v>
      </c>
      <c r="F63" s="127">
        <v>1.1</v>
      </c>
      <c r="G63" s="127">
        <v>0.8</v>
      </c>
      <c r="H63" s="127">
        <f t="shared" si="125"/>
        <v>219.6</v>
      </c>
      <c r="O63" s="74" t="s">
        <v>697</v>
      </c>
      <c r="P63" s="126">
        <v>0.0</v>
      </c>
      <c r="Q63" s="120">
        <f t="shared" si="126"/>
        <v>0</v>
      </c>
    </row>
    <row r="64" ht="14.25" customHeight="1">
      <c r="C64" s="127" t="s">
        <v>717</v>
      </c>
      <c r="D64" s="129">
        <f t="shared" ref="D64:E64" si="127">SUM(D60:D63)</f>
        <v>2970</v>
      </c>
      <c r="E64" s="129">
        <f t="shared" si="127"/>
        <v>2060</v>
      </c>
      <c r="F64" s="127" t="s">
        <v>718</v>
      </c>
      <c r="H64" s="129">
        <f>SUM(H60:H63)</f>
        <v>1515.2</v>
      </c>
      <c r="I64" s="127" t="s">
        <v>719</v>
      </c>
      <c r="O64" s="74" t="s">
        <v>698</v>
      </c>
      <c r="P64" s="126">
        <v>0.0</v>
      </c>
      <c r="Q64" s="120">
        <f t="shared" si="126"/>
        <v>0</v>
      </c>
    </row>
    <row r="65" ht="14.25" customHeight="1">
      <c r="H65" s="3"/>
      <c r="J65" s="130"/>
      <c r="M65" s="124" t="s">
        <v>699</v>
      </c>
      <c r="N65" s="124"/>
      <c r="O65" s="124"/>
      <c r="P65" s="125"/>
      <c r="Q65" s="125">
        <f>SUM(Q61:Q64)</f>
        <v>147919757.1</v>
      </c>
    </row>
    <row r="66" ht="14.25" customHeight="1">
      <c r="B66" s="131" t="s">
        <v>720</v>
      </c>
      <c r="C66" s="127" t="s">
        <v>721</v>
      </c>
      <c r="E66" s="127">
        <f>2.6+7.5+7.3+5.7+4.2</f>
        <v>27.3</v>
      </c>
      <c r="F66" s="127" t="s">
        <v>718</v>
      </c>
      <c r="H66" s="3" t="s">
        <v>722</v>
      </c>
      <c r="O66" s="74" t="s">
        <v>700</v>
      </c>
      <c r="P66" s="126">
        <v>0.15</v>
      </c>
      <c r="Q66" s="120">
        <f>Q$65*P66</f>
        <v>22187963.57</v>
      </c>
    </row>
    <row r="67" ht="14.25" customHeight="1">
      <c r="C67" s="127" t="s">
        <v>723</v>
      </c>
      <c r="E67" s="127">
        <f>354+20+246+51+85+177+23+50</f>
        <v>1006</v>
      </c>
      <c r="F67" s="127" t="s">
        <v>718</v>
      </c>
      <c r="O67" s="74" t="s">
        <v>702</v>
      </c>
      <c r="P67" s="126">
        <v>0.0</v>
      </c>
      <c r="Q67" s="120">
        <f>Q$47*P67</f>
        <v>0</v>
      </c>
    </row>
    <row r="68" ht="14.25" customHeight="1">
      <c r="H68" s="127">
        <f t="shared" ref="H68:H69" si="128">H61*0.2</f>
        <v>123.62</v>
      </c>
      <c r="I68" s="132" t="s">
        <v>724</v>
      </c>
      <c r="L68" s="74"/>
      <c r="M68" s="124" t="s">
        <v>703</v>
      </c>
      <c r="N68" s="124"/>
      <c r="O68" s="124"/>
      <c r="P68" s="125"/>
      <c r="Q68" s="125">
        <f>SUM(Q65:Q67)</f>
        <v>170107720.7</v>
      </c>
    </row>
    <row r="69" ht="14.25" customHeight="1">
      <c r="B69" s="131" t="s">
        <v>725</v>
      </c>
      <c r="C69" s="127" t="s">
        <v>726</v>
      </c>
      <c r="E69" s="127">
        <f>173+37+177+40</f>
        <v>427</v>
      </c>
      <c r="H69" s="127">
        <f t="shared" si="128"/>
        <v>86.2</v>
      </c>
      <c r="O69" s="74" t="s">
        <v>704</v>
      </c>
      <c r="P69" s="126">
        <v>0.07</v>
      </c>
      <c r="Q69" s="120">
        <f t="shared" ref="Q69:Q70" si="129">Q$68*P69</f>
        <v>11907540.45</v>
      </c>
    </row>
    <row r="70" ht="14.25" customHeight="1">
      <c r="C70" s="127" t="s">
        <v>727</v>
      </c>
      <c r="E70" s="127">
        <f>E64-(E67+E69+E66)</f>
        <v>599.7</v>
      </c>
      <c r="O70" s="74" t="s">
        <v>705</v>
      </c>
      <c r="P70" s="126">
        <v>0.012</v>
      </c>
      <c r="Q70" s="120">
        <f t="shared" si="129"/>
        <v>2041292.648</v>
      </c>
    </row>
    <row r="71" ht="14.25" customHeight="1">
      <c r="M71" s="124" t="s">
        <v>646</v>
      </c>
      <c r="N71" s="124"/>
      <c r="O71" s="124"/>
      <c r="P71" s="125"/>
      <c r="Q71" s="125">
        <f>SUM(Q68:Q70)</f>
        <v>184056553.8</v>
      </c>
    </row>
    <row r="72" ht="14.25" customHeight="1">
      <c r="O72" s="74" t="s">
        <v>706</v>
      </c>
      <c r="P72" s="126">
        <v>0.21</v>
      </c>
      <c r="Q72" s="120">
        <f>Q71*P72</f>
        <v>38651876.29</v>
      </c>
    </row>
    <row r="73" ht="14.25" customHeight="1">
      <c r="M73" s="124" t="s">
        <v>707</v>
      </c>
      <c r="N73" s="124"/>
      <c r="O73" s="124"/>
      <c r="P73" s="125"/>
      <c r="Q73" s="125">
        <f>SUM(Q71:Q72)</f>
        <v>222708430.1</v>
      </c>
    </row>
    <row r="74" ht="14.25" customHeight="1">
      <c r="C74" s="133">
        <v>45690.0</v>
      </c>
      <c r="D74" s="123" t="s">
        <v>728</v>
      </c>
    </row>
    <row r="75" ht="14.25" customHeight="1">
      <c r="C75" s="127" t="s">
        <v>729</v>
      </c>
      <c r="E75" s="127">
        <f>D64-E64</f>
        <v>910</v>
      </c>
    </row>
    <row r="76" ht="14.25" customHeight="1">
      <c r="C76" s="127" t="s">
        <v>730</v>
      </c>
      <c r="E76" s="127">
        <f>E64</f>
        <v>2060</v>
      </c>
    </row>
    <row r="77" ht="25.5" customHeight="1">
      <c r="C77" s="134" t="s">
        <v>731</v>
      </c>
      <c r="D77" s="134"/>
      <c r="E77" s="134">
        <f>E70+E69</f>
        <v>1026.7</v>
      </c>
    </row>
    <row r="78" ht="14.25" customHeight="1">
      <c r="D78" s="127" t="s">
        <v>48</v>
      </c>
      <c r="E78" s="128" t="s">
        <v>710</v>
      </c>
      <c r="F78" s="128" t="s">
        <v>711</v>
      </c>
      <c r="G78" s="128" t="s">
        <v>712</v>
      </c>
    </row>
    <row r="79" ht="14.25" customHeight="1">
      <c r="C79" s="127" t="s">
        <v>713</v>
      </c>
      <c r="D79" s="127">
        <f>E60</f>
        <v>314</v>
      </c>
      <c r="E79" s="127">
        <v>0.5</v>
      </c>
      <c r="F79" s="127">
        <v>0.0</v>
      </c>
      <c r="G79" s="127">
        <f t="shared" ref="G79:G84" si="130">(E79-F79)*D79</f>
        <v>157</v>
      </c>
    </row>
    <row r="80" ht="14.25" customHeight="1">
      <c r="C80" s="127" t="s">
        <v>714</v>
      </c>
      <c r="D80" s="127">
        <f>E61-D81</f>
        <v>35.65</v>
      </c>
      <c r="E80" s="127">
        <v>0.7</v>
      </c>
      <c r="F80" s="127">
        <v>0.0</v>
      </c>
      <c r="G80" s="127">
        <f t="shared" si="130"/>
        <v>24.955</v>
      </c>
    </row>
    <row r="81" ht="14.25" customHeight="1">
      <c r="B81" s="135" t="s">
        <v>732</v>
      </c>
      <c r="C81" s="134" t="s">
        <v>733</v>
      </c>
      <c r="D81" s="134">
        <f>E77/2</f>
        <v>513.35</v>
      </c>
      <c r="E81" s="134">
        <f>E80-0.4</f>
        <v>0.3</v>
      </c>
      <c r="F81" s="134">
        <v>0.0</v>
      </c>
      <c r="G81" s="134">
        <f t="shared" si="130"/>
        <v>154.005</v>
      </c>
    </row>
    <row r="82" ht="14.25" customHeight="1">
      <c r="C82" s="127" t="s">
        <v>715</v>
      </c>
      <c r="D82" s="127">
        <f>E62-D83</f>
        <v>53.65</v>
      </c>
      <c r="E82" s="127">
        <v>0.9</v>
      </c>
      <c r="F82" s="127">
        <v>0.4</v>
      </c>
      <c r="G82" s="127">
        <f t="shared" si="130"/>
        <v>26.825</v>
      </c>
    </row>
    <row r="83" ht="14.25" customHeight="1">
      <c r="B83" s="135" t="s">
        <v>732</v>
      </c>
      <c r="C83" s="134" t="s">
        <v>734</v>
      </c>
      <c r="D83" s="134">
        <f>E77/2</f>
        <v>513.35</v>
      </c>
      <c r="E83" s="134">
        <f>E82-0.4</f>
        <v>0.5</v>
      </c>
      <c r="F83" s="134">
        <v>0.4</v>
      </c>
      <c r="G83" s="134">
        <f t="shared" si="130"/>
        <v>51.335</v>
      </c>
    </row>
    <row r="84" ht="14.25" customHeight="1">
      <c r="C84" s="127" t="s">
        <v>716</v>
      </c>
      <c r="D84" s="127">
        <f>E63</f>
        <v>630</v>
      </c>
      <c r="E84" s="127">
        <v>1.1</v>
      </c>
      <c r="F84" s="127">
        <v>0.8</v>
      </c>
      <c r="G84" s="127">
        <f t="shared" si="130"/>
        <v>189</v>
      </c>
    </row>
    <row r="85" ht="14.25" customHeight="1">
      <c r="G85" s="129">
        <f>SUM(G79:G84)</f>
        <v>603.12</v>
      </c>
    </row>
    <row r="86" ht="14.25" customHeight="1">
      <c r="C86" s="136" t="s">
        <v>735</v>
      </c>
      <c r="D86" s="136">
        <f>G85+E75</f>
        <v>1513.12</v>
      </c>
    </row>
    <row r="87" ht="14.25" customHeight="1"/>
    <row r="88" ht="14.25" customHeight="1"/>
    <row r="89" ht="14.25" customHeight="1">
      <c r="C89" s="133">
        <v>45718.0</v>
      </c>
      <c r="D89" s="123" t="s">
        <v>736</v>
      </c>
    </row>
    <row r="90" ht="14.25" customHeight="1">
      <c r="C90" s="127">
        <f>D79+D80+D82+D84</f>
        <v>1033.3</v>
      </c>
      <c r="D90" s="127" t="s">
        <v>48</v>
      </c>
    </row>
    <row r="91" ht="14.25" customHeight="1">
      <c r="C91" s="127">
        <f>C90*0.27</f>
        <v>278.991</v>
      </c>
      <c r="D91" s="127" t="s">
        <v>12</v>
      </c>
    </row>
    <row r="92" ht="14.25" customHeight="1"/>
    <row r="93" ht="14.25" customHeight="1"/>
    <row r="94" ht="14.25" customHeight="1"/>
    <row r="95" ht="14.25" customHeight="1">
      <c r="C95" s="123" t="s">
        <v>737</v>
      </c>
      <c r="D95" s="123"/>
    </row>
    <row r="96" ht="14.25" customHeight="1">
      <c r="C96" s="137" t="s">
        <v>738</v>
      </c>
      <c r="D96" s="137">
        <f>68.6+19.5+68</f>
        <v>156.1</v>
      </c>
    </row>
    <row r="97" ht="14.25" customHeight="1">
      <c r="C97" s="134" t="s">
        <v>739</v>
      </c>
      <c r="D97" s="134">
        <f>64.5+27.3+60.5</f>
        <v>152.3</v>
      </c>
      <c r="E97" s="138">
        <f>SUM(D97:D99)</f>
        <v>435.5</v>
      </c>
    </row>
    <row r="98" ht="14.25" customHeight="1">
      <c r="C98" s="134" t="s">
        <v>740</v>
      </c>
      <c r="D98" s="134">
        <f>60.4+27.5+57.7</f>
        <v>145.6</v>
      </c>
    </row>
    <row r="99" ht="14.25" customHeight="1">
      <c r="C99" s="134" t="s">
        <v>741</v>
      </c>
      <c r="D99" s="134">
        <f>53.6+32.3+51.7</f>
        <v>137.6</v>
      </c>
    </row>
    <row r="100" ht="14.25" customHeight="1">
      <c r="C100" s="139" t="s">
        <v>742</v>
      </c>
      <c r="D100" s="139">
        <f>32.4+22.7+28.1+26.3+23</f>
        <v>132.5</v>
      </c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mergeCells count="16">
    <mergeCell ref="E5:N5"/>
    <mergeCell ref="E6:K6"/>
    <mergeCell ref="L6:N6"/>
    <mergeCell ref="I68:I69"/>
    <mergeCell ref="E97:E99"/>
    <mergeCell ref="O6:Q6"/>
    <mergeCell ref="R6:T6"/>
    <mergeCell ref="U6:W6"/>
    <mergeCell ref="X6:Z6"/>
    <mergeCell ref="A5:A7"/>
    <mergeCell ref="B5:B7"/>
    <mergeCell ref="C5:C7"/>
    <mergeCell ref="D5:D7"/>
    <mergeCell ref="O5:Q5"/>
    <mergeCell ref="R5:T5"/>
    <mergeCell ref="U5:Z5"/>
  </mergeCells>
  <printOptions/>
  <pageMargins bottom="0.7480314960629921" footer="0.0" header="0.0" left="0.7086614173228347" right="0.7086614173228347" top="0.7480314960629921"/>
  <pageSetup paperSize="9" scale="80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19.71"/>
    <col customWidth="1" min="3" max="3" width="16.0"/>
    <col customWidth="1" min="4" max="4" width="11.57"/>
    <col customWidth="1" min="5" max="10" width="20.71"/>
    <col customWidth="1" min="11" max="21" width="8.71"/>
  </cols>
  <sheetData>
    <row r="1" ht="33.75" customHeight="1">
      <c r="A1" s="140" t="s">
        <v>743</v>
      </c>
      <c r="B1" s="73"/>
      <c r="J1" s="74"/>
    </row>
    <row r="2">
      <c r="A2" s="3" t="s">
        <v>744</v>
      </c>
    </row>
    <row r="3">
      <c r="A3" s="3" t="s">
        <v>745</v>
      </c>
    </row>
    <row r="5" ht="30.75" customHeight="1">
      <c r="A5" s="75" t="s">
        <v>639</v>
      </c>
      <c r="B5" s="75"/>
      <c r="C5" s="76"/>
      <c r="D5" s="76"/>
      <c r="E5" s="76"/>
      <c r="F5" s="76"/>
      <c r="G5" s="76"/>
      <c r="H5" s="76"/>
      <c r="I5" s="76"/>
      <c r="J5" s="76"/>
    </row>
    <row r="6" ht="15.0" customHeight="1">
      <c r="C6" s="74"/>
    </row>
    <row r="7" ht="14.25" customHeight="1">
      <c r="A7" s="77" t="s">
        <v>640</v>
      </c>
      <c r="B7" s="78" t="s">
        <v>641</v>
      </c>
      <c r="C7" s="77" t="s">
        <v>3</v>
      </c>
      <c r="D7" s="79" t="s">
        <v>642</v>
      </c>
      <c r="E7" s="83" t="s">
        <v>646</v>
      </c>
      <c r="F7" s="81"/>
      <c r="G7" s="81"/>
      <c r="H7" s="81"/>
      <c r="I7" s="81"/>
      <c r="J7" s="84"/>
    </row>
    <row r="8" ht="14.25" customHeight="1">
      <c r="A8" s="85"/>
      <c r="B8" s="85"/>
      <c r="C8" s="85"/>
      <c r="D8" s="86"/>
      <c r="E8" s="92" t="s">
        <v>650</v>
      </c>
      <c r="F8" s="88"/>
      <c r="G8" s="89"/>
      <c r="H8" s="93" t="s">
        <v>648</v>
      </c>
      <c r="I8" s="88"/>
      <c r="J8" s="94"/>
    </row>
    <row r="9" ht="14.25" customHeight="1">
      <c r="A9" s="95"/>
      <c r="B9" s="95"/>
      <c r="C9" s="95"/>
      <c r="D9" s="96"/>
      <c r="E9" s="100" t="s">
        <v>651</v>
      </c>
      <c r="F9" s="101" t="s">
        <v>658</v>
      </c>
      <c r="G9" s="101" t="s">
        <v>657</v>
      </c>
      <c r="H9" s="101" t="s">
        <v>651</v>
      </c>
      <c r="I9" s="101" t="s">
        <v>658</v>
      </c>
      <c r="J9" s="103" t="s">
        <v>657</v>
      </c>
    </row>
    <row r="10" ht="14.25" customHeight="1">
      <c r="A10" s="141" t="str">
        <f>'01_C&amp;P'!A8</f>
        <v>1- TAREAS PRELIMINARES</v>
      </c>
      <c r="B10" s="89"/>
      <c r="C10" s="106" t="str">
        <f>'01_C&amp;P'!C8</f>
        <v/>
      </c>
      <c r="D10" s="107" t="str">
        <f>'01_C&amp;P'!D8</f>
        <v/>
      </c>
      <c r="E10" s="106"/>
      <c r="F10" s="106"/>
      <c r="G10" s="106"/>
      <c r="H10" s="106"/>
      <c r="I10" s="106"/>
      <c r="J10" s="106"/>
    </row>
    <row r="11" ht="14.25" customHeight="1">
      <c r="A11" s="108">
        <f>'01_C&amp;P'!A9</f>
        <v>45292</v>
      </c>
      <c r="B11" s="114" t="str">
        <f>'01_C&amp;P'!B9</f>
        <v>OBRADOR</v>
      </c>
      <c r="C11" s="101" t="str">
        <f>'01_C&amp;P'!C9</f>
        <v>mes</v>
      </c>
      <c r="D11" s="110">
        <f>'01_C&amp;P'!D9</f>
        <v>4</v>
      </c>
      <c r="E11" s="111">
        <f>'01_C&amp;P'!U9</f>
        <v>0</v>
      </c>
      <c r="F11" s="111">
        <f>'01_C&amp;P'!V9</f>
        <v>811500</v>
      </c>
      <c r="G11" s="112">
        <f t="shared" ref="G11:G17" si="1">E11+F11</f>
        <v>811500</v>
      </c>
      <c r="H11" s="112">
        <f t="shared" ref="H11:H17" si="2">E11*D11</f>
        <v>0</v>
      </c>
      <c r="I11" s="112">
        <f t="shared" ref="I11:I17" si="3">D11*F11</f>
        <v>3246000</v>
      </c>
      <c r="J11" s="112">
        <f t="shared" ref="J11:J17" si="4">H11+I11</f>
        <v>3246000</v>
      </c>
    </row>
    <row r="12" ht="14.25" customHeight="1">
      <c r="A12" s="108">
        <f>'01_C&amp;P'!A10</f>
        <v>45323</v>
      </c>
      <c r="B12" s="114" t="str">
        <f>'01_C&amp;P'!B10</f>
        <v>REPLANTEO Y NIVELACION</v>
      </c>
      <c r="C12" s="101" t="str">
        <f>'01_C&amp;P'!C10</f>
        <v>gl</v>
      </c>
      <c r="D12" s="110">
        <f>'01_C&amp;P'!D10</f>
        <v>1</v>
      </c>
      <c r="E12" s="111">
        <f>'01_C&amp;P'!U10</f>
        <v>0</v>
      </c>
      <c r="F12" s="111">
        <f>'01_C&amp;P'!V10</f>
        <v>6086250</v>
      </c>
      <c r="G12" s="112">
        <f t="shared" si="1"/>
        <v>6086250</v>
      </c>
      <c r="H12" s="112">
        <f t="shared" si="2"/>
        <v>0</v>
      </c>
      <c r="I12" s="112">
        <f t="shared" si="3"/>
        <v>6086250</v>
      </c>
      <c r="J12" s="112">
        <f t="shared" si="4"/>
        <v>6086250</v>
      </c>
    </row>
    <row r="13" ht="14.25" customHeight="1">
      <c r="A13" s="108">
        <f>'01_C&amp;P'!A11</f>
        <v>45352</v>
      </c>
      <c r="B13" s="114" t="str">
        <f>'01_C&amp;P'!B11</f>
        <v>BAÑO QUIMICO</v>
      </c>
      <c r="C13" s="101" t="str">
        <f>'01_C&amp;P'!C11</f>
        <v>mes</v>
      </c>
      <c r="D13" s="110">
        <f>'01_C&amp;P'!D11</f>
        <v>4</v>
      </c>
      <c r="E13" s="111">
        <f>'01_C&amp;P'!U11</f>
        <v>0</v>
      </c>
      <c r="F13" s="111">
        <f>'01_C&amp;P'!V11</f>
        <v>162300</v>
      </c>
      <c r="G13" s="112">
        <f t="shared" si="1"/>
        <v>162300</v>
      </c>
      <c r="H13" s="112">
        <f t="shared" si="2"/>
        <v>0</v>
      </c>
      <c r="I13" s="112">
        <f t="shared" si="3"/>
        <v>649200</v>
      </c>
      <c r="J13" s="112">
        <f t="shared" si="4"/>
        <v>649200</v>
      </c>
    </row>
    <row r="14" ht="14.25" customHeight="1">
      <c r="A14" s="108">
        <f>'01_C&amp;P'!A12</f>
        <v>45383</v>
      </c>
      <c r="B14" s="114" t="str">
        <f>'01_C&amp;P'!B12</f>
        <v>CERCO DE OBRA (Malla de seguridad permietral)</v>
      </c>
      <c r="C14" s="101" t="str">
        <f>'01_C&amp;P'!C12</f>
        <v>mes</v>
      </c>
      <c r="D14" s="110">
        <f>'01_C&amp;P'!D12</f>
        <v>4</v>
      </c>
      <c r="E14" s="111">
        <f>'01_C&amp;P'!U12</f>
        <v>0</v>
      </c>
      <c r="F14" s="111">
        <f>'01_C&amp;P'!V12</f>
        <v>1146987.625</v>
      </c>
      <c r="G14" s="112">
        <f t="shared" si="1"/>
        <v>1146987.625</v>
      </c>
      <c r="H14" s="112">
        <f t="shared" si="2"/>
        <v>0</v>
      </c>
      <c r="I14" s="112">
        <f t="shared" si="3"/>
        <v>4587950.5</v>
      </c>
      <c r="J14" s="112">
        <f t="shared" si="4"/>
        <v>4587950.5</v>
      </c>
    </row>
    <row r="15" ht="14.25" customHeight="1">
      <c r="A15" s="108">
        <f>'01_C&amp;P'!A13</f>
        <v>45413</v>
      </c>
      <c r="B15" s="114" t="str">
        <f>'01_C&amp;P'!B13</f>
        <v>LIMPIZA PERIODICA DE OBRA</v>
      </c>
      <c r="C15" s="101" t="str">
        <f>'01_C&amp;P'!C13</f>
        <v>mes</v>
      </c>
      <c r="D15" s="110">
        <f>'01_C&amp;P'!D13</f>
        <v>4</v>
      </c>
      <c r="E15" s="111">
        <f>'01_C&amp;P'!U13</f>
        <v>0</v>
      </c>
      <c r="F15" s="111">
        <f>'01_C&amp;P'!V13</f>
        <v>1217250</v>
      </c>
      <c r="G15" s="112">
        <f t="shared" si="1"/>
        <v>1217250</v>
      </c>
      <c r="H15" s="112">
        <f t="shared" si="2"/>
        <v>0</v>
      </c>
      <c r="I15" s="112">
        <f t="shared" si="3"/>
        <v>4869000</v>
      </c>
      <c r="J15" s="112">
        <f t="shared" si="4"/>
        <v>4869000</v>
      </c>
    </row>
    <row r="16" ht="14.25" customHeight="1">
      <c r="A16" s="108">
        <f>'01_C&amp;P'!A14</f>
        <v>45444</v>
      </c>
      <c r="B16" s="114" t="str">
        <f>'01_C&amp;P'!B14</f>
        <v>ACARREO DE MATERIALES</v>
      </c>
      <c r="C16" s="101" t="str">
        <f>'01_C&amp;P'!C14</f>
        <v>mes</v>
      </c>
      <c r="D16" s="110">
        <f>'01_C&amp;P'!D14</f>
        <v>4</v>
      </c>
      <c r="E16" s="111">
        <f>'01_C&amp;P'!U14</f>
        <v>0</v>
      </c>
      <c r="F16" s="111">
        <f>'01_C&amp;P'!V14</f>
        <v>1217250</v>
      </c>
      <c r="G16" s="112">
        <f t="shared" si="1"/>
        <v>1217250</v>
      </c>
      <c r="H16" s="112">
        <f t="shared" si="2"/>
        <v>0</v>
      </c>
      <c r="I16" s="112">
        <f t="shared" si="3"/>
        <v>4869000</v>
      </c>
      <c r="J16" s="112">
        <f t="shared" si="4"/>
        <v>4869000</v>
      </c>
    </row>
    <row r="17" ht="14.25" customHeight="1">
      <c r="A17" s="108">
        <f>'01_C&amp;P'!A15</f>
        <v>45474</v>
      </c>
      <c r="B17" s="114" t="str">
        <f>'01_C&amp;P'!B15</f>
        <v>LIMPIEZA FINAL DE OBRA</v>
      </c>
      <c r="C17" s="101" t="str">
        <f>'01_C&amp;P'!C15</f>
        <v>gl</v>
      </c>
      <c r="D17" s="110">
        <f>'01_C&amp;P'!D15</f>
        <v>1</v>
      </c>
      <c r="E17" s="111">
        <f>'01_C&amp;P'!U15</f>
        <v>0</v>
      </c>
      <c r="F17" s="111">
        <f>'01_C&amp;P'!V15</f>
        <v>1785300</v>
      </c>
      <c r="G17" s="112">
        <f t="shared" si="1"/>
        <v>1785300</v>
      </c>
      <c r="H17" s="112">
        <f t="shared" si="2"/>
        <v>0</v>
      </c>
      <c r="I17" s="112">
        <f t="shared" si="3"/>
        <v>1785300</v>
      </c>
      <c r="J17" s="112">
        <f t="shared" si="4"/>
        <v>1785300</v>
      </c>
    </row>
    <row r="18" ht="14.25" customHeight="1">
      <c r="A18" s="141" t="str">
        <f>'01_C&amp;P'!A16</f>
        <v>2- MOVIMEINTO DE SUELOS</v>
      </c>
      <c r="B18" s="89"/>
      <c r="C18" s="106" t="str">
        <f>'01_C&amp;P'!C16</f>
        <v/>
      </c>
      <c r="D18" s="107" t="str">
        <f>'01_C&amp;P'!D16</f>
        <v/>
      </c>
      <c r="E18" s="106" t="str">
        <f>'01_C&amp;P'!U16</f>
        <v/>
      </c>
      <c r="F18" s="106" t="str">
        <f>'01_C&amp;P'!V16</f>
        <v/>
      </c>
      <c r="G18" s="106"/>
      <c r="H18" s="106"/>
      <c r="I18" s="106"/>
      <c r="J18" s="106"/>
    </row>
    <row r="19" ht="14.25" customHeight="1">
      <c r="A19" s="108">
        <f>'01_C&amp;P'!A17</f>
        <v>45293</v>
      </c>
      <c r="B19" s="114" t="str">
        <f>'01_C&amp;P'!B17</f>
        <v>RETIRO DE ARBOLES DE MENOR PORTE (No incluye los tres arboles existentes de gran porte)</v>
      </c>
      <c r="C19" s="101" t="str">
        <f>'01_C&amp;P'!C17</f>
        <v>gl</v>
      </c>
      <c r="D19" s="110">
        <f>'01_C&amp;P'!D17</f>
        <v>1</v>
      </c>
      <c r="E19" s="111">
        <f>'01_C&amp;P'!U17</f>
        <v>0</v>
      </c>
      <c r="F19" s="111">
        <f>'01_C&amp;P'!V17</f>
        <v>649200</v>
      </c>
      <c r="G19" s="112">
        <f t="shared" ref="G19:G21" si="5">E19+F19</f>
        <v>649200</v>
      </c>
      <c r="H19" s="112">
        <f t="shared" ref="H19:H21" si="6">E19*D19</f>
        <v>0</v>
      </c>
      <c r="I19" s="112">
        <f t="shared" ref="I19:I21" si="7">D19*F19</f>
        <v>649200</v>
      </c>
      <c r="J19" s="112">
        <f t="shared" ref="J19:J21" si="8">H19+I19</f>
        <v>649200</v>
      </c>
    </row>
    <row r="20" ht="35.25" customHeight="1">
      <c r="A20" s="108">
        <f>'01_C&amp;P'!A18</f>
        <v>45324</v>
      </c>
      <c r="B20" s="114" t="str">
        <f>'01_C&amp;P'!B18</f>
        <v>EXCAVACION Y RETIRO DE SUELO VEGETAL EXISTENTE (Escalones 20 cm de altura con pendiente de 5cm. Secotor de intertrabado/ garden block + contrapiso + tosca = 50 cm. Sector de Cantero 20 cm)</v>
      </c>
      <c r="C20" s="101" t="str">
        <f>'01_C&amp;P'!C18</f>
        <v>m³</v>
      </c>
      <c r="D20" s="110">
        <f>'01_C&amp;P'!D18</f>
        <v>1513.12</v>
      </c>
      <c r="E20" s="111">
        <f>'01_C&amp;P'!U18</f>
        <v>0</v>
      </c>
      <c r="F20" s="111">
        <f>'01_C&amp;P'!V18</f>
        <v>54804.08444</v>
      </c>
      <c r="G20" s="112">
        <f t="shared" si="5"/>
        <v>54804.08444</v>
      </c>
      <c r="H20" s="112">
        <f t="shared" si="6"/>
        <v>0</v>
      </c>
      <c r="I20" s="112">
        <f t="shared" si="7"/>
        <v>82925156.25</v>
      </c>
      <c r="J20" s="112">
        <f t="shared" si="8"/>
        <v>82925156.25</v>
      </c>
    </row>
    <row r="21" ht="25.5" customHeight="1">
      <c r="A21" s="108">
        <f>'01_C&amp;P'!A19</f>
        <v>45353</v>
      </c>
      <c r="B21" s="114" t="str">
        <f>'01_C&amp;P'!B19</f>
        <v>RELLENO, COMPACTACION Y NIVELACION CON SUELO SELECCIONADO TIPO A4 (En sectores de intertrabado y deck de cemento)</v>
      </c>
      <c r="C21" s="101" t="str">
        <f>'01_C&amp;P'!C19</f>
        <v>m³</v>
      </c>
      <c r="D21" s="110">
        <f>'01_C&amp;P'!D19</f>
        <v>278.991</v>
      </c>
      <c r="E21" s="111">
        <f>'01_C&amp;P'!U19</f>
        <v>57534.00647</v>
      </c>
      <c r="F21" s="111">
        <f>'01_C&amp;P'!V19</f>
        <v>58028.48479</v>
      </c>
      <c r="G21" s="112">
        <f t="shared" si="5"/>
        <v>115562.4913</v>
      </c>
      <c r="H21" s="112">
        <f t="shared" si="6"/>
        <v>16051470</v>
      </c>
      <c r="I21" s="112">
        <f t="shared" si="7"/>
        <v>16189425</v>
      </c>
      <c r="J21" s="112">
        <f t="shared" si="8"/>
        <v>32240895</v>
      </c>
    </row>
    <row r="22" ht="14.25" customHeight="1">
      <c r="A22" s="141" t="str">
        <f>'01_C&amp;P'!A20</f>
        <v>3- SOLADOS</v>
      </c>
      <c r="B22" s="89"/>
      <c r="C22" s="106" t="str">
        <f>'01_C&amp;P'!C20</f>
        <v/>
      </c>
      <c r="D22" s="107" t="str">
        <f>'01_C&amp;P'!D20</f>
        <v/>
      </c>
      <c r="E22" s="106" t="str">
        <f>'01_C&amp;P'!U20</f>
        <v/>
      </c>
      <c r="F22" s="106" t="str">
        <f>'01_C&amp;P'!V20</f>
        <v/>
      </c>
      <c r="G22" s="106"/>
      <c r="H22" s="106"/>
      <c r="I22" s="106"/>
      <c r="J22" s="106"/>
    </row>
    <row r="23" ht="14.25" customHeight="1">
      <c r="A23" s="108">
        <f>'01_C&amp;P'!A21</f>
        <v>45660</v>
      </c>
      <c r="B23" s="114" t="str">
        <f>'01_C&amp;P'!B21</f>
        <v>EJECUCION DE CONTRAPISO DE H8 EN VEREDA ATERRAZADA </v>
      </c>
      <c r="C23" s="101" t="str">
        <f>'01_C&amp;P'!C21</f>
        <v>m²</v>
      </c>
      <c r="D23" s="110">
        <f>'01_C&amp;P'!D21</f>
        <v>719.3</v>
      </c>
      <c r="E23" s="111">
        <f>'01_C&amp;P'!U21</f>
        <v>21587.97002</v>
      </c>
      <c r="F23" s="111">
        <f>'01_C&amp;P'!V21</f>
        <v>3553.767552</v>
      </c>
      <c r="G23" s="112">
        <f t="shared" ref="G23:G29" si="9">E23+F23</f>
        <v>25141.73757</v>
      </c>
      <c r="H23" s="112">
        <f t="shared" ref="H23:H29" si="10">E23*D23</f>
        <v>15528226.84</v>
      </c>
      <c r="I23" s="112">
        <f t="shared" ref="I23:I29" si="11">D23*F23</f>
        <v>2556225</v>
      </c>
      <c r="J23" s="112">
        <f t="shared" ref="J23:J29" si="12">H23+I23</f>
        <v>18084451.84</v>
      </c>
    </row>
    <row r="24" ht="14.25" customHeight="1">
      <c r="A24" s="108">
        <f>'01_C&amp;P'!A22</f>
        <v>45691</v>
      </c>
      <c r="B24" s="114" t="str">
        <f>'01_C&amp;P'!B22</f>
        <v>EJECUCION DE CONTRAPISO DE H8 EN VEREDA SOBRE LATERAL DE CALLE</v>
      </c>
      <c r="C24" s="101" t="str">
        <f>'01_C&amp;P'!C22</f>
        <v>m²</v>
      </c>
      <c r="D24" s="110">
        <f>'01_C&amp;P'!D22</f>
        <v>314</v>
      </c>
      <c r="E24" s="111">
        <f>'01_C&amp;P'!U22</f>
        <v>21587.97002</v>
      </c>
      <c r="F24" s="111">
        <f>'01_C&amp;P'!V22</f>
        <v>3553.767552</v>
      </c>
      <c r="G24" s="112">
        <f t="shared" si="9"/>
        <v>25141.73757</v>
      </c>
      <c r="H24" s="112">
        <f t="shared" si="10"/>
        <v>6778622.587</v>
      </c>
      <c r="I24" s="112">
        <f t="shared" si="11"/>
        <v>1115883.011</v>
      </c>
      <c r="J24" s="112">
        <f t="shared" si="12"/>
        <v>7894505.598</v>
      </c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</row>
    <row r="25" ht="14.25" customHeight="1">
      <c r="A25" s="108">
        <f>'01_C&amp;P'!A23</f>
        <v>45719</v>
      </c>
      <c r="B25" s="114" t="str">
        <f>'01_C&amp;P'!B23</f>
        <v>EJECUCION DE ESCALON DE HORMIGON ARMADO CURVO CON ZAPATA PARA CONTECION DE SUELO</v>
      </c>
      <c r="C25" s="101" t="str">
        <f>'01_C&amp;P'!C23</f>
        <v>m</v>
      </c>
      <c r="D25" s="110">
        <f>'01_C&amp;P'!D23</f>
        <v>435.5</v>
      </c>
      <c r="E25" s="111">
        <f>'01_C&amp;P'!U23</f>
        <v>26382.96423</v>
      </c>
      <c r="F25" s="111">
        <f>'01_C&amp;P'!V23</f>
        <v>45839.03559</v>
      </c>
      <c r="G25" s="112">
        <f t="shared" si="9"/>
        <v>72221.99983</v>
      </c>
      <c r="H25" s="112">
        <f t="shared" si="10"/>
        <v>11489780.92</v>
      </c>
      <c r="I25" s="112">
        <f t="shared" si="11"/>
        <v>19962900</v>
      </c>
      <c r="J25" s="112">
        <f t="shared" si="12"/>
        <v>31452680.92</v>
      </c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</row>
    <row r="26" ht="14.25" customHeight="1">
      <c r="A26" s="108">
        <f>'01_C&amp;P'!A24</f>
        <v>45750</v>
      </c>
      <c r="B26" s="114" t="str">
        <f>'01_C&amp;P'!B24</f>
        <v>CORDON PERIMETRAL DE 10X10 SOBRE LATERAL DE CALLE</v>
      </c>
      <c r="C26" s="101" t="str">
        <f>'01_C&amp;P'!C24</f>
        <v>m</v>
      </c>
      <c r="D26" s="110">
        <f>'01_C&amp;P'!D24</f>
        <v>156.1</v>
      </c>
      <c r="E26" s="111">
        <f>'01_C&amp;P'!U24</f>
        <v>4773.883721</v>
      </c>
      <c r="F26" s="111">
        <f>'01_C&amp;P'!V24</f>
        <v>18325.03203</v>
      </c>
      <c r="G26" s="112">
        <f t="shared" si="9"/>
        <v>23098.91575</v>
      </c>
      <c r="H26" s="112">
        <f t="shared" si="10"/>
        <v>745203.2489</v>
      </c>
      <c r="I26" s="112">
        <f t="shared" si="11"/>
        <v>2860537.5</v>
      </c>
      <c r="J26" s="112">
        <f t="shared" si="12"/>
        <v>3605740.749</v>
      </c>
    </row>
    <row r="27" ht="14.25" customHeight="1">
      <c r="A27" s="108">
        <f>'01_C&amp;P'!A25</f>
        <v>45780</v>
      </c>
      <c r="B27" s="114" t="str">
        <f>'01_C&amp;P'!B25</f>
        <v>COLOCACION DE GARDEN BLOCK</v>
      </c>
      <c r="C27" s="101" t="str">
        <f>'01_C&amp;P'!C25</f>
        <v>m²</v>
      </c>
      <c r="D27" s="110">
        <f>'01_C&amp;P'!D25</f>
        <v>427</v>
      </c>
      <c r="E27" s="111">
        <f>'01_C&amp;P'!U25</f>
        <v>35876.63672</v>
      </c>
      <c r="F27" s="111">
        <f>'01_C&amp;P'!V25</f>
        <v>17151.72717</v>
      </c>
      <c r="G27" s="112">
        <f t="shared" si="9"/>
        <v>53028.36389</v>
      </c>
      <c r="H27" s="112">
        <f t="shared" si="10"/>
        <v>15319323.88</v>
      </c>
      <c r="I27" s="112">
        <f t="shared" si="11"/>
        <v>7323787.5</v>
      </c>
      <c r="J27" s="112">
        <f t="shared" si="12"/>
        <v>22643111.38</v>
      </c>
    </row>
    <row r="28" ht="14.25" customHeight="1">
      <c r="A28" s="108">
        <f>'01_C&amp;P'!A26</f>
        <v>45811</v>
      </c>
      <c r="B28" s="114" t="str">
        <f>'01_C&amp;P'!B26</f>
        <v>COLOCACION DE BLOQUES INTERTRABADO DE CEMENTO</v>
      </c>
      <c r="C28" s="101" t="str">
        <f>'01_C&amp;P'!C26</f>
        <v>m²</v>
      </c>
      <c r="D28" s="110">
        <f>'01_C&amp;P'!D26</f>
        <v>1006</v>
      </c>
      <c r="E28" s="111">
        <f>'01_C&amp;P'!U26</f>
        <v>59142.94575</v>
      </c>
      <c r="F28" s="111">
        <f>'01_C&amp;P'!V26</f>
        <v>16092.86779</v>
      </c>
      <c r="G28" s="112">
        <f t="shared" si="9"/>
        <v>75235.81354</v>
      </c>
      <c r="H28" s="112">
        <f t="shared" si="10"/>
        <v>59497803.43</v>
      </c>
      <c r="I28" s="112">
        <f t="shared" si="11"/>
        <v>16189425</v>
      </c>
      <c r="J28" s="112">
        <f t="shared" si="12"/>
        <v>75687228.43</v>
      </c>
    </row>
    <row r="29" ht="14.25" customHeight="1">
      <c r="A29" s="108">
        <f>'01_C&amp;P'!A27</f>
        <v>45841</v>
      </c>
      <c r="B29" s="114" t="str">
        <f>'01_C&amp;P'!B27</f>
        <v>COLOCACION DE PISO DECK DE CEMENTO</v>
      </c>
      <c r="C29" s="101" t="str">
        <f>'01_C&amp;P'!C27</f>
        <v>m²</v>
      </c>
      <c r="D29" s="110">
        <f>'01_C&amp;P'!D27</f>
        <v>27.3</v>
      </c>
      <c r="E29" s="111">
        <f>'01_C&amp;P'!U27</f>
        <v>59799.32601</v>
      </c>
      <c r="F29" s="111">
        <f>'01_C&amp;P'!V27</f>
        <v>14119.50549</v>
      </c>
      <c r="G29" s="112">
        <f t="shared" si="9"/>
        <v>73918.8315</v>
      </c>
      <c r="H29" s="112">
        <f t="shared" si="10"/>
        <v>1632521.6</v>
      </c>
      <c r="I29" s="112">
        <f t="shared" si="11"/>
        <v>385462.5</v>
      </c>
      <c r="J29" s="112">
        <f t="shared" si="12"/>
        <v>2017984.1</v>
      </c>
    </row>
    <row r="30" ht="14.25" customHeight="1">
      <c r="A30" s="141" t="str">
        <f>'01_C&amp;P'!A28</f>
        <v>4- INSTALACIONES</v>
      </c>
      <c r="B30" s="89"/>
      <c r="C30" s="106" t="str">
        <f>'01_C&amp;P'!C28</f>
        <v/>
      </c>
      <c r="D30" s="107" t="str">
        <f>'01_C&amp;P'!D28</f>
        <v/>
      </c>
      <c r="E30" s="106" t="str">
        <f>'01_C&amp;P'!U28</f>
        <v/>
      </c>
      <c r="F30" s="106" t="str">
        <f>'01_C&amp;P'!V28</f>
        <v/>
      </c>
      <c r="G30" s="106"/>
      <c r="H30" s="106"/>
      <c r="I30" s="106"/>
      <c r="J30" s="106"/>
    </row>
    <row r="31" ht="14.25" customHeight="1">
      <c r="A31" s="108">
        <f>'01_C&amp;P'!A29</f>
        <v>45661</v>
      </c>
      <c r="B31" s="114" t="str">
        <f>'01_C&amp;P'!B29</f>
        <v>INSTALACION DE RIEGO. (Incluye manguera, abrazaderas, aspesrores)</v>
      </c>
      <c r="C31" s="101" t="str">
        <f>'01_C&amp;P'!C29</f>
        <v>m²</v>
      </c>
      <c r="D31" s="110">
        <f>'01_C&amp;P'!D29</f>
        <v>2060</v>
      </c>
      <c r="E31" s="111">
        <f>'01_C&amp;P'!U29</f>
        <v>1437.1665</v>
      </c>
      <c r="F31" s="111">
        <f>'01_C&amp;P'!V29</f>
        <v>1521.5625</v>
      </c>
      <c r="G31" s="112">
        <f t="shared" ref="G31:G36" si="13">E31+F31</f>
        <v>2958.729</v>
      </c>
      <c r="H31" s="112">
        <f t="shared" ref="H31:H36" si="14">E31*D31</f>
        <v>2960562.99</v>
      </c>
      <c r="I31" s="112">
        <f t="shared" ref="I31:I36" si="15">D31*F31</f>
        <v>3134418.75</v>
      </c>
      <c r="J31" s="112">
        <f t="shared" ref="J31:J36" si="16">H31+I31</f>
        <v>6094981.74</v>
      </c>
    </row>
    <row r="32" ht="14.25" customHeight="1">
      <c r="A32" s="108" t="str">
        <f>'01_C&amp;P'!A30</f>
        <v>4.1-2</v>
      </c>
      <c r="B32" s="114" t="str">
        <f>'01_C&amp;P'!B30</f>
        <v>PERFORACION CON BOMBA DE RIEGO DE UN 1/2 CABALLO + CISTERNA DE 500 Lts</v>
      </c>
      <c r="C32" s="101" t="str">
        <f>'01_C&amp;P'!C30</f>
        <v>gl</v>
      </c>
      <c r="D32" s="110">
        <f>'01_C&amp;P'!D30</f>
        <v>1</v>
      </c>
      <c r="E32" s="111">
        <f>'01_C&amp;P'!U30</f>
        <v>1742666.285</v>
      </c>
      <c r="F32" s="111">
        <f>'01_C&amp;P'!V30</f>
        <v>5680500</v>
      </c>
      <c r="G32" s="112">
        <f t="shared" si="13"/>
        <v>7423166.285</v>
      </c>
      <c r="H32" s="112">
        <f t="shared" si="14"/>
        <v>1742666.285</v>
      </c>
      <c r="I32" s="112">
        <f t="shared" si="15"/>
        <v>5680500</v>
      </c>
      <c r="J32" s="112">
        <f t="shared" si="16"/>
        <v>7423166.285</v>
      </c>
    </row>
    <row r="33" ht="14.25" customHeight="1">
      <c r="A33" s="108">
        <f>'01_C&amp;P'!A31</f>
        <v>45692</v>
      </c>
      <c r="B33" s="114" t="str">
        <f>'01_C&amp;P'!B31</f>
        <v>INSTALACION DE CANILLAS DE SERVICIO (no incluye materiales ni mano de caños)</v>
      </c>
      <c r="C33" s="101" t="str">
        <f>'01_C&amp;P'!C31</f>
        <v>unid</v>
      </c>
      <c r="D33" s="110">
        <f>'01_C&amp;P'!D31</f>
        <v>4</v>
      </c>
      <c r="E33" s="111">
        <f>'01_C&amp;P'!U31</f>
        <v>18664.5</v>
      </c>
      <c r="F33" s="111">
        <f>'01_C&amp;P'!V31</f>
        <v>40575</v>
      </c>
      <c r="G33" s="112">
        <f t="shared" si="13"/>
        <v>59239.5</v>
      </c>
      <c r="H33" s="112">
        <f t="shared" si="14"/>
        <v>74658</v>
      </c>
      <c r="I33" s="112">
        <f t="shared" si="15"/>
        <v>162300</v>
      </c>
      <c r="J33" s="112">
        <f t="shared" si="16"/>
        <v>236958</v>
      </c>
    </row>
    <row r="34" ht="14.25" customHeight="1">
      <c r="A34" s="108">
        <f>'01_C&amp;P'!A32</f>
        <v>45720</v>
      </c>
      <c r="B34" s="114" t="str">
        <f>'01_C&amp;P'!B32</f>
        <v>BOCAS DE ILUMINACION. (No incluye artefactos)</v>
      </c>
      <c r="C34" s="101" t="str">
        <f>'01_C&amp;P'!C32</f>
        <v>unid</v>
      </c>
      <c r="D34" s="110">
        <f>'01_C&amp;P'!D32</f>
        <v>80</v>
      </c>
      <c r="E34" s="111">
        <f>'01_C&amp;P'!U32</f>
        <v>54749.2</v>
      </c>
      <c r="F34" s="111">
        <f>'01_C&amp;P'!V32</f>
        <v>131868.75</v>
      </c>
      <c r="G34" s="112">
        <f t="shared" si="13"/>
        <v>186617.95</v>
      </c>
      <c r="H34" s="112">
        <f t="shared" si="14"/>
        <v>4379936</v>
      </c>
      <c r="I34" s="112">
        <f t="shared" si="15"/>
        <v>10549500</v>
      </c>
      <c r="J34" s="112">
        <f t="shared" si="16"/>
        <v>14929436</v>
      </c>
    </row>
    <row r="35" ht="14.25" customHeight="1">
      <c r="A35" s="108">
        <f>'01_C&amp;P'!A33</f>
        <v>45751</v>
      </c>
      <c r="B35" s="114" t="str">
        <f>'01_C&amp;P'!B33</f>
        <v>ILUMINACION ENTIERRO DE CABLE SUBTERRANEO CUBIERTO CON LADRILLOS Y MALLA (no incluye empalmes)</v>
      </c>
      <c r="C35" s="101" t="str">
        <f>'01_C&amp;P'!C33</f>
        <v>m</v>
      </c>
      <c r="D35" s="110">
        <f>'01_C&amp;P'!D33</f>
        <v>250</v>
      </c>
      <c r="E35" s="111">
        <f>'01_C&amp;P'!U33</f>
        <v>4807.9752</v>
      </c>
      <c r="F35" s="111">
        <f>'01_C&amp;P'!V33</f>
        <v>8926.5</v>
      </c>
      <c r="G35" s="112">
        <f t="shared" si="13"/>
        <v>13734.4752</v>
      </c>
      <c r="H35" s="112">
        <f t="shared" si="14"/>
        <v>1201993.8</v>
      </c>
      <c r="I35" s="112">
        <f t="shared" si="15"/>
        <v>2231625</v>
      </c>
      <c r="J35" s="112">
        <f t="shared" si="16"/>
        <v>3433618.8</v>
      </c>
    </row>
    <row r="36" ht="14.25" customHeight="1">
      <c r="A36" s="108">
        <f>'01_C&amp;P'!A34</f>
        <v>45781</v>
      </c>
      <c r="B36" s="114" t="str">
        <f>'01_C&amp;P'!B34</f>
        <v>INSTALACION ELECTRICA DE TABLERO Y PILAR</v>
      </c>
      <c r="C36" s="101" t="str">
        <f>'01_C&amp;P'!C34</f>
        <v>unid</v>
      </c>
      <c r="D36" s="110">
        <f>'01_C&amp;P'!D34</f>
        <v>1</v>
      </c>
      <c r="E36" s="111">
        <f>'01_C&amp;P'!U34</f>
        <v>2488600</v>
      </c>
      <c r="F36" s="111">
        <f>'01_C&amp;P'!V34</f>
        <v>2028750</v>
      </c>
      <c r="G36" s="112">
        <f t="shared" si="13"/>
        <v>4517350</v>
      </c>
      <c r="H36" s="112">
        <f t="shared" si="14"/>
        <v>2488600</v>
      </c>
      <c r="I36" s="112">
        <f t="shared" si="15"/>
        <v>2028750</v>
      </c>
      <c r="J36" s="112">
        <f t="shared" si="16"/>
        <v>4517350</v>
      </c>
    </row>
    <row r="37" ht="14.25" customHeight="1">
      <c r="A37" s="141" t="str">
        <f>'01_C&amp;P'!A35</f>
        <v>5- CANTEROS</v>
      </c>
      <c r="B37" s="89"/>
      <c r="C37" s="106" t="str">
        <f>'01_C&amp;P'!C35</f>
        <v/>
      </c>
      <c r="D37" s="107" t="str">
        <f>'01_C&amp;P'!D35</f>
        <v/>
      </c>
      <c r="E37" s="106" t="str">
        <f>'01_C&amp;P'!U35</f>
        <v/>
      </c>
      <c r="F37" s="106" t="str">
        <f>'01_C&amp;P'!V35</f>
        <v/>
      </c>
      <c r="G37" s="106"/>
      <c r="H37" s="106"/>
      <c r="I37" s="106"/>
      <c r="J37" s="106"/>
    </row>
    <row r="38" ht="14.25" customHeight="1">
      <c r="A38" s="108">
        <f>'01_C&amp;P'!A36</f>
        <v>45662</v>
      </c>
      <c r="B38" s="114" t="str">
        <f>'01_C&amp;P'!B36</f>
        <v>CANTEROS (A razon de redondear el presupuesto se toma una medida y cantidad estimada de 4,5x2m  h 40cm)</v>
      </c>
      <c r="C38" s="101" t="str">
        <f>'01_C&amp;P'!C36</f>
        <v>unid</v>
      </c>
      <c r="D38" s="110">
        <f>'01_C&amp;P'!D36</f>
        <v>58</v>
      </c>
      <c r="E38" s="111">
        <f>'01_C&amp;P'!U36</f>
        <v>761468.6931</v>
      </c>
      <c r="F38" s="111">
        <f>'01_C&amp;P'!V36</f>
        <v>433033.1897</v>
      </c>
      <c r="G38" s="112">
        <f>E38+F38</f>
        <v>1194501.883</v>
      </c>
      <c r="H38" s="112">
        <f>E38*D38</f>
        <v>44165184.2</v>
      </c>
      <c r="I38" s="112">
        <f>D38*F38</f>
        <v>25115925</v>
      </c>
      <c r="J38" s="112">
        <f>H38+I38</f>
        <v>69281109.2</v>
      </c>
    </row>
    <row r="39" ht="42.75" customHeight="1">
      <c r="B39" s="117"/>
      <c r="E39" s="120"/>
      <c r="F39" s="120"/>
      <c r="G39" s="120"/>
      <c r="H39" s="142">
        <f t="shared" ref="H39:J39" si="17">SUM(H11:H38)</f>
        <v>184056553.8</v>
      </c>
      <c r="I39" s="142">
        <f t="shared" si="17"/>
        <v>225153721</v>
      </c>
      <c r="J39" s="142">
        <f t="shared" si="17"/>
        <v>409210274.8</v>
      </c>
    </row>
    <row r="40" ht="14.25" customHeight="1">
      <c r="A40" s="143" t="s">
        <v>746</v>
      </c>
      <c r="B40" s="88"/>
      <c r="C40" s="89"/>
    </row>
    <row r="41" ht="14.25" customHeight="1">
      <c r="A41" s="108">
        <v>45663.0</v>
      </c>
      <c r="B41" s="114" t="s">
        <v>747</v>
      </c>
      <c r="C41" s="142">
        <f>J39*0.1</f>
        <v>40921027.48</v>
      </c>
      <c r="H41" s="144" t="s">
        <v>748</v>
      </c>
      <c r="I41" s="145"/>
      <c r="J41" s="146">
        <f>SUM(J39+C41)</f>
        <v>450131302.3</v>
      </c>
    </row>
    <row r="42" ht="14.25" customHeight="1"/>
    <row r="43" ht="14.25" customHeight="1">
      <c r="A43" s="77" t="s">
        <v>640</v>
      </c>
      <c r="B43" s="78" t="s">
        <v>641</v>
      </c>
      <c r="C43" s="77" t="s">
        <v>3</v>
      </c>
      <c r="D43" s="77" t="s">
        <v>642</v>
      </c>
      <c r="E43" s="147" t="s">
        <v>646</v>
      </c>
      <c r="F43" s="84"/>
      <c r="N43" s="122"/>
    </row>
    <row r="44" ht="14.25" customHeight="1">
      <c r="A44" s="85"/>
      <c r="B44" s="85"/>
      <c r="C44" s="85"/>
      <c r="D44" s="85"/>
      <c r="E44" s="148" t="s">
        <v>749</v>
      </c>
      <c r="F44" s="77" t="s">
        <v>750</v>
      </c>
      <c r="N44" s="122"/>
    </row>
    <row r="45" ht="14.25" customHeight="1">
      <c r="A45" s="95"/>
      <c r="B45" s="95"/>
      <c r="C45" s="95"/>
      <c r="D45" s="95"/>
      <c r="E45" s="149"/>
      <c r="F45" s="95"/>
      <c r="N45" s="122"/>
    </row>
    <row r="46" ht="14.25" customHeight="1">
      <c r="A46" s="143" t="s">
        <v>751</v>
      </c>
      <c r="B46" s="89"/>
      <c r="C46" s="106" t="str">
        <f>'01_C&amp;P'!C39</f>
        <v/>
      </c>
      <c r="D46" s="107" t="str">
        <f>'01_C&amp;P'!D39</f>
        <v/>
      </c>
      <c r="E46" s="150" t="str">
        <f>'01_C&amp;P'!U39</f>
        <v/>
      </c>
      <c r="F46" s="106"/>
      <c r="N46" s="122"/>
    </row>
    <row r="47" ht="14.25" customHeight="1">
      <c r="A47" s="151" t="s">
        <v>752</v>
      </c>
      <c r="B47" s="114" t="s">
        <v>753</v>
      </c>
      <c r="C47" s="101" t="s">
        <v>675</v>
      </c>
      <c r="D47" s="110">
        <v>150.0</v>
      </c>
      <c r="E47" s="111">
        <f t="shared" ref="E47:E55" si="18">F47/D47</f>
        <v>222984</v>
      </c>
      <c r="F47" s="152">
        <f>24776000*1.35</f>
        <v>33447600</v>
      </c>
      <c r="N47" s="122"/>
    </row>
    <row r="48" ht="14.25" customHeight="1">
      <c r="A48" s="151" t="s">
        <v>754</v>
      </c>
      <c r="B48" s="114" t="s">
        <v>755</v>
      </c>
      <c r="C48" s="101" t="s">
        <v>675</v>
      </c>
      <c r="D48" s="110">
        <v>150.0</v>
      </c>
      <c r="E48" s="111">
        <f t="shared" si="18"/>
        <v>280944</v>
      </c>
      <c r="F48" s="152">
        <f>31216000*1.35</f>
        <v>42141600</v>
      </c>
      <c r="N48" s="122"/>
    </row>
    <row r="49" ht="14.25" customHeight="1">
      <c r="A49" s="151" t="s">
        <v>756</v>
      </c>
      <c r="B49" s="114" t="s">
        <v>757</v>
      </c>
      <c r="C49" s="101" t="s">
        <v>675</v>
      </c>
      <c r="D49" s="110">
        <v>150.0</v>
      </c>
      <c r="E49" s="111">
        <f t="shared" si="18"/>
        <v>383427</v>
      </c>
      <c r="F49" s="152">
        <f>42603000*1.35</f>
        <v>57514050</v>
      </c>
      <c r="N49" s="122"/>
    </row>
    <row r="50" ht="14.25" customHeight="1">
      <c r="A50" s="151" t="s">
        <v>758</v>
      </c>
      <c r="B50" s="114" t="s">
        <v>759</v>
      </c>
      <c r="C50" s="101" t="s">
        <v>675</v>
      </c>
      <c r="D50" s="110">
        <v>150.0</v>
      </c>
      <c r="E50" s="111">
        <f t="shared" si="18"/>
        <v>479286</v>
      </c>
      <c r="F50" s="152">
        <f>53254000*1.35</f>
        <v>71892900</v>
      </c>
      <c r="N50" s="122"/>
    </row>
    <row r="51" ht="14.25" customHeight="1">
      <c r="A51" s="151" t="s">
        <v>760</v>
      </c>
      <c r="B51" s="114" t="s">
        <v>761</v>
      </c>
      <c r="C51" s="101" t="s">
        <v>675</v>
      </c>
      <c r="D51" s="110">
        <v>150.0</v>
      </c>
      <c r="E51" s="111">
        <f t="shared" si="18"/>
        <v>563796</v>
      </c>
      <c r="F51" s="152">
        <f>62644000*1.35</f>
        <v>84569400</v>
      </c>
      <c r="N51" s="122"/>
    </row>
    <row r="52" ht="14.25" customHeight="1">
      <c r="A52" s="153" t="s">
        <v>762</v>
      </c>
      <c r="B52" s="114" t="s">
        <v>763</v>
      </c>
      <c r="C52" s="101" t="s">
        <v>675</v>
      </c>
      <c r="D52" s="110">
        <v>566.0</v>
      </c>
      <c r="E52" s="111">
        <f t="shared" si="18"/>
        <v>214621.3781</v>
      </c>
      <c r="F52" s="154">
        <f>89982000*1.35</f>
        <v>121475700</v>
      </c>
    </row>
    <row r="53" ht="14.25" customHeight="1">
      <c r="A53" s="153" t="s">
        <v>764</v>
      </c>
      <c r="B53" s="114" t="s">
        <v>765</v>
      </c>
      <c r="C53" s="101" t="s">
        <v>675</v>
      </c>
      <c r="D53" s="110">
        <v>566.0</v>
      </c>
      <c r="E53" s="111">
        <f t="shared" si="18"/>
        <v>269329.7703</v>
      </c>
      <c r="F53" s="154">
        <f>112919000*1.35</f>
        <v>152440650</v>
      </c>
    </row>
    <row r="54" ht="14.25" customHeight="1">
      <c r="A54" s="153" t="s">
        <v>766</v>
      </c>
      <c r="B54" s="114" t="s">
        <v>767</v>
      </c>
      <c r="C54" s="101" t="s">
        <v>675</v>
      </c>
      <c r="D54" s="110">
        <v>566.0</v>
      </c>
      <c r="E54" s="111">
        <f t="shared" si="18"/>
        <v>366861.3074</v>
      </c>
      <c r="F54" s="154">
        <f>153810000*1.35</f>
        <v>207643500</v>
      </c>
    </row>
    <row r="55" ht="14.25" customHeight="1">
      <c r="A55" s="153" t="s">
        <v>768</v>
      </c>
      <c r="B55" s="114" t="s">
        <v>769</v>
      </c>
      <c r="C55" s="101" t="s">
        <v>675</v>
      </c>
      <c r="D55" s="110">
        <v>566.0</v>
      </c>
      <c r="E55" s="111">
        <f t="shared" si="18"/>
        <v>458577.8269</v>
      </c>
      <c r="F55" s="154">
        <f>192263000*1.35</f>
        <v>259555050</v>
      </c>
    </row>
    <row r="56" ht="14.25" customHeight="1">
      <c r="B56" s="74"/>
    </row>
    <row r="57" ht="14.25" customHeight="1">
      <c r="B57" s="74"/>
    </row>
    <row r="58" ht="14.25" customHeight="1">
      <c r="B58" s="74"/>
    </row>
    <row r="59" ht="14.25" customHeight="1">
      <c r="B59" s="74"/>
    </row>
    <row r="60" ht="14.25" customHeight="1">
      <c r="A60" s="155" t="s">
        <v>770</v>
      </c>
      <c r="B60" s="156"/>
      <c r="C60" s="156"/>
      <c r="D60" s="156"/>
      <c r="E60" s="156"/>
      <c r="F60" s="156"/>
      <c r="G60" s="156"/>
      <c r="H60" s="156"/>
      <c r="I60" s="156"/>
      <c r="J60" s="157"/>
    </row>
    <row r="61" ht="14.25" customHeight="1">
      <c r="A61" s="158"/>
      <c r="B61" s="3" t="s">
        <v>771</v>
      </c>
      <c r="C61" s="3"/>
      <c r="D61" s="3"/>
      <c r="E61" s="3"/>
      <c r="F61" s="3"/>
      <c r="G61" s="3"/>
      <c r="H61" s="3"/>
      <c r="I61" s="3"/>
      <c r="J61" s="70"/>
    </row>
    <row r="62" ht="14.25" customHeight="1">
      <c r="A62" s="158"/>
      <c r="B62" s="3" t="s">
        <v>772</v>
      </c>
      <c r="C62" s="3"/>
      <c r="D62" s="3"/>
      <c r="E62" s="3"/>
      <c r="F62" s="3"/>
      <c r="G62" s="3"/>
      <c r="H62" s="3"/>
      <c r="I62" s="3"/>
      <c r="J62" s="70"/>
    </row>
    <row r="63" ht="14.25" customHeight="1">
      <c r="A63" s="158"/>
      <c r="B63" s="3" t="s">
        <v>773</v>
      </c>
      <c r="C63" s="3"/>
      <c r="D63" s="3"/>
      <c r="E63" s="3"/>
      <c r="F63" s="3"/>
      <c r="G63" s="3"/>
      <c r="H63" s="3"/>
      <c r="I63" s="3"/>
      <c r="J63" s="70"/>
    </row>
    <row r="64" ht="14.25" customHeight="1">
      <c r="A64" s="158"/>
      <c r="B64" s="3" t="s">
        <v>774</v>
      </c>
      <c r="C64" s="3"/>
      <c r="D64" s="3"/>
      <c r="E64" s="3"/>
      <c r="F64" s="3"/>
      <c r="G64" s="3"/>
      <c r="H64" s="3"/>
      <c r="I64" s="3"/>
      <c r="J64" s="70"/>
    </row>
    <row r="65" ht="14.25" customHeight="1">
      <c r="A65" s="158"/>
      <c r="B65" s="3" t="s">
        <v>775</v>
      </c>
      <c r="C65" s="3"/>
      <c r="D65" s="3"/>
      <c r="E65" s="3"/>
      <c r="F65" s="3"/>
      <c r="G65" s="3"/>
      <c r="H65" s="3"/>
      <c r="I65" s="3"/>
      <c r="J65" s="70"/>
    </row>
    <row r="66" ht="14.25" customHeight="1">
      <c r="A66" s="159"/>
      <c r="B66" s="61"/>
      <c r="C66" s="61"/>
      <c r="D66" s="61"/>
      <c r="E66" s="61"/>
      <c r="F66" s="61"/>
      <c r="G66" s="61"/>
      <c r="H66" s="61"/>
      <c r="I66" s="61"/>
      <c r="J66" s="160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28" t="s">
        <v>776</v>
      </c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161" t="s">
        <v>777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22">
    <mergeCell ref="A7:A9"/>
    <mergeCell ref="B7:B9"/>
    <mergeCell ref="C7:C9"/>
    <mergeCell ref="D7:D9"/>
    <mergeCell ref="E7:J7"/>
    <mergeCell ref="E8:G8"/>
    <mergeCell ref="H8:J8"/>
    <mergeCell ref="A43:A45"/>
    <mergeCell ref="B43:B45"/>
    <mergeCell ref="C43:C45"/>
    <mergeCell ref="D43:D45"/>
    <mergeCell ref="E43:F43"/>
    <mergeCell ref="E44:E45"/>
    <mergeCell ref="F44:F45"/>
    <mergeCell ref="A46:B46"/>
    <mergeCell ref="A10:B10"/>
    <mergeCell ref="A18:B18"/>
    <mergeCell ref="A22:B22"/>
    <mergeCell ref="A30:B30"/>
    <mergeCell ref="A37:B37"/>
    <mergeCell ref="A40:C40"/>
    <mergeCell ref="H41:I41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73" t="str">
        <f>'01_C&amp;P'!A1</f>
        <v>NOMBRE DE LA OBRA</v>
      </c>
      <c r="B1" s="73"/>
      <c r="C1" s="73"/>
      <c r="G1" s="3"/>
    </row>
    <row r="2" ht="14.25" customHeight="1">
      <c r="G2" s="3"/>
    </row>
    <row r="3" ht="23.25" customHeight="1">
      <c r="A3" s="162">
        <f>'01_C&amp;P'!A18</f>
        <v>45324</v>
      </c>
      <c r="B3" s="163" t="str">
        <f>IF($A3=0,"",VLOOKUP($A3,'01_C&amp;P'!$A$9:$D$91,2,FALSE))</f>
        <v>EXCAVACION Y RETIRO DE SUELO VEGETAL EXISTENTE (Escalones 20 cm de altura con pendiente de 5cm. Secotor de intertrabado/ garden block + contrapiso + tosca = 50 cm. Sector de Cantero 20 cm)</v>
      </c>
      <c r="C3" s="164"/>
      <c r="D3" s="164"/>
      <c r="E3" s="164"/>
      <c r="F3" s="164"/>
      <c r="G3" s="165"/>
      <c r="H3" s="166">
        <f>IF($A3=0,"",VLOOKUP($A3,'01_C&amp;P'!$A$9:$D$91,4,FALSE))</f>
        <v>1513.12</v>
      </c>
      <c r="I3" s="167" t="str">
        <f>IF($A3=0,"",VLOOKUP($A3,'01_C&amp;P'!$A$9:$D$91,3,FALSE))</f>
        <v>m³</v>
      </c>
    </row>
    <row r="4" ht="14.25" customHeight="1">
      <c r="G4" s="3"/>
      <c r="L4" s="123">
        <f>H3*1.5/6</f>
        <v>378.28</v>
      </c>
    </row>
    <row r="5" ht="14.25" customHeight="1">
      <c r="A5" s="168" t="s">
        <v>0</v>
      </c>
      <c r="B5" s="76"/>
      <c r="C5" s="76"/>
      <c r="D5" s="76"/>
      <c r="E5" s="76"/>
      <c r="F5" s="76"/>
      <c r="G5" s="2"/>
      <c r="H5" s="76"/>
      <c r="I5" s="76"/>
    </row>
    <row r="6" ht="14.25" customHeight="1">
      <c r="A6" s="169" t="s">
        <v>778</v>
      </c>
      <c r="B6" s="169" t="s">
        <v>779</v>
      </c>
      <c r="C6" s="169" t="s">
        <v>780</v>
      </c>
      <c r="D6" s="170" t="s">
        <v>781</v>
      </c>
      <c r="E6" s="164"/>
      <c r="F6" s="169" t="s">
        <v>782</v>
      </c>
      <c r="G6" s="4" t="s">
        <v>783</v>
      </c>
      <c r="H6" s="169" t="s">
        <v>784</v>
      </c>
      <c r="I6" s="169" t="s">
        <v>785</v>
      </c>
      <c r="L6" s="127">
        <f>H3/12</f>
        <v>126.0933333</v>
      </c>
    </row>
    <row r="7" ht="14.25" customHeight="1">
      <c r="A7" s="171"/>
      <c r="B7" s="74" t="str">
        <f>IF($A7=0,"",VLOOKUP($A7,'00_Mat'!$A$4:$J$1136,2,FALSE))</f>
        <v/>
      </c>
      <c r="C7" s="74" t="str">
        <f>IF($A7=0,"",VLOOKUP($A7,'00_Mat'!$A$4:$J$1136,3,FALSE))</f>
        <v/>
      </c>
      <c r="D7" s="172"/>
      <c r="E7" s="171"/>
      <c r="F7" s="173"/>
      <c r="G7" s="174">
        <f t="shared" ref="G7:G18" si="1">ROUNDUP((D7+(D7*F7)),0)</f>
        <v>0</v>
      </c>
      <c r="H7" s="120" t="str">
        <f>IF($A7=0,"",VLOOKUP($A7,'00_Mat'!$A$4:$J$1136,5,FALSE))</f>
        <v/>
      </c>
      <c r="I7" s="120">
        <f>G7*H7</f>
        <v>0</v>
      </c>
    </row>
    <row r="8" ht="14.25" customHeight="1">
      <c r="A8" s="171"/>
      <c r="B8" s="74" t="str">
        <f>IF($A8=0,"",VLOOKUP($A8,'00_Mat'!$A$4:$J$1136,2,FALSE))</f>
        <v/>
      </c>
      <c r="C8" s="74" t="str">
        <f>IF($A8=0,"",VLOOKUP($A8,'00_Mat'!$A$4:$J$1136,3,FALSE))</f>
        <v/>
      </c>
      <c r="D8" s="172"/>
      <c r="E8" s="171"/>
      <c r="F8" s="173"/>
      <c r="G8" s="174">
        <f t="shared" si="1"/>
        <v>0</v>
      </c>
      <c r="H8" s="120" t="str">
        <f>IF($A8=0,"",VLOOKUP($A8,'00_Mat'!$A$4:$J$1136,5,FALSE))</f>
        <v/>
      </c>
      <c r="I8" s="120"/>
    </row>
    <row r="9" ht="14.25" customHeight="1">
      <c r="A9" s="171"/>
      <c r="B9" s="74" t="str">
        <f>IF($A9=0,"",VLOOKUP($A9,'00_Mat'!$A$4:$J$1136,2,FALSE))</f>
        <v/>
      </c>
      <c r="C9" s="74" t="str">
        <f>IF($A9=0,"",VLOOKUP($A9,'00_Mat'!$A$4:$J$1136,3,FALSE))</f>
        <v/>
      </c>
      <c r="D9" s="171"/>
      <c r="E9" s="171"/>
      <c r="F9" s="173"/>
      <c r="G9" s="174">
        <f t="shared" si="1"/>
        <v>0</v>
      </c>
      <c r="H9" s="120" t="str">
        <f>IF($A9=0,"",VLOOKUP($A9,'00_Mat'!$A$4:$J$1136,5,FALSE))</f>
        <v/>
      </c>
      <c r="I9" s="120"/>
    </row>
    <row r="10" ht="14.25" customHeight="1">
      <c r="A10" s="171"/>
      <c r="B10" s="74" t="str">
        <f>IF($A10=0,"",VLOOKUP($A10,'00_Mat'!$A$4:$J$1136,2,FALSE))</f>
        <v/>
      </c>
      <c r="C10" s="74" t="str">
        <f>IF($A10=0,"",VLOOKUP($A10,'00_Mat'!$A$4:$J$1136,3,FALSE))</f>
        <v/>
      </c>
      <c r="D10" s="171"/>
      <c r="E10" s="171"/>
      <c r="F10" s="173"/>
      <c r="G10" s="174">
        <f t="shared" si="1"/>
        <v>0</v>
      </c>
      <c r="H10" s="120" t="str">
        <f>IF($A10=0,"",VLOOKUP($A10,'00_Mat'!$A$4:$J$1136,5,FALSE))</f>
        <v/>
      </c>
      <c r="I10" s="120"/>
    </row>
    <row r="11" ht="14.25" customHeight="1">
      <c r="A11" s="171"/>
      <c r="B11" s="74" t="str">
        <f>IF($A11=0,"",VLOOKUP($A11,'00_Mat'!$A$4:$J$1136,2,FALSE))</f>
        <v/>
      </c>
      <c r="C11" s="74" t="str">
        <f>IF($A11=0,"",VLOOKUP($A11,'00_Mat'!$A$4:$J$1136,3,FALSE))</f>
        <v/>
      </c>
      <c r="D11" s="171"/>
      <c r="E11" s="171"/>
      <c r="F11" s="173"/>
      <c r="G11" s="174">
        <f t="shared" si="1"/>
        <v>0</v>
      </c>
      <c r="H11" s="120" t="str">
        <f>IF($A11=0,"",VLOOKUP($A11,'00_Mat'!$A$4:$J$1136,5,FALSE))</f>
        <v/>
      </c>
      <c r="I11" s="120"/>
    </row>
    <row r="12" ht="14.25" customHeight="1">
      <c r="A12" s="171"/>
      <c r="B12" s="74" t="str">
        <f>IF($A12=0,"",VLOOKUP($A12,'00_Mat'!$A$4:$J$1136,2,FALSE))</f>
        <v/>
      </c>
      <c r="C12" s="74" t="str">
        <f>IF($A12=0,"",VLOOKUP($A12,'00_Mat'!$A$4:$J$1136,3,FALSE))</f>
        <v/>
      </c>
      <c r="D12" s="171"/>
      <c r="E12" s="171"/>
      <c r="F12" s="173"/>
      <c r="G12" s="174">
        <f t="shared" si="1"/>
        <v>0</v>
      </c>
      <c r="H12" s="120" t="str">
        <f>IF($A12=0,"",VLOOKUP($A12,'00_Mat'!$A$4:$J$1136,5,FALSE))</f>
        <v/>
      </c>
      <c r="I12" s="120"/>
    </row>
    <row r="13" ht="14.25" customHeight="1">
      <c r="A13" s="171"/>
      <c r="B13" s="74" t="str">
        <f>IF($A13=0,"",VLOOKUP($A13,'00_Mat'!$A$4:$J$1136,2,FALSE))</f>
        <v/>
      </c>
      <c r="C13" s="74" t="str">
        <f>IF($A13=0,"",VLOOKUP($A13,'00_Mat'!$A$4:$J$1136,3,FALSE))</f>
        <v/>
      </c>
      <c r="D13" s="171"/>
      <c r="E13" s="171"/>
      <c r="F13" s="173"/>
      <c r="G13" s="174">
        <f t="shared" si="1"/>
        <v>0</v>
      </c>
      <c r="H13" s="120" t="str">
        <f>IF($A13=0,"",VLOOKUP($A13,'00_Mat'!$A$4:$J$1136,5,FALSE))</f>
        <v/>
      </c>
      <c r="I13" s="120"/>
    </row>
    <row r="14" ht="14.25" customHeight="1">
      <c r="A14" s="171"/>
      <c r="B14" s="74" t="str">
        <f>IF($A14=0,"",VLOOKUP($A14,'00_Mat'!$A$4:$J$1136,2,FALSE))</f>
        <v/>
      </c>
      <c r="C14" s="74" t="str">
        <f>IF($A14=0,"",VLOOKUP($A14,'00_Mat'!$A$4:$J$1136,3,FALSE))</f>
        <v/>
      </c>
      <c r="D14" s="171"/>
      <c r="E14" s="171"/>
      <c r="F14" s="173"/>
      <c r="G14" s="174">
        <f t="shared" si="1"/>
        <v>0</v>
      </c>
      <c r="H14" s="120" t="str">
        <f>IF($A14=0,"",VLOOKUP($A14,'00_Mat'!$A$4:$J$1136,5,FALSE))</f>
        <v/>
      </c>
      <c r="I14" s="120"/>
    </row>
    <row r="15" ht="14.25" customHeight="1">
      <c r="A15" s="171"/>
      <c r="B15" s="74" t="str">
        <f>IF($A15=0,"",VLOOKUP($A15,'00_Mat'!$A$4:$J$1136,2,FALSE))</f>
        <v/>
      </c>
      <c r="C15" s="74" t="str">
        <f>IF($A15=0,"",VLOOKUP($A15,'00_Mat'!$A$4:$J$1136,3,FALSE))</f>
        <v/>
      </c>
      <c r="D15" s="171"/>
      <c r="E15" s="171"/>
      <c r="F15" s="173"/>
      <c r="G15" s="174">
        <f t="shared" si="1"/>
        <v>0</v>
      </c>
      <c r="H15" s="120" t="str">
        <f>IF($A15=0,"",VLOOKUP($A15,'00_Mat'!$A$4:$J$1136,5,FALSE))</f>
        <v/>
      </c>
      <c r="I15" s="120"/>
    </row>
    <row r="16" ht="14.25" customHeight="1">
      <c r="A16" s="171"/>
      <c r="B16" s="74" t="str">
        <f>IF($A16=0,"",VLOOKUP($A16,'00_Mat'!$A$4:$J$1136,2,FALSE))</f>
        <v/>
      </c>
      <c r="C16" s="74" t="str">
        <f>IF($A16=0,"",VLOOKUP($A16,'00_Mat'!$A$4:$J$1136,3,FALSE))</f>
        <v/>
      </c>
      <c r="D16" s="171"/>
      <c r="E16" s="171"/>
      <c r="F16" s="173"/>
      <c r="G16" s="174">
        <f t="shared" si="1"/>
        <v>0</v>
      </c>
      <c r="H16" s="120" t="str">
        <f>IF($A16=0,"",VLOOKUP($A16,'00_Mat'!$A$4:$J$1136,5,FALSE))</f>
        <v/>
      </c>
      <c r="I16" s="120"/>
    </row>
    <row r="17" ht="14.25" customHeight="1">
      <c r="A17" s="171"/>
      <c r="B17" s="74" t="str">
        <f>IF($A17=0,"",VLOOKUP($A17,'00_Mat'!$A$4:$J$1136,2,FALSE))</f>
        <v/>
      </c>
      <c r="C17" s="74" t="str">
        <f>IF($A17=0,"",VLOOKUP($A17,'00_Mat'!$A$4:$J$1136,3,FALSE))</f>
        <v/>
      </c>
      <c r="D17" s="171"/>
      <c r="E17" s="171"/>
      <c r="F17" s="173"/>
      <c r="G17" s="174">
        <f t="shared" si="1"/>
        <v>0</v>
      </c>
      <c r="H17" s="120" t="str">
        <f>IF($A17=0,"",VLOOKUP($A17,'00_Mat'!$A$4:$J$1136,5,FALSE))</f>
        <v/>
      </c>
      <c r="I17" s="120"/>
    </row>
    <row r="18" ht="14.25" customHeight="1">
      <c r="A18" s="171"/>
      <c r="B18" s="74" t="str">
        <f>IF($A18=0,"",VLOOKUP($A18,'00_Mat'!$A$4:$J$1136,2,FALSE))</f>
        <v/>
      </c>
      <c r="C18" s="74" t="str">
        <f>IF($A18=0,"",VLOOKUP($A18,'00_Mat'!$A$4:$J$1136,3,FALSE))</f>
        <v/>
      </c>
      <c r="D18" s="171"/>
      <c r="E18" s="171"/>
      <c r="F18" s="173"/>
      <c r="G18" s="174">
        <f t="shared" si="1"/>
        <v>0</v>
      </c>
      <c r="H18" s="120" t="str">
        <f>IF($A18=0,"",VLOOKUP($A18,'00_Mat'!$A$4:$J$1136,5,FALSE))</f>
        <v/>
      </c>
      <c r="I18" s="120"/>
    </row>
    <row r="19" ht="14.25" customHeight="1">
      <c r="F19" s="126"/>
      <c r="G19" s="3"/>
      <c r="H19" s="120"/>
      <c r="I19" s="120"/>
    </row>
    <row r="20" ht="14.25" customHeight="1">
      <c r="A20" s="175" t="s">
        <v>786</v>
      </c>
      <c r="B20" s="176"/>
      <c r="C20" s="176"/>
      <c r="D20" s="176"/>
      <c r="E20" s="176"/>
      <c r="F20" s="176"/>
      <c r="G20" s="177"/>
      <c r="H20" s="176"/>
      <c r="I20" s="178">
        <f>SUM(I7:I18)</f>
        <v>0</v>
      </c>
      <c r="J20" s="74"/>
      <c r="K20" s="74"/>
      <c r="L20" s="74"/>
    </row>
    <row r="21" ht="14.25" customHeight="1">
      <c r="A21" s="179" t="str">
        <f>$I$3</f>
        <v>m³</v>
      </c>
      <c r="B21" s="180"/>
      <c r="C21" s="180"/>
      <c r="D21" s="180"/>
      <c r="E21" s="180"/>
      <c r="F21" s="180"/>
      <c r="G21" s="5"/>
      <c r="H21" s="180"/>
      <c r="I21" s="172">
        <f>$H$3</f>
        <v>1513.12</v>
      </c>
      <c r="J21" s="74"/>
      <c r="K21" s="74"/>
      <c r="L21" s="74"/>
    </row>
    <row r="22" ht="14.25" customHeight="1">
      <c r="A22" s="181" t="s">
        <v>787</v>
      </c>
      <c r="B22" s="179" t="str">
        <f>A21</f>
        <v>m³</v>
      </c>
      <c r="C22" s="180"/>
      <c r="D22" s="180"/>
      <c r="E22" s="180"/>
      <c r="F22" s="180"/>
      <c r="G22" s="5"/>
      <c r="H22" s="180"/>
      <c r="I22" s="182">
        <f>I20/I21</f>
        <v>0</v>
      </c>
      <c r="J22" s="74"/>
      <c r="K22" s="74"/>
      <c r="L22" s="74"/>
    </row>
    <row r="23" ht="14.25" customHeight="1">
      <c r="G23" s="3"/>
    </row>
    <row r="24" ht="14.25" customHeight="1">
      <c r="G24" s="3"/>
    </row>
    <row r="25" ht="14.25" customHeight="1">
      <c r="A25" s="168" t="s">
        <v>788</v>
      </c>
      <c r="B25" s="76"/>
      <c r="C25" s="76"/>
      <c r="D25" s="76"/>
      <c r="E25" s="76"/>
      <c r="F25" s="76"/>
      <c r="G25" s="2"/>
      <c r="H25" s="76"/>
      <c r="I25" s="76"/>
    </row>
    <row r="26" ht="14.25" customHeight="1">
      <c r="A26" s="169" t="s">
        <v>778</v>
      </c>
      <c r="B26" s="169" t="s">
        <v>779</v>
      </c>
      <c r="C26" s="169" t="s">
        <v>780</v>
      </c>
      <c r="D26" s="169" t="s">
        <v>781</v>
      </c>
      <c r="E26" s="169" t="s">
        <v>789</v>
      </c>
      <c r="F26" s="169" t="s">
        <v>782</v>
      </c>
      <c r="G26" s="4" t="s">
        <v>783</v>
      </c>
      <c r="H26" s="169" t="s">
        <v>784</v>
      </c>
      <c r="I26" s="169" t="s">
        <v>785</v>
      </c>
    </row>
    <row r="27" ht="14.25" customHeight="1">
      <c r="A27" s="183" t="s">
        <v>509</v>
      </c>
      <c r="B27" s="74" t="str">
        <f>IF($A27=0,"",VLOOKUP($A27,'00_MO'!$A$4:$D$7,2,FALSE))</f>
        <v>Capataz</v>
      </c>
      <c r="C27" s="74" t="str">
        <f>IF($A27=0,"",VLOOKUP($A27,'00_MO'!$A$4:$D$7,3,FALSE))</f>
        <v>u</v>
      </c>
      <c r="D27" s="171">
        <v>1.0</v>
      </c>
      <c r="E27" s="171">
        <f>E70</f>
        <v>25.21866667</v>
      </c>
      <c r="F27" s="173">
        <v>0.1</v>
      </c>
      <c r="G27" s="184">
        <f t="shared" ref="G27:G32" si="2">ROUNDUP(((D27*E27)*(1+F27)),0)</f>
        <v>28</v>
      </c>
      <c r="H27" s="120">
        <f>IF($A27=0,"",VLOOKUP($A27,'00_MO'!$A$4:$D$7,4,FALSE))</f>
        <v>50000</v>
      </c>
      <c r="I27" s="120">
        <f t="shared" ref="I27:I29" si="3">G27*H27</f>
        <v>1400000</v>
      </c>
    </row>
    <row r="28" ht="14.25" customHeight="1">
      <c r="A28" s="183" t="s">
        <v>513</v>
      </c>
      <c r="B28" s="74" t="str">
        <f>IF($A28=0,"",VLOOKUP($A28,'00_MO'!$A$4:$D$7,2,FALSE))</f>
        <v>Oficial</v>
      </c>
      <c r="C28" s="74" t="str">
        <f>IF($A28=0,"",VLOOKUP($A28,'00_MO'!$A$4:$D$7,3,FALSE))</f>
        <v>u</v>
      </c>
      <c r="D28" s="171"/>
      <c r="E28" s="171"/>
      <c r="F28" s="173"/>
      <c r="G28" s="184">
        <f t="shared" si="2"/>
        <v>0</v>
      </c>
      <c r="H28" s="120">
        <f>IF($A28=0,"",VLOOKUP($A28,'00_MO'!$A$4:$D$7,4,FALSE))</f>
        <v>40000</v>
      </c>
      <c r="I28" s="120">
        <f t="shared" si="3"/>
        <v>0</v>
      </c>
    </row>
    <row r="29" ht="14.25" customHeight="1">
      <c r="A29" s="183" t="s">
        <v>515</v>
      </c>
      <c r="B29" s="74" t="str">
        <f>IF($A29=0,"",VLOOKUP($A29,'00_MO'!$A$4:$D$7,2,FALSE))</f>
        <v>Ayudante</v>
      </c>
      <c r="C29" s="74" t="str">
        <f>IF($A29=0,"",VLOOKUP($A29,'00_MO'!$A$4:$D$7,3,FALSE))</f>
        <v>u</v>
      </c>
      <c r="D29" s="171">
        <v>1.0</v>
      </c>
      <c r="E29" s="171">
        <f>E70</f>
        <v>25.21866667</v>
      </c>
      <c r="F29" s="173">
        <v>0.1</v>
      </c>
      <c r="G29" s="184">
        <f t="shared" si="2"/>
        <v>28</v>
      </c>
      <c r="H29" s="120">
        <f>IF($A29=0,"",VLOOKUP($A29,'00_MO'!$A$4:$D$7,4,FALSE))</f>
        <v>30000</v>
      </c>
      <c r="I29" s="120">
        <f t="shared" si="3"/>
        <v>840000</v>
      </c>
    </row>
    <row r="30" ht="14.25" customHeight="1">
      <c r="A30" s="183"/>
      <c r="B30" s="74" t="str">
        <f>IF($A30=0,"",VLOOKUP($A30,'00_MO'!$A$4:$D$7,2,FALSE))</f>
        <v/>
      </c>
      <c r="C30" s="74" t="str">
        <f>IF($A30=0,"",VLOOKUP($A30,'00_MO'!$A$4:$D$7,3,FALSE))</f>
        <v/>
      </c>
      <c r="D30" s="171"/>
      <c r="E30" s="171"/>
      <c r="F30" s="173"/>
      <c r="G30" s="184">
        <f t="shared" si="2"/>
        <v>0</v>
      </c>
      <c r="H30" s="120" t="str">
        <f>IF($A30=0,"",VLOOKUP($A30,'00_MO'!$A$4:$D$7,4,FALSE))</f>
        <v/>
      </c>
      <c r="I30" s="120"/>
    </row>
    <row r="31" ht="14.25" customHeight="1">
      <c r="A31" s="171"/>
      <c r="B31" s="74" t="str">
        <f>IF($A31=0,"",VLOOKUP($A31,'00_MO'!$A$4:$D$7,2,FALSE))</f>
        <v/>
      </c>
      <c r="C31" s="74" t="str">
        <f>IF($A31=0,"",VLOOKUP($A31,'00_MO'!$A$4:$D$7,3,FALSE))</f>
        <v/>
      </c>
      <c r="D31" s="171"/>
      <c r="E31" s="171"/>
      <c r="F31" s="173"/>
      <c r="G31" s="184">
        <f t="shared" si="2"/>
        <v>0</v>
      </c>
      <c r="H31" s="120" t="str">
        <f>IF($A31=0,"",VLOOKUP($A31,'00_MO'!$A$4:$D$7,4,FALSE))</f>
        <v/>
      </c>
      <c r="I31" s="120"/>
    </row>
    <row r="32" ht="14.25" customHeight="1">
      <c r="A32" s="171"/>
      <c r="B32" s="74" t="str">
        <f>IF($A32=0,"",VLOOKUP($A32,'00_MO'!$A$4:$D$7,2,FALSE))</f>
        <v/>
      </c>
      <c r="C32" s="74" t="str">
        <f>IF($A32=0,"",VLOOKUP($A32,'00_MO'!$A$4:$D$7,3,FALSE))</f>
        <v/>
      </c>
      <c r="D32" s="171"/>
      <c r="E32" s="171"/>
      <c r="F32" s="173"/>
      <c r="G32" s="184">
        <f t="shared" si="2"/>
        <v>0</v>
      </c>
      <c r="H32" s="120" t="str">
        <f>IF($A32=0,"",VLOOKUP($A32,'00_MO'!$A$4:$D$7,4,FALSE))</f>
        <v/>
      </c>
      <c r="I32" s="120"/>
    </row>
    <row r="33" ht="14.25" customHeight="1">
      <c r="F33" s="126"/>
      <c r="G33" s="3"/>
      <c r="H33" s="120"/>
      <c r="I33" s="120"/>
    </row>
    <row r="34" ht="14.25" customHeight="1">
      <c r="A34" s="175" t="s">
        <v>717</v>
      </c>
      <c r="B34" s="176"/>
      <c r="C34" s="176"/>
      <c r="D34" s="176"/>
      <c r="E34" s="176"/>
      <c r="F34" s="176"/>
      <c r="G34" s="177"/>
      <c r="H34" s="176"/>
      <c r="I34" s="178">
        <f>SUM(I27:I32)</f>
        <v>2240000</v>
      </c>
    </row>
    <row r="35" ht="14.25" customHeight="1">
      <c r="A35" s="179" t="str">
        <f>$I$3</f>
        <v>m³</v>
      </c>
      <c r="B35" s="180"/>
      <c r="C35" s="180"/>
      <c r="D35" s="180"/>
      <c r="E35" s="180"/>
      <c r="F35" s="180"/>
      <c r="G35" s="5"/>
      <c r="H35" s="180"/>
      <c r="I35" s="172">
        <f>$H$3</f>
        <v>1513.12</v>
      </c>
      <c r="J35" s="74"/>
      <c r="K35" s="74"/>
      <c r="L35" s="74"/>
    </row>
    <row r="36" ht="14.25" customHeight="1">
      <c r="A36" s="181" t="s">
        <v>787</v>
      </c>
      <c r="B36" s="179" t="str">
        <f>A35</f>
        <v>m³</v>
      </c>
      <c r="C36" s="180"/>
      <c r="D36" s="180"/>
      <c r="E36" s="180"/>
      <c r="F36" s="180"/>
      <c r="G36" s="5"/>
      <c r="H36" s="180"/>
      <c r="I36" s="182">
        <f>I34/I35</f>
        <v>1480.3849</v>
      </c>
      <c r="J36" s="74"/>
      <c r="K36" s="74"/>
      <c r="L36" s="74"/>
    </row>
    <row r="37" ht="14.25" customHeight="1">
      <c r="G37" s="3"/>
    </row>
    <row r="38" ht="14.25" customHeight="1">
      <c r="G38" s="3"/>
    </row>
    <row r="39" ht="14.25" customHeight="1">
      <c r="A39" s="168" t="s">
        <v>790</v>
      </c>
      <c r="B39" s="76"/>
      <c r="C39" s="76"/>
      <c r="D39" s="76"/>
      <c r="E39" s="76"/>
      <c r="F39" s="76"/>
      <c r="G39" s="2"/>
      <c r="H39" s="76"/>
      <c r="I39" s="76"/>
    </row>
    <row r="40" ht="14.25" customHeight="1">
      <c r="A40" s="169" t="s">
        <v>778</v>
      </c>
      <c r="B40" s="169" t="s">
        <v>779</v>
      </c>
      <c r="C40" s="169" t="s">
        <v>780</v>
      </c>
      <c r="D40" s="169" t="s">
        <v>781</v>
      </c>
      <c r="E40" s="169" t="s">
        <v>789</v>
      </c>
      <c r="F40" s="169" t="s">
        <v>782</v>
      </c>
      <c r="G40" s="4" t="s">
        <v>783</v>
      </c>
      <c r="H40" s="169" t="s">
        <v>784</v>
      </c>
      <c r="I40" s="169" t="s">
        <v>785</v>
      </c>
    </row>
    <row r="41" ht="14.25" customHeight="1">
      <c r="A41" s="171"/>
      <c r="B41" s="74" t="str">
        <f>IF($A41=0,"",VLOOKUP($A41,'00_Eq'!$A$4:$D$101,2,FALSE))</f>
        <v/>
      </c>
      <c r="C41" s="74" t="str">
        <f>IF($A41=0,"",VLOOKUP($A41,'00_Eq'!$A$4:$D$101,3,FALSE))</f>
        <v/>
      </c>
      <c r="D41" s="171"/>
      <c r="E41" s="171"/>
      <c r="F41" s="173"/>
      <c r="G41" s="184">
        <f t="shared" ref="G41:G46" si="4">ROUNDUP(((D41*E41)*(1+F41)),0)</f>
        <v>0</v>
      </c>
      <c r="H41" s="120" t="str">
        <f>IF($A41=0,"",VLOOKUP($A41,'00_Eq'!$A$4:$D$101,4,FALSE))</f>
        <v/>
      </c>
      <c r="I41" s="120">
        <f t="shared" ref="I41:I44" si="5">G41*H41</f>
        <v>0</v>
      </c>
    </row>
    <row r="42" ht="14.25" customHeight="1">
      <c r="A42" s="171"/>
      <c r="B42" s="74" t="str">
        <f>IF($A42=0,"",VLOOKUP($A42,'00_Eq'!$A$4:$D$101,2,FALSE))</f>
        <v/>
      </c>
      <c r="C42" s="74" t="str">
        <f>IF($A42=0,"",VLOOKUP($A42,'00_Eq'!$A$4:$D$101,3,FALSE))</f>
        <v/>
      </c>
      <c r="D42" s="171"/>
      <c r="E42" s="171"/>
      <c r="F42" s="173"/>
      <c r="G42" s="184">
        <f t="shared" si="4"/>
        <v>0</v>
      </c>
      <c r="H42" s="120" t="str">
        <f>IF($A42=0,"",VLOOKUP($A42,'00_Eq'!$A$4:$D$101,4,FALSE))</f>
        <v/>
      </c>
      <c r="I42" s="120">
        <f t="shared" si="5"/>
        <v>0</v>
      </c>
    </row>
    <row r="43" ht="14.25" customHeight="1">
      <c r="A43" s="171"/>
      <c r="B43" s="74" t="str">
        <f>IF($A43=0,"",VLOOKUP($A43,'00_Eq'!$A$4:$D$101,2,FALSE))</f>
        <v/>
      </c>
      <c r="C43" s="74" t="str">
        <f>IF($A43=0,"",VLOOKUP($A43,'00_Eq'!$A$4:$D$101,3,FALSE))</f>
        <v/>
      </c>
      <c r="D43" s="171"/>
      <c r="E43" s="171"/>
      <c r="F43" s="173"/>
      <c r="G43" s="184">
        <f t="shared" si="4"/>
        <v>0</v>
      </c>
      <c r="H43" s="120" t="str">
        <f>IF($A43=0,"",VLOOKUP($A43,'00_Eq'!$A$4:$D$101,4,FALSE))</f>
        <v/>
      </c>
      <c r="I43" s="120">
        <f t="shared" si="5"/>
        <v>0</v>
      </c>
    </row>
    <row r="44" ht="14.25" customHeight="1">
      <c r="A44" s="171"/>
      <c r="B44" s="74" t="str">
        <f>IF($A44=0,"",VLOOKUP($A44,'00_Eq'!$A$4:$D$101,2,FALSE))</f>
        <v/>
      </c>
      <c r="C44" s="74" t="str">
        <f>IF($A44=0,"",VLOOKUP($A44,'00_Eq'!$A$4:$D$101,3,FALSE))</f>
        <v/>
      </c>
      <c r="D44" s="171"/>
      <c r="E44" s="171"/>
      <c r="F44" s="173"/>
      <c r="G44" s="184">
        <f t="shared" si="4"/>
        <v>0</v>
      </c>
      <c r="H44" s="120" t="str">
        <f>IF($A44=0,"",VLOOKUP($A44,'00_Eq'!$A$4:$D$101,4,FALSE))</f>
        <v/>
      </c>
      <c r="I44" s="120">
        <f t="shared" si="5"/>
        <v>0</v>
      </c>
    </row>
    <row r="45" ht="14.25" customHeight="1">
      <c r="A45" s="171"/>
      <c r="B45" s="74" t="str">
        <f>IF($A45=0,"",VLOOKUP($A45,'00_Eq'!$A$4:$D$101,2,FALSE))</f>
        <v/>
      </c>
      <c r="C45" s="74" t="str">
        <f>IF($A45=0,"",VLOOKUP($A45,'00_Eq'!$A$4:$D$101,3,FALSE))</f>
        <v/>
      </c>
      <c r="D45" s="171"/>
      <c r="E45" s="171"/>
      <c r="F45" s="173"/>
      <c r="G45" s="184">
        <f t="shared" si="4"/>
        <v>0</v>
      </c>
      <c r="H45" s="120" t="str">
        <f>IF($A45=0,"",VLOOKUP($A45,'00_Eq'!$A$4:$D$101,4,FALSE))</f>
        <v/>
      </c>
      <c r="I45" s="120"/>
    </row>
    <row r="46" ht="14.25" customHeight="1">
      <c r="A46" s="171"/>
      <c r="B46" s="74" t="str">
        <f>IF($A46=0,"",VLOOKUP($A46,'00_Eq'!$A$4:$D$101,2,FALSE))</f>
        <v/>
      </c>
      <c r="C46" s="74" t="str">
        <f>IF($A46=0,"",VLOOKUP($A46,'00_Eq'!$A$4:$D$101,3,FALSE))</f>
        <v/>
      </c>
      <c r="D46" s="171"/>
      <c r="E46" s="171"/>
      <c r="F46" s="173"/>
      <c r="G46" s="184">
        <f t="shared" si="4"/>
        <v>0</v>
      </c>
      <c r="H46" s="120" t="str">
        <f>IF($A46=0,"",VLOOKUP($A46,'00_Eq'!$A$4:$D$101,4,FALSE))</f>
        <v/>
      </c>
      <c r="I46" s="120"/>
    </row>
    <row r="47" ht="14.25" customHeight="1">
      <c r="F47" s="126"/>
      <c r="G47" s="3"/>
      <c r="H47" s="120"/>
      <c r="I47" s="120"/>
    </row>
    <row r="48" ht="14.25" customHeight="1">
      <c r="A48" s="175" t="s">
        <v>717</v>
      </c>
      <c r="B48" s="176"/>
      <c r="C48" s="176"/>
      <c r="D48" s="176"/>
      <c r="E48" s="176"/>
      <c r="F48" s="176"/>
      <c r="G48" s="177"/>
      <c r="H48" s="176"/>
      <c r="I48" s="178">
        <f>SUM(I41:I46)</f>
        <v>0</v>
      </c>
    </row>
    <row r="49" ht="14.25" customHeight="1">
      <c r="A49" s="179" t="str">
        <f>$I$3</f>
        <v>m³</v>
      </c>
      <c r="B49" s="180"/>
      <c r="C49" s="180"/>
      <c r="D49" s="180"/>
      <c r="E49" s="180"/>
      <c r="F49" s="180"/>
      <c r="G49" s="5"/>
      <c r="H49" s="180"/>
      <c r="I49" s="172">
        <f>$H$3</f>
        <v>1513.12</v>
      </c>
      <c r="J49" s="74"/>
      <c r="K49" s="74"/>
      <c r="L49" s="74"/>
    </row>
    <row r="50" ht="14.25" customHeight="1">
      <c r="A50" s="181" t="s">
        <v>787</v>
      </c>
      <c r="B50" s="179" t="str">
        <f>A49</f>
        <v>m³</v>
      </c>
      <c r="C50" s="180"/>
      <c r="D50" s="180"/>
      <c r="E50" s="180"/>
      <c r="F50" s="180"/>
      <c r="G50" s="5"/>
      <c r="H50" s="180"/>
      <c r="I50" s="182">
        <f>I48/I49</f>
        <v>0</v>
      </c>
      <c r="J50" s="74"/>
      <c r="K50" s="74"/>
      <c r="L50" s="74"/>
    </row>
    <row r="51" ht="14.25" customHeight="1">
      <c r="G51" s="3"/>
    </row>
    <row r="52" ht="14.25" customHeight="1">
      <c r="G52" s="3"/>
    </row>
    <row r="53" ht="14.25" customHeight="1">
      <c r="A53" s="168" t="s">
        <v>791</v>
      </c>
      <c r="B53" s="76"/>
      <c r="C53" s="76"/>
      <c r="D53" s="76"/>
      <c r="E53" s="76"/>
      <c r="F53" s="76"/>
      <c r="G53" s="2"/>
      <c r="H53" s="76"/>
      <c r="I53" s="76"/>
    </row>
    <row r="54" ht="14.25" customHeight="1">
      <c r="A54" s="169" t="s">
        <v>778</v>
      </c>
      <c r="B54" s="169" t="s">
        <v>779</v>
      </c>
      <c r="C54" s="169" t="s">
        <v>780</v>
      </c>
      <c r="D54" s="170" t="s">
        <v>781</v>
      </c>
      <c r="E54" s="164"/>
      <c r="F54" s="169" t="s">
        <v>782</v>
      </c>
      <c r="G54" s="4" t="s">
        <v>783</v>
      </c>
      <c r="H54" s="169" t="s">
        <v>784</v>
      </c>
      <c r="I54" s="169" t="s">
        <v>785</v>
      </c>
    </row>
    <row r="55" ht="14.25" customHeight="1">
      <c r="A55" s="171"/>
      <c r="B55" s="74" t="str">
        <f>IF($A55=0,"",VLOOKUP($A55,'00_Mat'!$A$4:$J$1136,2,FALSE))</f>
        <v/>
      </c>
      <c r="C55" s="74" t="str">
        <f>IF($A55=0,"",VLOOKUP($A55,'00_Mat'!$A$4:$J$1136,3,FALSE))</f>
        <v/>
      </c>
      <c r="D55" s="172"/>
      <c r="E55" s="171"/>
      <c r="F55" s="173"/>
      <c r="G55" s="174">
        <f t="shared" ref="G55:G60" si="6">ROUNDUP((D55+(D55*F55)),0)</f>
        <v>0</v>
      </c>
      <c r="H55" s="120" t="str">
        <f>IF($A55=0,"",VLOOKUP($A55,'00_Mat'!$A$4:$J$1136,5,FALSE))</f>
        <v/>
      </c>
      <c r="I55" s="120"/>
    </row>
    <row r="56" ht="14.25" customHeight="1">
      <c r="A56" s="171"/>
      <c r="B56" s="74" t="str">
        <f>IF($A56=0,"",VLOOKUP($A56,'00_Mat'!$A$4:$J$1136,2,FALSE))</f>
        <v/>
      </c>
      <c r="C56" s="74" t="str">
        <f>IF($A56=0,"",VLOOKUP($A56,'00_Mat'!$A$4:$J$1136,3,FALSE))</f>
        <v/>
      </c>
      <c r="D56" s="172"/>
      <c r="E56" s="171"/>
      <c r="F56" s="173"/>
      <c r="G56" s="174">
        <f t="shared" si="6"/>
        <v>0</v>
      </c>
      <c r="H56" s="120" t="str">
        <f>IF($A56=0,"",VLOOKUP($A56,'00_Mat'!$A$4:$J$1136,5,FALSE))</f>
        <v/>
      </c>
      <c r="I56" s="120"/>
    </row>
    <row r="57" ht="14.25" customHeight="1">
      <c r="A57" s="171"/>
      <c r="B57" s="74" t="str">
        <f>IF($A57=0,"",VLOOKUP($A57,'00_Mat'!$A$4:$J$1136,2,FALSE))</f>
        <v/>
      </c>
      <c r="C57" s="74" t="str">
        <f>IF($A57=0,"",VLOOKUP($A57,'00_Mat'!$A$4:$J$1136,3,FALSE))</f>
        <v/>
      </c>
      <c r="D57" s="172"/>
      <c r="E57" s="171"/>
      <c r="F57" s="173"/>
      <c r="G57" s="174">
        <f t="shared" si="6"/>
        <v>0</v>
      </c>
      <c r="H57" s="120" t="str">
        <f>IF($A57=0,"",VLOOKUP($A57,'00_Mat'!$A$4:$J$1136,5,FALSE))</f>
        <v/>
      </c>
      <c r="I57" s="120"/>
    </row>
    <row r="58" ht="14.25" customHeight="1">
      <c r="A58" s="171"/>
      <c r="B58" s="74" t="str">
        <f>IF($A58=0,"",VLOOKUP($A58,'00_Mat'!$A$4:$J$1136,2,FALSE))</f>
        <v/>
      </c>
      <c r="C58" s="74" t="str">
        <f>IF($A58=0,"",VLOOKUP($A58,'00_Mat'!$A$4:$J$1136,3,FALSE))</f>
        <v/>
      </c>
      <c r="D58" s="172"/>
      <c r="E58" s="171"/>
      <c r="F58" s="173"/>
      <c r="G58" s="174">
        <f t="shared" si="6"/>
        <v>0</v>
      </c>
      <c r="H58" s="120" t="str">
        <f>IF($A58=0,"",VLOOKUP($A58,'00_Mat'!$A$4:$J$1136,5,FALSE))</f>
        <v/>
      </c>
      <c r="I58" s="120"/>
    </row>
    <row r="59" ht="14.25" customHeight="1">
      <c r="A59" s="171"/>
      <c r="B59" s="74" t="str">
        <f>IF($A59=0,"",VLOOKUP($A59,'00_Mat'!$A$4:$J$1136,2,FALSE))</f>
        <v/>
      </c>
      <c r="C59" s="74" t="str">
        <f>IF($A59=0,"",VLOOKUP($A59,'00_Mat'!$A$4:$J$1136,3,FALSE))</f>
        <v/>
      </c>
      <c r="D59" s="172"/>
      <c r="E59" s="171"/>
      <c r="F59" s="173"/>
      <c r="G59" s="174">
        <f t="shared" si="6"/>
        <v>0</v>
      </c>
      <c r="H59" s="120" t="str">
        <f>IF($A59=0,"",VLOOKUP($A59,'00_Mat'!$A$4:$J$1136,5,FALSE))</f>
        <v/>
      </c>
      <c r="I59" s="120"/>
    </row>
    <row r="60" ht="14.25" customHeight="1">
      <c r="A60" s="171"/>
      <c r="B60" s="74" t="str">
        <f>IF($A60=0,"",VLOOKUP($A60,'00_Mat'!$A$4:$J$1136,2,FALSE))</f>
        <v/>
      </c>
      <c r="C60" s="74" t="str">
        <f>IF($A60=0,"",VLOOKUP($A60,'00_Mat'!$A$4:$J$1136,3,FALSE))</f>
        <v/>
      </c>
      <c r="D60" s="172"/>
      <c r="E60" s="171"/>
      <c r="F60" s="173"/>
      <c r="G60" s="174">
        <f t="shared" si="6"/>
        <v>0</v>
      </c>
      <c r="H60" s="120" t="str">
        <f>IF($A60=0,"",VLOOKUP($A60,'00_Mat'!$A$4:$J$1136,5,FALSE))</f>
        <v/>
      </c>
      <c r="I60" s="120"/>
    </row>
    <row r="61" ht="14.25" customHeight="1">
      <c r="F61" s="126"/>
      <c r="G61" s="3"/>
      <c r="H61" s="120"/>
      <c r="I61" s="120"/>
    </row>
    <row r="62" ht="14.25" customHeight="1">
      <c r="A62" s="175" t="s">
        <v>717</v>
      </c>
      <c r="B62" s="176"/>
      <c r="C62" s="176"/>
      <c r="D62" s="176"/>
      <c r="E62" s="176"/>
      <c r="F62" s="176"/>
      <c r="G62" s="177"/>
      <c r="H62" s="176"/>
      <c r="I62" s="178">
        <f>SUM(I55:I60)</f>
        <v>0</v>
      </c>
    </row>
    <row r="63" ht="14.25" customHeight="1">
      <c r="A63" s="179" t="str">
        <f>$I$3</f>
        <v>m³</v>
      </c>
      <c r="B63" s="180"/>
      <c r="C63" s="180"/>
      <c r="D63" s="180"/>
      <c r="E63" s="180"/>
      <c r="F63" s="180"/>
      <c r="G63" s="5"/>
      <c r="H63" s="180"/>
      <c r="I63" s="172">
        <f>$H$3</f>
        <v>1513.12</v>
      </c>
      <c r="J63" s="74"/>
      <c r="K63" s="74"/>
      <c r="L63" s="74"/>
    </row>
    <row r="64" ht="14.25" customHeight="1">
      <c r="A64" s="181" t="s">
        <v>787</v>
      </c>
      <c r="B64" s="179" t="str">
        <f>A63</f>
        <v>m³</v>
      </c>
      <c r="C64" s="180"/>
      <c r="D64" s="180"/>
      <c r="E64" s="180"/>
      <c r="F64" s="180"/>
      <c r="G64" s="5"/>
      <c r="H64" s="180"/>
      <c r="I64" s="182">
        <f>I62/I63</f>
        <v>0</v>
      </c>
      <c r="J64" s="74"/>
      <c r="K64" s="74"/>
      <c r="L64" s="74"/>
    </row>
    <row r="65" ht="14.25" customHeight="1">
      <c r="G65" s="3"/>
    </row>
    <row r="66" ht="14.25" customHeight="1">
      <c r="G66" s="3"/>
    </row>
    <row r="67" ht="14.25" customHeight="1">
      <c r="A67" s="168" t="s">
        <v>792</v>
      </c>
      <c r="B67" s="76"/>
      <c r="C67" s="76"/>
      <c r="D67" s="76"/>
      <c r="E67" s="76"/>
      <c r="F67" s="76"/>
      <c r="G67" s="2"/>
      <c r="H67" s="76"/>
      <c r="I67" s="76"/>
    </row>
    <row r="68" ht="14.25" customHeight="1">
      <c r="A68" s="169" t="s">
        <v>778</v>
      </c>
      <c r="B68" s="169" t="s">
        <v>779</v>
      </c>
      <c r="C68" s="169" t="s">
        <v>780</v>
      </c>
      <c r="D68" s="169" t="s">
        <v>781</v>
      </c>
      <c r="E68" s="169" t="s">
        <v>789</v>
      </c>
      <c r="F68" s="169" t="s">
        <v>782</v>
      </c>
      <c r="G68" s="4" t="s">
        <v>783</v>
      </c>
      <c r="H68" s="169" t="s">
        <v>784</v>
      </c>
      <c r="I68" s="169" t="s">
        <v>785</v>
      </c>
    </row>
    <row r="69" ht="14.25" customHeight="1">
      <c r="A69" s="183"/>
      <c r="B69" s="74" t="str">
        <f>IF($A69=0,"",VLOOKUP($A69,'00_Sub'!$A$4:$D$1001,2,FALSE))</f>
        <v/>
      </c>
      <c r="C69" s="74" t="str">
        <f>IF($A69=0,"",VLOOKUP($A69,'00_Sub'!$A$4:$D$1001,3,FALSE))</f>
        <v/>
      </c>
      <c r="D69" s="171"/>
      <c r="E69" s="171"/>
      <c r="F69" s="173"/>
      <c r="G69" s="174">
        <f>ROUNDUP((D69+(D69*F69)),0)</f>
        <v>0</v>
      </c>
      <c r="H69" s="120" t="str">
        <f>IF($A69=0,"",VLOOKUP($A69,'00_Sub'!$A$4:$D$1001,4,FALSE))</f>
        <v/>
      </c>
      <c r="I69" s="120">
        <f t="shared" ref="I69:I74" si="7">H69*G69</f>
        <v>0</v>
      </c>
    </row>
    <row r="70" ht="14.25" customHeight="1">
      <c r="A70" s="183" t="s">
        <v>793</v>
      </c>
      <c r="B70" s="74" t="str">
        <f>IF($A70=0,"",VLOOKUP($A70,'00_Sub'!$A$4:$D$1001,2,FALSE))</f>
        <v>MINIRETRO EXCAVADORA</v>
      </c>
      <c r="C70" s="74" t="str">
        <f>IF($A70=0,"",VLOOKUP($A70,'00_Sub'!$A$4:$D$1001,3,FALSE))</f>
        <v>u</v>
      </c>
      <c r="D70" s="171">
        <v>1.0</v>
      </c>
      <c r="E70" s="171">
        <f>E71/15</f>
        <v>25.21866667</v>
      </c>
      <c r="F70" s="173">
        <v>0.1</v>
      </c>
      <c r="G70" s="174">
        <f t="shared" ref="G70:G71" si="8">ROUNDUP((E70+(E70*F70)),0)</f>
        <v>28</v>
      </c>
      <c r="H70" s="120">
        <f>IF($A70=0,"",VLOOKUP($A70,'00_Sub'!$A$4:$D$1001,4,FALSE))</f>
        <v>550000</v>
      </c>
      <c r="I70" s="120">
        <f t="shared" si="7"/>
        <v>15400000</v>
      </c>
    </row>
    <row r="71" ht="14.25" customHeight="1">
      <c r="A71" s="183" t="s">
        <v>794</v>
      </c>
      <c r="B71" s="74" t="str">
        <f>IF($A71=0,"",VLOOKUP($A71,'00_Sub'!$A$4:$D$1001,2,FALSE))</f>
        <v>RETIRO X VIAJE</v>
      </c>
      <c r="C71" s="74" t="str">
        <f>IF($A71=0,"",VLOOKUP($A71,'00_Sub'!$A$4:$D$1001,3,FALSE))</f>
        <v>u</v>
      </c>
      <c r="D71" s="171">
        <v>1.0</v>
      </c>
      <c r="E71" s="171">
        <f>(H3/6)*1.5</f>
        <v>378.28</v>
      </c>
      <c r="F71" s="173">
        <v>0.1</v>
      </c>
      <c r="G71" s="174">
        <f t="shared" si="8"/>
        <v>417</v>
      </c>
      <c r="H71" s="120">
        <v>55000.0</v>
      </c>
      <c r="I71" s="120">
        <f t="shared" si="7"/>
        <v>22935000</v>
      </c>
    </row>
    <row r="72" ht="14.25" customHeight="1">
      <c r="A72" s="183" t="s">
        <v>620</v>
      </c>
      <c r="B72" s="74" t="str">
        <f>IF($A72=0,"",VLOOKUP($A72,'00_Sub'!$A$4:$D$1001,2,FALSE))</f>
        <v>TRASLADO DE MAQUINARIA</v>
      </c>
      <c r="C72" s="74" t="str">
        <f>IF($A72=0,"",VLOOKUP($A72,'00_Sub'!$A$4:$D$1001,3,FALSE))</f>
        <v>u</v>
      </c>
      <c r="D72" s="171">
        <v>1.0</v>
      </c>
      <c r="E72" s="171">
        <v>1.0</v>
      </c>
      <c r="F72" s="173">
        <v>0.0</v>
      </c>
      <c r="G72" s="174">
        <f t="shared" ref="G72:G74" si="9">ROUNDUP((D72+(D72*F72)),0)</f>
        <v>1</v>
      </c>
      <c r="H72" s="120">
        <f>IF($A72=0,"",VLOOKUP($A72,'00_Sub'!$A$4:$D$1001,4,FALSE))</f>
        <v>300000</v>
      </c>
      <c r="I72" s="120">
        <f t="shared" si="7"/>
        <v>300000</v>
      </c>
    </row>
    <row r="73" ht="14.25" customHeight="1">
      <c r="A73" s="171"/>
      <c r="B73" s="74" t="str">
        <f>IF($A73=0,"",VLOOKUP($A73,'00_Sub'!$A$4:$D$1001,2,FALSE))</f>
        <v/>
      </c>
      <c r="C73" s="74" t="str">
        <f>IF($A73=0,"",VLOOKUP($A73,'00_Sub'!$A$4:$D$1001,3,FALSE))</f>
        <v/>
      </c>
      <c r="D73" s="171"/>
      <c r="E73" s="171"/>
      <c r="F73" s="173"/>
      <c r="G73" s="174">
        <f t="shared" si="9"/>
        <v>0</v>
      </c>
      <c r="H73" s="120" t="str">
        <f>IF($A73=0,"",VLOOKUP($A73,'00_Sub'!$A$4:$D$1001,4,FALSE))</f>
        <v/>
      </c>
      <c r="I73" s="120">
        <f t="shared" si="7"/>
        <v>0</v>
      </c>
    </row>
    <row r="74" ht="14.25" customHeight="1">
      <c r="A74" s="171"/>
      <c r="B74" s="74" t="str">
        <f>IF($A74=0,"",VLOOKUP($A74,'00_Sub'!$A$4:$D$1001,2,FALSE))</f>
        <v/>
      </c>
      <c r="C74" s="74" t="str">
        <f>IF($A74=0,"",VLOOKUP($A74,'00_Sub'!$A$4:$D$1001,3,FALSE))</f>
        <v/>
      </c>
      <c r="D74" s="171"/>
      <c r="E74" s="171"/>
      <c r="F74" s="173"/>
      <c r="G74" s="174">
        <f t="shared" si="9"/>
        <v>0</v>
      </c>
      <c r="H74" s="120" t="str">
        <f>IF($A74=0,"",VLOOKUP($A74,'00_Sub'!$A$4:$D$1001,4,FALSE))</f>
        <v/>
      </c>
      <c r="I74" s="120">
        <f t="shared" si="7"/>
        <v>0</v>
      </c>
    </row>
    <row r="75" ht="14.25" customHeight="1">
      <c r="F75" s="126"/>
      <c r="G75" s="3"/>
      <c r="H75" s="120"/>
      <c r="I75" s="120"/>
    </row>
    <row r="76" ht="14.25" customHeight="1">
      <c r="A76" s="175" t="s">
        <v>717</v>
      </c>
      <c r="B76" s="176"/>
      <c r="C76" s="176"/>
      <c r="D76" s="176"/>
      <c r="E76" s="176"/>
      <c r="F76" s="176"/>
      <c r="G76" s="177"/>
      <c r="H76" s="176"/>
      <c r="I76" s="178">
        <f>SUM(I69:I74)</f>
        <v>38635000</v>
      </c>
    </row>
    <row r="77" ht="14.25" customHeight="1">
      <c r="A77" s="179" t="str">
        <f>$I$3</f>
        <v>m³</v>
      </c>
      <c r="B77" s="180"/>
      <c r="C77" s="180"/>
      <c r="D77" s="180"/>
      <c r="E77" s="180"/>
      <c r="F77" s="180"/>
      <c r="G77" s="5"/>
      <c r="H77" s="180"/>
      <c r="I77" s="172">
        <f>$H$3</f>
        <v>1513.12</v>
      </c>
      <c r="J77" s="74"/>
      <c r="K77" s="74"/>
      <c r="L77" s="74"/>
    </row>
    <row r="78" ht="14.25" customHeight="1">
      <c r="A78" s="181" t="s">
        <v>787</v>
      </c>
      <c r="B78" s="179" t="str">
        <f>A77</f>
        <v>m³</v>
      </c>
      <c r="C78" s="180"/>
      <c r="D78" s="180"/>
      <c r="E78" s="180"/>
      <c r="F78" s="180"/>
      <c r="G78" s="5"/>
      <c r="H78" s="180"/>
      <c r="I78" s="182">
        <f>I76/I77</f>
        <v>25533.3351</v>
      </c>
      <c r="J78" s="74"/>
      <c r="K78" s="74"/>
      <c r="L78" s="74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6.29"/>
    <col customWidth="1" min="10" max="12" width="8.71"/>
  </cols>
  <sheetData>
    <row r="1" ht="33.75" customHeight="1">
      <c r="A1" s="73" t="str">
        <f>'01_C&amp;P'!A1</f>
        <v>NOMBRE DE LA OBRA</v>
      </c>
      <c r="B1" s="73"/>
      <c r="C1" s="73"/>
      <c r="G1" s="3"/>
    </row>
    <row r="2" ht="14.25" customHeight="1">
      <c r="G2" s="3"/>
    </row>
    <row r="3" ht="23.25" customHeight="1">
      <c r="A3" s="162">
        <f>'01_C&amp;P'!A19</f>
        <v>45353</v>
      </c>
      <c r="B3" s="163" t="str">
        <f>IF($A3=0,"",VLOOKUP($A3,'01_C&amp;P'!$A$9:$D$91,2,FALSE))</f>
        <v>RELLENO, COMPACTACION Y NIVELACION CON SUELO SELECCIONADO TIPO A4 (En sectores de intertrabado y deck de cemento)</v>
      </c>
      <c r="C3" s="164"/>
      <c r="D3" s="164"/>
      <c r="E3" s="164"/>
      <c r="F3" s="164"/>
      <c r="G3" s="165"/>
      <c r="H3" s="166">
        <f>IF($A3=0,"",VLOOKUP($A3,'01_C&amp;P'!$A$9:$D$91,4,FALSE))</f>
        <v>278.991</v>
      </c>
      <c r="I3" s="167" t="str">
        <f>IF($A3=0,"",VLOOKUP($A3,'01_C&amp;P'!$A$9:$D$91,3,FALSE))</f>
        <v>m³</v>
      </c>
    </row>
    <row r="4" ht="14.25" customHeight="1">
      <c r="G4" s="3"/>
    </row>
    <row r="5" ht="14.25" customHeight="1">
      <c r="A5" s="168" t="s">
        <v>0</v>
      </c>
      <c r="B5" s="76"/>
      <c r="C5" s="76"/>
      <c r="D5" s="76"/>
      <c r="E5" s="76"/>
      <c r="F5" s="76"/>
      <c r="G5" s="2"/>
      <c r="H5" s="76"/>
      <c r="I5" s="76"/>
    </row>
    <row r="6" ht="14.25" customHeight="1">
      <c r="A6" s="169" t="s">
        <v>778</v>
      </c>
      <c r="B6" s="169" t="s">
        <v>779</v>
      </c>
      <c r="C6" s="169" t="s">
        <v>780</v>
      </c>
      <c r="D6" s="170" t="s">
        <v>781</v>
      </c>
      <c r="E6" s="164"/>
      <c r="F6" s="169" t="s">
        <v>782</v>
      </c>
      <c r="G6" s="4" t="s">
        <v>783</v>
      </c>
      <c r="H6" s="169" t="s">
        <v>784</v>
      </c>
      <c r="I6" s="169" t="s">
        <v>785</v>
      </c>
      <c r="L6" s="127" t="s">
        <v>795</v>
      </c>
    </row>
    <row r="7" ht="14.25" customHeight="1">
      <c r="A7" s="171" t="s">
        <v>58</v>
      </c>
      <c r="B7" s="74" t="str">
        <f>IF($A7=0,"",VLOOKUP($A7,'00_Mat'!$A$4:$J$1136,2,FALSE))</f>
        <v>Tosca</v>
      </c>
      <c r="C7" s="74" t="str">
        <f>IF($A7=0,"",VLOOKUP($A7,'00_Mat'!$A$4:$J$1136,3,FALSE))</f>
        <v>m3</v>
      </c>
      <c r="D7" s="171">
        <f>(H3)*1.4</f>
        <v>390.5874</v>
      </c>
      <c r="E7" s="171"/>
      <c r="F7" s="173">
        <v>0.1</v>
      </c>
      <c r="G7" s="174">
        <f t="shared" ref="G7:G18" si="1">ROUNDUP((D7+(D7*F7)),0)</f>
        <v>430</v>
      </c>
      <c r="H7" s="120">
        <f>IF($A7=0,"",VLOOKUP($A7,'00_Mat'!$A$4:$J$1136,5,FALSE))</f>
        <v>30000</v>
      </c>
      <c r="I7" s="120">
        <f>G7*H7</f>
        <v>12900000</v>
      </c>
      <c r="L7" s="127">
        <f>H3/6</f>
        <v>46.4985</v>
      </c>
    </row>
    <row r="8" ht="14.25" customHeight="1">
      <c r="A8" s="171"/>
      <c r="B8" s="74" t="str">
        <f>IF($A8=0,"",VLOOKUP($A8,'00_Mat'!$A$4:$J$1136,2,FALSE))</f>
        <v/>
      </c>
      <c r="C8" s="74" t="str">
        <f>IF($A8=0,"",VLOOKUP($A8,'00_Mat'!$A$4:$J$1136,3,FALSE))</f>
        <v/>
      </c>
      <c r="D8" s="171"/>
      <c r="E8" s="171"/>
      <c r="F8" s="173"/>
      <c r="G8" s="174">
        <f t="shared" si="1"/>
        <v>0</v>
      </c>
      <c r="H8" s="120" t="str">
        <f>IF($A8=0,"",VLOOKUP($A8,'00_Mat'!$A$4:$J$1136,5,FALSE))</f>
        <v/>
      </c>
      <c r="I8" s="120"/>
    </row>
    <row r="9" ht="14.25" customHeight="1">
      <c r="A9" s="171"/>
      <c r="B9" s="74" t="str">
        <f>IF($A9=0,"",VLOOKUP($A9,'00_Mat'!$A$4:$J$1136,2,FALSE))</f>
        <v/>
      </c>
      <c r="C9" s="74" t="str">
        <f>IF($A9=0,"",VLOOKUP($A9,'00_Mat'!$A$4:$J$1136,3,FALSE))</f>
        <v/>
      </c>
      <c r="D9" s="171"/>
      <c r="E9" s="171"/>
      <c r="F9" s="173"/>
      <c r="G9" s="174">
        <f t="shared" si="1"/>
        <v>0</v>
      </c>
      <c r="H9" s="120" t="str">
        <f>IF($A9=0,"",VLOOKUP($A9,'00_Mat'!$A$4:$J$1136,5,FALSE))</f>
        <v/>
      </c>
      <c r="I9" s="120"/>
    </row>
    <row r="10" ht="14.25" customHeight="1">
      <c r="A10" s="171"/>
      <c r="B10" s="74" t="str">
        <f>IF($A10=0,"",VLOOKUP($A10,'00_Mat'!$A$4:$J$1136,2,FALSE))</f>
        <v/>
      </c>
      <c r="C10" s="74" t="str">
        <f>IF($A10=0,"",VLOOKUP($A10,'00_Mat'!$A$4:$J$1136,3,FALSE))</f>
        <v/>
      </c>
      <c r="D10" s="171"/>
      <c r="E10" s="171"/>
      <c r="F10" s="173"/>
      <c r="G10" s="174">
        <f t="shared" si="1"/>
        <v>0</v>
      </c>
      <c r="H10" s="120" t="str">
        <f>IF($A10=0,"",VLOOKUP($A10,'00_Mat'!$A$4:$J$1136,5,FALSE))</f>
        <v/>
      </c>
      <c r="I10" s="120"/>
    </row>
    <row r="11" ht="14.25" customHeight="1">
      <c r="A11" s="171"/>
      <c r="B11" s="74" t="str">
        <f>IF($A11=0,"",VLOOKUP($A11,'00_Mat'!$A$4:$J$1136,2,FALSE))</f>
        <v/>
      </c>
      <c r="C11" s="74" t="str">
        <f>IF($A11=0,"",VLOOKUP($A11,'00_Mat'!$A$4:$J$1136,3,FALSE))</f>
        <v/>
      </c>
      <c r="D11" s="171"/>
      <c r="E11" s="171"/>
      <c r="F11" s="173"/>
      <c r="G11" s="174">
        <f t="shared" si="1"/>
        <v>0</v>
      </c>
      <c r="H11" s="120" t="str">
        <f>IF($A11=0,"",VLOOKUP($A11,'00_Mat'!$A$4:$J$1136,5,FALSE))</f>
        <v/>
      </c>
      <c r="I11" s="120"/>
    </row>
    <row r="12" ht="14.25" customHeight="1">
      <c r="A12" s="171"/>
      <c r="B12" s="74" t="str">
        <f>IF($A12=0,"",VLOOKUP($A12,'00_Mat'!$A$4:$J$1136,2,FALSE))</f>
        <v/>
      </c>
      <c r="C12" s="74" t="str">
        <f>IF($A12=0,"",VLOOKUP($A12,'00_Mat'!$A$4:$J$1136,3,FALSE))</f>
        <v/>
      </c>
      <c r="D12" s="171"/>
      <c r="E12" s="171"/>
      <c r="F12" s="173"/>
      <c r="G12" s="174">
        <f t="shared" si="1"/>
        <v>0</v>
      </c>
      <c r="H12" s="120" t="str">
        <f>IF($A12=0,"",VLOOKUP($A12,'00_Mat'!$A$4:$J$1136,5,FALSE))</f>
        <v/>
      </c>
      <c r="I12" s="120"/>
    </row>
    <row r="13" ht="14.25" customHeight="1">
      <c r="A13" s="171"/>
      <c r="B13" s="74" t="str">
        <f>IF($A13=0,"",VLOOKUP($A13,'00_Mat'!$A$4:$J$1136,2,FALSE))</f>
        <v/>
      </c>
      <c r="C13" s="74" t="str">
        <f>IF($A13=0,"",VLOOKUP($A13,'00_Mat'!$A$4:$J$1136,3,FALSE))</f>
        <v/>
      </c>
      <c r="D13" s="171"/>
      <c r="E13" s="171"/>
      <c r="F13" s="173"/>
      <c r="G13" s="174">
        <f t="shared" si="1"/>
        <v>0</v>
      </c>
      <c r="H13" s="120" t="str">
        <f>IF($A13=0,"",VLOOKUP($A13,'00_Mat'!$A$4:$J$1136,5,FALSE))</f>
        <v/>
      </c>
      <c r="I13" s="120"/>
    </row>
    <row r="14" ht="14.25" customHeight="1">
      <c r="A14" s="171"/>
      <c r="B14" s="74" t="str">
        <f>IF($A14=0,"",VLOOKUP($A14,'00_Mat'!$A$4:$J$1136,2,FALSE))</f>
        <v/>
      </c>
      <c r="C14" s="74" t="str">
        <f>IF($A14=0,"",VLOOKUP($A14,'00_Mat'!$A$4:$J$1136,3,FALSE))</f>
        <v/>
      </c>
      <c r="D14" s="171"/>
      <c r="E14" s="171"/>
      <c r="F14" s="173"/>
      <c r="G14" s="174">
        <f t="shared" si="1"/>
        <v>0</v>
      </c>
      <c r="H14" s="120" t="str">
        <f>IF($A14=0,"",VLOOKUP($A14,'00_Mat'!$A$4:$J$1136,5,FALSE))</f>
        <v/>
      </c>
      <c r="I14" s="120"/>
    </row>
    <row r="15" ht="14.25" customHeight="1">
      <c r="A15" s="171"/>
      <c r="B15" s="74" t="str">
        <f>IF($A15=0,"",VLOOKUP($A15,'00_Mat'!$A$4:$J$1136,2,FALSE))</f>
        <v/>
      </c>
      <c r="C15" s="74" t="str">
        <f>IF($A15=0,"",VLOOKUP($A15,'00_Mat'!$A$4:$J$1136,3,FALSE))</f>
        <v/>
      </c>
      <c r="D15" s="171"/>
      <c r="E15" s="171"/>
      <c r="F15" s="173"/>
      <c r="G15" s="174">
        <f t="shared" si="1"/>
        <v>0</v>
      </c>
      <c r="H15" s="120" t="str">
        <f>IF($A15=0,"",VLOOKUP($A15,'00_Mat'!$A$4:$J$1136,5,FALSE))</f>
        <v/>
      </c>
      <c r="I15" s="120"/>
    </row>
    <row r="16" ht="14.25" customHeight="1">
      <c r="A16" s="171"/>
      <c r="B16" s="74" t="str">
        <f>IF($A16=0,"",VLOOKUP($A16,'00_Mat'!$A$4:$J$1136,2,FALSE))</f>
        <v/>
      </c>
      <c r="C16" s="74" t="str">
        <f>IF($A16=0,"",VLOOKUP($A16,'00_Mat'!$A$4:$J$1136,3,FALSE))</f>
        <v/>
      </c>
      <c r="D16" s="171"/>
      <c r="E16" s="171"/>
      <c r="F16" s="173"/>
      <c r="G16" s="174">
        <f t="shared" si="1"/>
        <v>0</v>
      </c>
      <c r="H16" s="120" t="str">
        <f>IF($A16=0,"",VLOOKUP($A16,'00_Mat'!$A$4:$J$1136,5,FALSE))</f>
        <v/>
      </c>
      <c r="I16" s="120"/>
    </row>
    <row r="17" ht="14.25" customHeight="1">
      <c r="A17" s="171"/>
      <c r="B17" s="74" t="str">
        <f>IF($A17=0,"",VLOOKUP($A17,'00_Mat'!$A$4:$J$1136,2,FALSE))</f>
        <v/>
      </c>
      <c r="C17" s="74" t="str">
        <f>IF($A17=0,"",VLOOKUP($A17,'00_Mat'!$A$4:$J$1136,3,FALSE))</f>
        <v/>
      </c>
      <c r="D17" s="171"/>
      <c r="E17" s="171"/>
      <c r="F17" s="173"/>
      <c r="G17" s="174">
        <f t="shared" si="1"/>
        <v>0</v>
      </c>
      <c r="H17" s="120" t="str">
        <f>IF($A17=0,"",VLOOKUP($A17,'00_Mat'!$A$4:$J$1136,5,FALSE))</f>
        <v/>
      </c>
      <c r="I17" s="120"/>
    </row>
    <row r="18" ht="14.25" customHeight="1">
      <c r="A18" s="171"/>
      <c r="B18" s="74" t="str">
        <f>IF($A18=0,"",VLOOKUP($A18,'00_Mat'!$A$4:$J$1136,2,FALSE))</f>
        <v/>
      </c>
      <c r="C18" s="74" t="str">
        <f>IF($A18=0,"",VLOOKUP($A18,'00_Mat'!$A$4:$J$1136,3,FALSE))</f>
        <v/>
      </c>
      <c r="D18" s="171"/>
      <c r="E18" s="171"/>
      <c r="F18" s="173"/>
      <c r="G18" s="174">
        <f t="shared" si="1"/>
        <v>0</v>
      </c>
      <c r="H18" s="120" t="str">
        <f>IF($A18=0,"",VLOOKUP($A18,'00_Mat'!$A$4:$J$1136,5,FALSE))</f>
        <v/>
      </c>
      <c r="I18" s="120"/>
    </row>
    <row r="19" ht="14.25" customHeight="1">
      <c r="F19" s="126"/>
      <c r="G19" s="3"/>
      <c r="H19" s="120"/>
      <c r="I19" s="120"/>
    </row>
    <row r="20" ht="14.25" customHeight="1">
      <c r="A20" s="175" t="s">
        <v>786</v>
      </c>
      <c r="B20" s="176"/>
      <c r="C20" s="176"/>
      <c r="D20" s="176"/>
      <c r="E20" s="176"/>
      <c r="F20" s="176"/>
      <c r="G20" s="177"/>
      <c r="H20" s="176"/>
      <c r="I20" s="178">
        <f>SUM(I7:I18)</f>
        <v>12900000</v>
      </c>
      <c r="J20" s="74"/>
      <c r="K20" s="74"/>
      <c r="L20" s="74"/>
    </row>
    <row r="21" ht="14.25" customHeight="1">
      <c r="A21" s="179" t="str">
        <f>$I$3</f>
        <v>m³</v>
      </c>
      <c r="B21" s="180"/>
      <c r="C21" s="180"/>
      <c r="D21" s="180"/>
      <c r="E21" s="180"/>
      <c r="F21" s="180"/>
      <c r="G21" s="5"/>
      <c r="H21" s="180"/>
      <c r="I21" s="172">
        <f>$H$3</f>
        <v>278.991</v>
      </c>
      <c r="J21" s="74"/>
      <c r="K21" s="74"/>
      <c r="L21" s="74"/>
    </row>
    <row r="22" ht="14.25" customHeight="1">
      <c r="A22" s="181" t="s">
        <v>787</v>
      </c>
      <c r="B22" s="179" t="str">
        <f>A21</f>
        <v>m³</v>
      </c>
      <c r="C22" s="180"/>
      <c r="D22" s="180"/>
      <c r="E22" s="180"/>
      <c r="F22" s="180"/>
      <c r="G22" s="5"/>
      <c r="H22" s="180"/>
      <c r="I22" s="182">
        <f>I20/I21</f>
        <v>46238.05069</v>
      </c>
      <c r="J22" s="74"/>
      <c r="K22" s="74"/>
      <c r="L22" s="74"/>
    </row>
    <row r="23" ht="14.25" customHeight="1">
      <c r="G23" s="3"/>
    </row>
    <row r="24" ht="14.25" customHeight="1">
      <c r="G24" s="3"/>
    </row>
    <row r="25" ht="14.25" customHeight="1">
      <c r="A25" s="168" t="s">
        <v>788</v>
      </c>
      <c r="B25" s="76"/>
      <c r="C25" s="76"/>
      <c r="D25" s="76"/>
      <c r="E25" s="76"/>
      <c r="F25" s="76"/>
      <c r="G25" s="2"/>
      <c r="H25" s="76"/>
      <c r="I25" s="76"/>
    </row>
    <row r="26" ht="14.25" customHeight="1">
      <c r="A26" s="169" t="s">
        <v>778</v>
      </c>
      <c r="B26" s="169" t="s">
        <v>779</v>
      </c>
      <c r="C26" s="169" t="s">
        <v>780</v>
      </c>
      <c r="D26" s="169" t="s">
        <v>781</v>
      </c>
      <c r="E26" s="169" t="s">
        <v>789</v>
      </c>
      <c r="F26" s="169" t="s">
        <v>782</v>
      </c>
      <c r="G26" s="4" t="s">
        <v>783</v>
      </c>
      <c r="H26" s="169" t="s">
        <v>784</v>
      </c>
      <c r="I26" s="169" t="s">
        <v>785</v>
      </c>
    </row>
    <row r="27" ht="14.25" customHeight="1">
      <c r="A27" s="183" t="s">
        <v>509</v>
      </c>
      <c r="B27" s="74" t="str">
        <f>IF($A27=0,"",VLOOKUP($A27,'00_MO'!$A$4:$D$7,2,FALSE))</f>
        <v>Capataz</v>
      </c>
      <c r="C27" s="74" t="str">
        <f>IF($A27=0,"",VLOOKUP($A27,'00_MO'!$A$4:$D$7,3,FALSE))</f>
        <v>u</v>
      </c>
      <c r="D27" s="171">
        <v>1.0</v>
      </c>
      <c r="E27" s="171" t="str">
        <f>E69</f>
        <v/>
      </c>
      <c r="F27" s="173">
        <v>0.1</v>
      </c>
      <c r="G27" s="184">
        <f t="shared" ref="G27:G32" si="2">ROUNDUP(((D27*E27)*(1+F27)),0)</f>
        <v>0</v>
      </c>
      <c r="H27" s="120">
        <f>IF($A27=0,"",VLOOKUP($A27,'00_MO'!$A$4:$D$7,4,FALSE))</f>
        <v>50000</v>
      </c>
      <c r="I27" s="120">
        <f t="shared" ref="I27:I29" si="3">G27*H27</f>
        <v>0</v>
      </c>
    </row>
    <row r="28" ht="14.25" customHeight="1">
      <c r="A28" s="183" t="s">
        <v>513</v>
      </c>
      <c r="B28" s="74" t="str">
        <f>IF($A28=0,"",VLOOKUP($A28,'00_MO'!$A$4:$D$7,2,FALSE))</f>
        <v>Oficial</v>
      </c>
      <c r="C28" s="74" t="str">
        <f>IF($A28=0,"",VLOOKUP($A28,'00_MO'!$A$4:$D$7,3,FALSE))</f>
        <v>u</v>
      </c>
      <c r="D28" s="171"/>
      <c r="E28" s="171"/>
      <c r="F28" s="173"/>
      <c r="G28" s="184">
        <f t="shared" si="2"/>
        <v>0</v>
      </c>
      <c r="H28" s="120">
        <f>IF($A28=0,"",VLOOKUP($A28,'00_MO'!$A$4:$D$7,4,FALSE))</f>
        <v>40000</v>
      </c>
      <c r="I28" s="120">
        <f t="shared" si="3"/>
        <v>0</v>
      </c>
    </row>
    <row r="29" ht="14.25" customHeight="1">
      <c r="A29" s="183" t="s">
        <v>515</v>
      </c>
      <c r="B29" s="74" t="str">
        <f>IF($A29=0,"",VLOOKUP($A29,'00_MO'!$A$4:$D$7,2,FALSE))</f>
        <v>Ayudante</v>
      </c>
      <c r="C29" s="74" t="str">
        <f>IF($A29=0,"",VLOOKUP($A29,'00_MO'!$A$4:$D$7,3,FALSE))</f>
        <v>u</v>
      </c>
      <c r="D29" s="171">
        <v>1.0</v>
      </c>
      <c r="E29" s="171" t="str">
        <f>E69</f>
        <v/>
      </c>
      <c r="F29" s="173">
        <v>0.1</v>
      </c>
      <c r="G29" s="184">
        <f t="shared" si="2"/>
        <v>0</v>
      </c>
      <c r="H29" s="120">
        <f>IF($A29=0,"",VLOOKUP($A29,'00_MO'!$A$4:$D$7,4,FALSE))</f>
        <v>30000</v>
      </c>
      <c r="I29" s="120">
        <f t="shared" si="3"/>
        <v>0</v>
      </c>
    </row>
    <row r="30" ht="14.25" customHeight="1">
      <c r="A30" s="171"/>
      <c r="B30" s="74" t="str">
        <f>IF($A30=0,"",VLOOKUP($A30,'00_MO'!$A$4:$D$7,2,FALSE))</f>
        <v/>
      </c>
      <c r="C30" s="74" t="str">
        <f>IF($A30=0,"",VLOOKUP($A30,'00_MO'!$A$4:$D$7,3,FALSE))</f>
        <v/>
      </c>
      <c r="D30" s="171"/>
      <c r="E30" s="171"/>
      <c r="F30" s="173"/>
      <c r="G30" s="184">
        <f t="shared" si="2"/>
        <v>0</v>
      </c>
      <c r="H30" s="120" t="str">
        <f>IF($A30=0,"",VLOOKUP($A30,'00_MO'!$A$4:$D$7,4,FALSE))</f>
        <v/>
      </c>
      <c r="I30" s="120"/>
    </row>
    <row r="31" ht="14.25" customHeight="1">
      <c r="A31" s="171"/>
      <c r="B31" s="74" t="str">
        <f>IF($A31=0,"",VLOOKUP($A31,'00_MO'!$A$4:$D$7,2,FALSE))</f>
        <v/>
      </c>
      <c r="C31" s="74" t="str">
        <f>IF($A31=0,"",VLOOKUP($A31,'00_MO'!$A$4:$D$7,3,FALSE))</f>
        <v/>
      </c>
      <c r="D31" s="171"/>
      <c r="E31" s="171"/>
      <c r="F31" s="173"/>
      <c r="G31" s="184">
        <f t="shared" si="2"/>
        <v>0</v>
      </c>
      <c r="H31" s="120" t="str">
        <f>IF($A31=0,"",VLOOKUP($A31,'00_MO'!$A$4:$D$7,4,FALSE))</f>
        <v/>
      </c>
      <c r="I31" s="120"/>
    </row>
    <row r="32" ht="14.25" customHeight="1">
      <c r="A32" s="171"/>
      <c r="B32" s="74" t="str">
        <f>IF($A32=0,"",VLOOKUP($A32,'00_MO'!$A$4:$D$7,2,FALSE))</f>
        <v/>
      </c>
      <c r="C32" s="74" t="str">
        <f>IF($A32=0,"",VLOOKUP($A32,'00_MO'!$A$4:$D$7,3,FALSE))</f>
        <v/>
      </c>
      <c r="D32" s="171"/>
      <c r="E32" s="171"/>
      <c r="F32" s="173"/>
      <c r="G32" s="184">
        <f t="shared" si="2"/>
        <v>0</v>
      </c>
      <c r="H32" s="120" t="str">
        <f>IF($A32=0,"",VLOOKUP($A32,'00_MO'!$A$4:$D$7,4,FALSE))</f>
        <v/>
      </c>
      <c r="I32" s="120"/>
    </row>
    <row r="33" ht="14.25" customHeight="1">
      <c r="F33" s="126"/>
      <c r="G33" s="3"/>
      <c r="H33" s="120"/>
      <c r="I33" s="120"/>
    </row>
    <row r="34" ht="14.25" customHeight="1">
      <c r="A34" s="175" t="s">
        <v>717</v>
      </c>
      <c r="B34" s="176"/>
      <c r="C34" s="176"/>
      <c r="D34" s="176"/>
      <c r="E34" s="176"/>
      <c r="F34" s="176"/>
      <c r="G34" s="177"/>
      <c r="H34" s="176"/>
      <c r="I34" s="178">
        <f>SUM(I27:I32)</f>
        <v>0</v>
      </c>
    </row>
    <row r="35" ht="14.25" customHeight="1">
      <c r="A35" s="179" t="str">
        <f>$I$3</f>
        <v>m³</v>
      </c>
      <c r="B35" s="180"/>
      <c r="C35" s="180"/>
      <c r="D35" s="180"/>
      <c r="E35" s="180"/>
      <c r="F35" s="180"/>
      <c r="G35" s="5"/>
      <c r="H35" s="180"/>
      <c r="I35" s="172">
        <f>$H$3</f>
        <v>278.991</v>
      </c>
      <c r="J35" s="74"/>
      <c r="K35" s="74"/>
      <c r="L35" s="74"/>
    </row>
    <row r="36" ht="14.25" customHeight="1">
      <c r="A36" s="181" t="s">
        <v>787</v>
      </c>
      <c r="B36" s="179" t="str">
        <f>A35</f>
        <v>m³</v>
      </c>
      <c r="C36" s="180"/>
      <c r="D36" s="180"/>
      <c r="E36" s="180"/>
      <c r="F36" s="180"/>
      <c r="G36" s="5"/>
      <c r="H36" s="180"/>
      <c r="I36" s="182">
        <f>I34/I35</f>
        <v>0</v>
      </c>
      <c r="J36" s="74"/>
      <c r="K36" s="74"/>
      <c r="L36" s="74"/>
    </row>
    <row r="37" ht="14.25" customHeight="1">
      <c r="G37" s="3"/>
    </row>
    <row r="38" ht="14.25" customHeight="1">
      <c r="G38" s="3"/>
    </row>
    <row r="39" ht="14.25" customHeight="1">
      <c r="A39" s="168" t="s">
        <v>790</v>
      </c>
      <c r="B39" s="76"/>
      <c r="C39" s="76"/>
      <c r="D39" s="76"/>
      <c r="E39" s="76"/>
      <c r="F39" s="76"/>
      <c r="G39" s="2"/>
      <c r="H39" s="76"/>
      <c r="I39" s="76"/>
    </row>
    <row r="40" ht="14.25" customHeight="1">
      <c r="A40" s="169" t="s">
        <v>778</v>
      </c>
      <c r="B40" s="169" t="s">
        <v>779</v>
      </c>
      <c r="C40" s="169" t="s">
        <v>780</v>
      </c>
      <c r="D40" s="169" t="s">
        <v>781</v>
      </c>
      <c r="E40" s="169" t="s">
        <v>789</v>
      </c>
      <c r="F40" s="169" t="s">
        <v>782</v>
      </c>
      <c r="G40" s="4" t="s">
        <v>783</v>
      </c>
      <c r="H40" s="169" t="s">
        <v>784</v>
      </c>
      <c r="I40" s="169" t="s">
        <v>785</v>
      </c>
    </row>
    <row r="41" ht="14.25" customHeight="1">
      <c r="A41" s="171"/>
      <c r="B41" s="74" t="str">
        <f>IF($A41=0,"",VLOOKUP($A41,'00_Eq'!$A$4:$D$101,2,FALSE))</f>
        <v/>
      </c>
      <c r="C41" s="74" t="str">
        <f>IF($A41=0,"",VLOOKUP($A41,'00_Eq'!$A$4:$D$101,3,FALSE))</f>
        <v/>
      </c>
      <c r="D41" s="171"/>
      <c r="E41" s="171"/>
      <c r="F41" s="173"/>
      <c r="G41" s="184">
        <f t="shared" ref="G41:G46" si="4">ROUNDUP(((D41*E41)*(1+F41)),0)</f>
        <v>0</v>
      </c>
      <c r="H41" s="120" t="str">
        <f>IF($A41=0,"",VLOOKUP($A41,'00_Eq'!$A$4:$D$101,4,FALSE))</f>
        <v/>
      </c>
      <c r="I41" s="120">
        <f t="shared" ref="I41:I42" si="5">G41*H41</f>
        <v>0</v>
      </c>
    </row>
    <row r="42" ht="14.25" customHeight="1">
      <c r="A42" s="171"/>
      <c r="B42" s="74" t="str">
        <f>IF($A42=0,"",VLOOKUP($A42,'00_Eq'!$A$4:$D$101,2,FALSE))</f>
        <v/>
      </c>
      <c r="C42" s="74" t="str">
        <f>IF($A42=0,"",VLOOKUP($A42,'00_Eq'!$A$4:$D$101,3,FALSE))</f>
        <v/>
      </c>
      <c r="D42" s="171"/>
      <c r="E42" s="171"/>
      <c r="F42" s="173"/>
      <c r="G42" s="184">
        <f t="shared" si="4"/>
        <v>0</v>
      </c>
      <c r="H42" s="120" t="str">
        <f>IF($A42=0,"",VLOOKUP($A42,'00_Eq'!$A$4:$D$101,4,FALSE))</f>
        <v/>
      </c>
      <c r="I42" s="120">
        <f t="shared" si="5"/>
        <v>0</v>
      </c>
    </row>
    <row r="43" ht="14.25" customHeight="1">
      <c r="A43" s="171"/>
      <c r="B43" s="74" t="str">
        <f>IF($A43=0,"",VLOOKUP($A43,'00_Eq'!$A$4:$D$101,2,FALSE))</f>
        <v/>
      </c>
      <c r="C43" s="74" t="str">
        <f>IF($A43=0,"",VLOOKUP($A43,'00_Eq'!$A$4:$D$101,3,FALSE))</f>
        <v/>
      </c>
      <c r="D43" s="171"/>
      <c r="E43" s="171"/>
      <c r="F43" s="173"/>
      <c r="G43" s="184">
        <f t="shared" si="4"/>
        <v>0</v>
      </c>
      <c r="H43" s="120"/>
      <c r="I43" s="120"/>
    </row>
    <row r="44" ht="14.25" customHeight="1">
      <c r="A44" s="171"/>
      <c r="B44" s="74" t="str">
        <f>IF($A44=0,"",VLOOKUP($A44,'00_Eq'!$A$4:$D$101,2,FALSE))</f>
        <v/>
      </c>
      <c r="C44" s="74" t="str">
        <f>IF($A44=0,"",VLOOKUP($A44,'00_Eq'!$A$4:$D$101,3,FALSE))</f>
        <v/>
      </c>
      <c r="D44" s="171"/>
      <c r="E44" s="171"/>
      <c r="F44" s="173"/>
      <c r="G44" s="184">
        <f t="shared" si="4"/>
        <v>0</v>
      </c>
      <c r="H44" s="120"/>
      <c r="I44" s="120"/>
    </row>
    <row r="45" ht="14.25" customHeight="1">
      <c r="A45" s="171"/>
      <c r="B45" s="74" t="str">
        <f>IF($A45=0,"",VLOOKUP($A45,'00_Eq'!$A$4:$D$101,2,FALSE))</f>
        <v/>
      </c>
      <c r="C45" s="74" t="str">
        <f>IF($A45=0,"",VLOOKUP($A45,'00_Eq'!$A$4:$D$101,3,FALSE))</f>
        <v/>
      </c>
      <c r="D45" s="171"/>
      <c r="E45" s="171"/>
      <c r="F45" s="173"/>
      <c r="G45" s="184">
        <f t="shared" si="4"/>
        <v>0</v>
      </c>
      <c r="H45" s="120" t="str">
        <f>IF($A45=0,"",VLOOKUP($A45,'00_Eq'!$A$4:$D$101,4,FALSE))</f>
        <v/>
      </c>
      <c r="I45" s="120"/>
    </row>
    <row r="46" ht="14.25" customHeight="1">
      <c r="A46" s="171"/>
      <c r="B46" s="74" t="str">
        <f>IF($A46=0,"",VLOOKUP($A46,'00_Eq'!$A$4:$D$101,2,FALSE))</f>
        <v/>
      </c>
      <c r="C46" s="74" t="str">
        <f>IF($A46=0,"",VLOOKUP($A46,'00_Eq'!$A$4:$D$101,3,FALSE))</f>
        <v/>
      </c>
      <c r="D46" s="171"/>
      <c r="E46" s="171"/>
      <c r="F46" s="173"/>
      <c r="G46" s="184">
        <f t="shared" si="4"/>
        <v>0</v>
      </c>
      <c r="H46" s="120" t="str">
        <f>IF($A46=0,"",VLOOKUP($A46,'00_Eq'!$A$4:$D$101,4,FALSE))</f>
        <v/>
      </c>
      <c r="I46" s="120"/>
    </row>
    <row r="47" ht="14.25" customHeight="1">
      <c r="F47" s="126"/>
      <c r="G47" s="3"/>
      <c r="H47" s="120"/>
      <c r="I47" s="120"/>
    </row>
    <row r="48" ht="14.25" customHeight="1">
      <c r="A48" s="175" t="s">
        <v>717</v>
      </c>
      <c r="B48" s="176"/>
      <c r="C48" s="176"/>
      <c r="D48" s="176"/>
      <c r="E48" s="176"/>
      <c r="F48" s="176"/>
      <c r="G48" s="177"/>
      <c r="H48" s="176"/>
      <c r="I48" s="178">
        <f>SUM(I41:I46)</f>
        <v>0</v>
      </c>
    </row>
    <row r="49" ht="14.25" customHeight="1">
      <c r="A49" s="179" t="str">
        <f>$I$3</f>
        <v>m³</v>
      </c>
      <c r="B49" s="180"/>
      <c r="C49" s="180"/>
      <c r="D49" s="180"/>
      <c r="E49" s="180"/>
      <c r="F49" s="180"/>
      <c r="G49" s="5"/>
      <c r="H49" s="180"/>
      <c r="I49" s="172">
        <f>$H$3</f>
        <v>278.991</v>
      </c>
      <c r="J49" s="74"/>
      <c r="K49" s="74"/>
      <c r="L49" s="74"/>
    </row>
    <row r="50" ht="14.25" customHeight="1">
      <c r="A50" s="181" t="s">
        <v>787</v>
      </c>
      <c r="B50" s="179" t="str">
        <f>A49</f>
        <v>m³</v>
      </c>
      <c r="C50" s="180"/>
      <c r="D50" s="180"/>
      <c r="E50" s="180"/>
      <c r="F50" s="180"/>
      <c r="G50" s="5"/>
      <c r="H50" s="180"/>
      <c r="I50" s="182">
        <f>I48/I49</f>
        <v>0</v>
      </c>
      <c r="J50" s="74"/>
      <c r="K50" s="74"/>
      <c r="L50" s="74"/>
    </row>
    <row r="51" ht="14.25" customHeight="1">
      <c r="G51" s="3"/>
    </row>
    <row r="52" ht="14.25" customHeight="1">
      <c r="G52" s="3"/>
    </row>
    <row r="53" ht="14.25" customHeight="1">
      <c r="A53" s="168" t="s">
        <v>791</v>
      </c>
      <c r="B53" s="76"/>
      <c r="C53" s="76"/>
      <c r="D53" s="76"/>
      <c r="E53" s="76"/>
      <c r="F53" s="76"/>
      <c r="G53" s="2"/>
      <c r="H53" s="76"/>
      <c r="I53" s="76"/>
    </row>
    <row r="54" ht="14.25" customHeight="1">
      <c r="A54" s="169" t="s">
        <v>778</v>
      </c>
      <c r="B54" s="169" t="s">
        <v>779</v>
      </c>
      <c r="C54" s="169" t="s">
        <v>780</v>
      </c>
      <c r="D54" s="169" t="s">
        <v>781</v>
      </c>
      <c r="E54" s="169"/>
      <c r="F54" s="169" t="s">
        <v>782</v>
      </c>
      <c r="G54" s="4" t="s">
        <v>783</v>
      </c>
      <c r="H54" s="169" t="s">
        <v>784</v>
      </c>
      <c r="I54" s="169" t="s">
        <v>785</v>
      </c>
    </row>
    <row r="55" ht="14.25" customHeight="1">
      <c r="A55" s="171"/>
      <c r="B55" s="74" t="str">
        <f>IF($A55=0,"",VLOOKUP($A55,'00_Mat'!$A$4:$J$1136,2,FALSE))</f>
        <v/>
      </c>
      <c r="C55" s="74" t="str">
        <f>IF($A55=0,"",VLOOKUP($A55,'00_Mat'!$A$4:$J$1136,3,FALSE))</f>
        <v/>
      </c>
      <c r="D55" s="172"/>
      <c r="E55" s="171"/>
      <c r="F55" s="173"/>
      <c r="G55" s="174">
        <f t="shared" ref="G55:G60" si="6">ROUNDUP((D55+(D55*F55)),0)</f>
        <v>0</v>
      </c>
      <c r="H55" s="120" t="str">
        <f>IF($A55=0,"",VLOOKUP($A55,'00_Mat'!$A$4:$J$1136,5,FALSE))</f>
        <v/>
      </c>
      <c r="I55" s="120">
        <f t="shared" ref="I55:I56" si="7">G55*H55</f>
        <v>0</v>
      </c>
    </row>
    <row r="56" ht="14.25" customHeight="1">
      <c r="A56" s="171"/>
      <c r="B56" s="74" t="str">
        <f>IF($A56=0,"",VLOOKUP($A56,'00_Mat'!$A$4:$J$1136,2,FALSE))</f>
        <v/>
      </c>
      <c r="C56" s="74" t="str">
        <f>IF($A56=0,"",VLOOKUP($A56,'00_Mat'!$A$4:$J$1136,3,FALSE))</f>
        <v/>
      </c>
      <c r="D56" s="172"/>
      <c r="E56" s="171"/>
      <c r="F56" s="173"/>
      <c r="G56" s="174">
        <f t="shared" si="6"/>
        <v>0</v>
      </c>
      <c r="H56" s="120" t="str">
        <f>IF($A56=0,"",VLOOKUP($A56,'00_Mat'!$A$4:$J$1136,5,FALSE))</f>
        <v/>
      </c>
      <c r="I56" s="120">
        <f t="shared" si="7"/>
        <v>0</v>
      </c>
    </row>
    <row r="57" ht="14.25" customHeight="1">
      <c r="A57" s="171"/>
      <c r="B57" s="74" t="str">
        <f>IF($A57=0,"",VLOOKUP($A57,'00_Mat'!$A$4:$J$1136,2,FALSE))</f>
        <v/>
      </c>
      <c r="C57" s="74" t="str">
        <f>IF($A57=0,"",VLOOKUP($A57,'00_Mat'!$A$4:$J$1136,3,FALSE))</f>
        <v/>
      </c>
      <c r="D57" s="172"/>
      <c r="E57" s="171"/>
      <c r="F57" s="173"/>
      <c r="G57" s="174">
        <f t="shared" si="6"/>
        <v>0</v>
      </c>
      <c r="H57" s="120" t="str">
        <f>IF($A57=0,"",VLOOKUP($A57,'00_Mat'!$A$4:$J$1136,5,FALSE))</f>
        <v/>
      </c>
      <c r="I57" s="120"/>
    </row>
    <row r="58" ht="14.25" customHeight="1">
      <c r="A58" s="171"/>
      <c r="B58" s="74" t="str">
        <f>IF($A58=0,"",VLOOKUP($A58,'00_Mat'!$A$4:$J$1136,2,FALSE))</f>
        <v/>
      </c>
      <c r="C58" s="74" t="str">
        <f>IF($A58=0,"",VLOOKUP($A58,'00_Mat'!$A$4:$J$1136,3,FALSE))</f>
        <v/>
      </c>
      <c r="D58" s="172"/>
      <c r="E58" s="171"/>
      <c r="F58" s="173"/>
      <c r="G58" s="174">
        <f t="shared" si="6"/>
        <v>0</v>
      </c>
      <c r="H58" s="120" t="str">
        <f>IF($A58=0,"",VLOOKUP($A58,'00_Mat'!$A$4:$J$1136,5,FALSE))</f>
        <v/>
      </c>
      <c r="I58" s="120"/>
    </row>
    <row r="59" ht="14.25" customHeight="1">
      <c r="A59" s="171"/>
      <c r="B59" s="74" t="str">
        <f>IF($A59=0,"",VLOOKUP($A59,'00_Mat'!$A$4:$J$1136,2,FALSE))</f>
        <v/>
      </c>
      <c r="C59" s="74" t="str">
        <f>IF($A59=0,"",VLOOKUP($A59,'00_Mat'!$A$4:$J$1136,3,FALSE))</f>
        <v/>
      </c>
      <c r="D59" s="172"/>
      <c r="E59" s="171"/>
      <c r="F59" s="173"/>
      <c r="G59" s="174">
        <f t="shared" si="6"/>
        <v>0</v>
      </c>
      <c r="H59" s="120" t="str">
        <f>IF($A59=0,"",VLOOKUP($A59,'00_Mat'!$A$4:$J$1136,5,FALSE))</f>
        <v/>
      </c>
      <c r="I59" s="120"/>
    </row>
    <row r="60" ht="14.25" customHeight="1">
      <c r="A60" s="171"/>
      <c r="B60" s="74" t="str">
        <f>IF($A60=0,"",VLOOKUP($A60,'00_Mat'!$A$4:$J$1136,2,FALSE))</f>
        <v/>
      </c>
      <c r="C60" s="74" t="str">
        <f>IF($A60=0,"",VLOOKUP($A60,'00_Mat'!$A$4:$J$1136,3,FALSE))</f>
        <v/>
      </c>
      <c r="D60" s="172"/>
      <c r="E60" s="171"/>
      <c r="F60" s="173"/>
      <c r="G60" s="174">
        <f t="shared" si="6"/>
        <v>0</v>
      </c>
      <c r="H60" s="120" t="str">
        <f>IF($A60=0,"",VLOOKUP($A60,'00_Mat'!$A$4:$J$1136,5,FALSE))</f>
        <v/>
      </c>
      <c r="I60" s="120"/>
    </row>
    <row r="61" ht="14.25" customHeight="1">
      <c r="F61" s="126"/>
      <c r="G61" s="3"/>
      <c r="H61" s="120"/>
      <c r="I61" s="120"/>
    </row>
    <row r="62" ht="14.25" customHeight="1">
      <c r="A62" s="175" t="s">
        <v>717</v>
      </c>
      <c r="B62" s="176"/>
      <c r="C62" s="176"/>
      <c r="D62" s="176"/>
      <c r="E62" s="176"/>
      <c r="F62" s="176"/>
      <c r="G62" s="177"/>
      <c r="H62" s="176"/>
      <c r="I62" s="178">
        <f>SUM(I55:I60)</f>
        <v>0</v>
      </c>
    </row>
    <row r="63" ht="14.25" customHeight="1">
      <c r="A63" s="179" t="str">
        <f>$I$3</f>
        <v>m³</v>
      </c>
      <c r="B63" s="180"/>
      <c r="C63" s="180"/>
      <c r="D63" s="180"/>
      <c r="E63" s="180"/>
      <c r="F63" s="180"/>
      <c r="G63" s="5"/>
      <c r="H63" s="180"/>
      <c r="I63" s="172">
        <f>$H$3</f>
        <v>278.991</v>
      </c>
      <c r="J63" s="74"/>
      <c r="K63" s="74"/>
      <c r="L63" s="74"/>
    </row>
    <row r="64" ht="14.25" customHeight="1">
      <c r="A64" s="181" t="s">
        <v>787</v>
      </c>
      <c r="B64" s="179" t="str">
        <f>A63</f>
        <v>m³</v>
      </c>
      <c r="C64" s="180"/>
      <c r="D64" s="180"/>
      <c r="E64" s="180"/>
      <c r="F64" s="180"/>
      <c r="G64" s="5"/>
      <c r="H64" s="180"/>
      <c r="I64" s="182">
        <f>I62/I63</f>
        <v>0</v>
      </c>
      <c r="J64" s="74"/>
      <c r="K64" s="74"/>
      <c r="L64" s="74"/>
    </row>
    <row r="65" ht="14.25" customHeight="1">
      <c r="G65" s="3"/>
    </row>
    <row r="66" ht="14.25" customHeight="1">
      <c r="G66" s="3"/>
    </row>
    <row r="67" ht="14.25" customHeight="1">
      <c r="A67" s="168" t="s">
        <v>792</v>
      </c>
      <c r="B67" s="76"/>
      <c r="C67" s="76"/>
      <c r="D67" s="76"/>
      <c r="E67" s="76"/>
      <c r="F67" s="76"/>
      <c r="G67" s="2"/>
      <c r="H67" s="76"/>
      <c r="I67" s="76"/>
    </row>
    <row r="68" ht="14.25" customHeight="1">
      <c r="A68" s="169" t="s">
        <v>778</v>
      </c>
      <c r="B68" s="169" t="s">
        <v>779</v>
      </c>
      <c r="C68" s="169" t="s">
        <v>780</v>
      </c>
      <c r="D68" s="169" t="s">
        <v>781</v>
      </c>
      <c r="E68" s="169" t="s">
        <v>789</v>
      </c>
      <c r="F68" s="169" t="s">
        <v>782</v>
      </c>
      <c r="G68" s="4" t="s">
        <v>783</v>
      </c>
      <c r="H68" s="169" t="s">
        <v>784</v>
      </c>
      <c r="I68" s="169" t="s">
        <v>785</v>
      </c>
    </row>
    <row r="69" ht="14.25" customHeight="1">
      <c r="A69" s="171"/>
      <c r="B69" s="74" t="str">
        <f>IF($A69=0,"",VLOOKUP($A69,'00_Sub'!$A$4:$D$1001,2,FALSE))</f>
        <v/>
      </c>
      <c r="C69" s="74" t="str">
        <f>IF($A69=0,"",VLOOKUP($A69,'00_Sub'!$A$4:$D$1001,3,FALSE))</f>
        <v/>
      </c>
      <c r="E69" s="171"/>
      <c r="G69" s="174"/>
      <c r="H69" s="120"/>
      <c r="I69" s="120">
        <f t="shared" ref="I69:I70" si="8">G69*H69</f>
        <v>0</v>
      </c>
    </row>
    <row r="70" ht="14.25" customHeight="1">
      <c r="A70" s="171" t="s">
        <v>614</v>
      </c>
      <c r="B70" s="74" t="str">
        <f>IF($A70=0,"",VLOOKUP($A70,'00_Sub'!$A$4:$D$1001,2,FALSE))</f>
        <v>MINICARGADORA </v>
      </c>
      <c r="C70" s="74" t="str">
        <f>IF($A70=0,"",VLOOKUP($A70,'00_Sub'!$A$4:$D$1001,3,FALSE))</f>
        <v>u</v>
      </c>
      <c r="D70" s="171">
        <v>1.0</v>
      </c>
      <c r="E70" s="171">
        <f>(H3/28)+5</f>
        <v>14.96396429</v>
      </c>
      <c r="F70" s="173">
        <v>0.25</v>
      </c>
      <c r="G70" s="174">
        <f>ROUNDUP((E70+(E70*F70)),0)</f>
        <v>19</v>
      </c>
      <c r="H70" s="120">
        <f>IF($A70=0,"",VLOOKUP($A70,'00_Sub'!$A$4:$D$1001,4,FALSE))</f>
        <v>420000</v>
      </c>
      <c r="I70" s="120">
        <f t="shared" si="8"/>
        <v>7980000</v>
      </c>
    </row>
    <row r="71" ht="14.25" customHeight="1">
      <c r="A71" s="171"/>
      <c r="B71" s="74" t="str">
        <f>IF($A71=0,"",VLOOKUP($A71,'00_Sub'!$A$4:$D$1001,2,FALSE))</f>
        <v/>
      </c>
      <c r="C71" s="74" t="str">
        <f>IF($A71=0,"",VLOOKUP($A71,'00_Sub'!$A$4:$D$1001,3,FALSE))</f>
        <v/>
      </c>
      <c r="D71" s="171"/>
      <c r="E71" s="171"/>
      <c r="F71" s="173"/>
      <c r="G71" s="174">
        <f t="shared" ref="G71:G74" si="9">ROUNDUP((D71+(D71*F71)),0)</f>
        <v>0</v>
      </c>
      <c r="H71" s="120" t="str">
        <f>IF($A71=0,"",VLOOKUP($A71,'00_Sub'!$A$4:$D$1001,4,FALSE))</f>
        <v/>
      </c>
      <c r="I71" s="120"/>
    </row>
    <row r="72" ht="14.25" customHeight="1">
      <c r="A72" s="171"/>
      <c r="B72" s="74" t="str">
        <f>IF($A72=0,"",VLOOKUP($A72,'00_Sub'!$A$4:$D$1001,2,FALSE))</f>
        <v/>
      </c>
      <c r="C72" s="74" t="str">
        <f>IF($A72=0,"",VLOOKUP($A72,'00_Sub'!$A$4:$D$1001,3,FALSE))</f>
        <v/>
      </c>
      <c r="D72" s="171"/>
      <c r="E72" s="171"/>
      <c r="F72" s="173"/>
      <c r="G72" s="174">
        <f t="shared" si="9"/>
        <v>0</v>
      </c>
      <c r="H72" s="120" t="str">
        <f>IF($A72=0,"",VLOOKUP($A72,'00_Sub'!$A$4:$D$1001,4,FALSE))</f>
        <v/>
      </c>
      <c r="I72" s="120"/>
    </row>
    <row r="73" ht="14.25" customHeight="1">
      <c r="A73" s="171"/>
      <c r="B73" s="74" t="str">
        <f>IF($A73=0,"",VLOOKUP($A73,'00_Sub'!$A$4:$D$1001,2,FALSE))</f>
        <v/>
      </c>
      <c r="C73" s="74" t="str">
        <f>IF($A73=0,"",VLOOKUP($A73,'00_Sub'!$A$4:$D$1001,3,FALSE))</f>
        <v/>
      </c>
      <c r="D73" s="171"/>
      <c r="E73" s="171"/>
      <c r="F73" s="173"/>
      <c r="G73" s="174">
        <f t="shared" si="9"/>
        <v>0</v>
      </c>
      <c r="H73" s="120" t="str">
        <f>IF($A73=0,"",VLOOKUP($A73,'00_Sub'!$A$4:$D$1001,4,FALSE))</f>
        <v/>
      </c>
      <c r="I73" s="120"/>
    </row>
    <row r="74" ht="14.25" customHeight="1">
      <c r="A74" s="171"/>
      <c r="B74" s="74" t="str">
        <f>IF($A74=0,"",VLOOKUP($A74,'00_Sub'!$A$4:$D$1001,2,FALSE))</f>
        <v/>
      </c>
      <c r="C74" s="74" t="str">
        <f>IF($A74=0,"",VLOOKUP($A74,'00_Sub'!$A$4:$D$1001,3,FALSE))</f>
        <v/>
      </c>
      <c r="D74" s="171"/>
      <c r="E74" s="171"/>
      <c r="F74" s="173"/>
      <c r="G74" s="174">
        <f t="shared" si="9"/>
        <v>0</v>
      </c>
      <c r="H74" s="120" t="str">
        <f>IF($A74=0,"",VLOOKUP($A74,'00_Sub'!$A$4:$D$1001,4,FALSE))</f>
        <v/>
      </c>
      <c r="I74" s="120"/>
    </row>
    <row r="75" ht="14.25" customHeight="1">
      <c r="F75" s="126"/>
      <c r="G75" s="3"/>
      <c r="H75" s="120"/>
      <c r="I75" s="120"/>
    </row>
    <row r="76" ht="14.25" customHeight="1">
      <c r="A76" s="175" t="s">
        <v>717</v>
      </c>
      <c r="B76" s="176"/>
      <c r="C76" s="176"/>
      <c r="D76" s="176"/>
      <c r="E76" s="176"/>
      <c r="F76" s="176"/>
      <c r="G76" s="177"/>
      <c r="H76" s="176"/>
      <c r="I76" s="178">
        <f>SUM(I69:I74)</f>
        <v>7980000</v>
      </c>
    </row>
    <row r="77" ht="14.25" customHeight="1">
      <c r="A77" s="179" t="str">
        <f>$I$3</f>
        <v>m³</v>
      </c>
      <c r="B77" s="180"/>
      <c r="C77" s="180"/>
      <c r="D77" s="180"/>
      <c r="E77" s="180"/>
      <c r="F77" s="180"/>
      <c r="G77" s="5"/>
      <c r="H77" s="180"/>
      <c r="I77" s="172">
        <f>$H$3</f>
        <v>278.991</v>
      </c>
      <c r="J77" s="74"/>
      <c r="K77" s="74"/>
      <c r="L77" s="74"/>
    </row>
    <row r="78" ht="14.25" customHeight="1">
      <c r="A78" s="181" t="s">
        <v>787</v>
      </c>
      <c r="B78" s="179" t="str">
        <f>A77</f>
        <v>m³</v>
      </c>
      <c r="C78" s="180"/>
      <c r="D78" s="180"/>
      <c r="E78" s="180"/>
      <c r="F78" s="180"/>
      <c r="G78" s="5"/>
      <c r="H78" s="180"/>
      <c r="I78" s="182">
        <f>I76/I77</f>
        <v>28603.07322</v>
      </c>
      <c r="J78" s="74"/>
      <c r="K78" s="74"/>
      <c r="L78" s="74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3.14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73" t="str">
        <f>'01_C&amp;P'!A1</f>
        <v>NOMBRE DE LA OBRA</v>
      </c>
      <c r="B1" s="73"/>
      <c r="C1" s="73"/>
      <c r="G1" s="3"/>
    </row>
    <row r="2" ht="14.25" customHeight="1">
      <c r="G2" s="3"/>
    </row>
    <row r="3" ht="23.25" customHeight="1">
      <c r="A3" s="162">
        <f>'01_C&amp;P'!A21</f>
        <v>45660</v>
      </c>
      <c r="B3" s="163" t="str">
        <f>IF($A3=0,"",VLOOKUP($A3,'01_C&amp;P'!$A$9:$D$91,2,FALSE))</f>
        <v>EJECUCION DE CONTRAPISO DE H8 EN VEREDA ATERRAZADA </v>
      </c>
      <c r="C3" s="164"/>
      <c r="D3" s="164"/>
      <c r="E3" s="164"/>
      <c r="F3" s="164"/>
      <c r="G3" s="165"/>
      <c r="H3" s="166">
        <f>IF($A3=0,"",VLOOKUP($A3,'01_C&amp;P'!$A$9:$D$91,4,FALSE))</f>
        <v>719.3</v>
      </c>
      <c r="I3" s="167" t="str">
        <f>IF($A3=0,"",VLOOKUP($A3,'01_C&amp;P'!$A$9:$D$91,3,FALSE))</f>
        <v>m²</v>
      </c>
    </row>
    <row r="4" ht="14.25" customHeight="1">
      <c r="G4" s="3"/>
    </row>
    <row r="5" ht="14.25" customHeight="1">
      <c r="A5" s="168" t="s">
        <v>0</v>
      </c>
      <c r="B5" s="76"/>
      <c r="C5" s="76"/>
      <c r="D5" s="76"/>
      <c r="E5" s="76"/>
      <c r="F5" s="76"/>
      <c r="G5" s="2"/>
      <c r="H5" s="76"/>
      <c r="I5" s="76"/>
    </row>
    <row r="6" ht="14.25" customHeight="1">
      <c r="A6" s="169" t="s">
        <v>778</v>
      </c>
      <c r="B6" s="169" t="s">
        <v>779</v>
      </c>
      <c r="C6" s="169" t="s">
        <v>780</v>
      </c>
      <c r="D6" s="170" t="s">
        <v>781</v>
      </c>
      <c r="E6" s="164"/>
      <c r="F6" s="169" t="s">
        <v>782</v>
      </c>
      <c r="G6" s="4" t="s">
        <v>783</v>
      </c>
      <c r="H6" s="169" t="s">
        <v>784</v>
      </c>
      <c r="I6" s="169" t="s">
        <v>785</v>
      </c>
    </row>
    <row r="7" ht="14.25" customHeight="1">
      <c r="A7" s="171" t="s">
        <v>238</v>
      </c>
      <c r="B7" s="74" t="str">
        <f>IF($A7=0,"",VLOOKUP($A7,'00_Mat'!$A$4:$J$1136,2,FALSE))</f>
        <v>Nylon 200 Micrones (100 m2 x rollo)</v>
      </c>
      <c r="C7" s="74" t="str">
        <f>IF($A7=0,"",VLOOKUP($A7,'00_Mat'!$A$4:$J$1136,3,FALSE))</f>
        <v>u</v>
      </c>
      <c r="D7" s="171">
        <f>H3/100</f>
        <v>7.193</v>
      </c>
      <c r="E7" s="171"/>
      <c r="F7" s="173">
        <v>0.0</v>
      </c>
      <c r="G7" s="174">
        <f t="shared" ref="G7:G18" si="1">ROUNDUP((D7+(D7*F7)),0)</f>
        <v>8</v>
      </c>
      <c r="H7" s="120">
        <f>IF($A7=0,"",VLOOKUP($A7,'00_Mat'!$A$4:$J$1136,5,FALSE))</f>
        <v>81655</v>
      </c>
      <c r="I7" s="120">
        <f t="shared" ref="I7:I12" si="2">G7*H7</f>
        <v>653240</v>
      </c>
    </row>
    <row r="8" ht="14.25" customHeight="1">
      <c r="A8" s="171" t="s">
        <v>796</v>
      </c>
      <c r="B8" s="74" t="str">
        <f>IF($A8=0,"",VLOOKUP($A8,'00_Mat'!$A$4:$J$1136,2,FALSE))</f>
        <v>Malla Φ 5,5 (2 m x 5 m) (hierros cada 0,18 x 0,18 m) - menos de 50 u (u)</v>
      </c>
      <c r="C8" s="74" t="str">
        <f>IF($A8=0,"",VLOOKUP($A8,'00_Mat'!$A$4:$J$1136,3,FALSE))</f>
        <v>u</v>
      </c>
      <c r="D8" s="171">
        <f>H3/(2*5)</f>
        <v>71.93</v>
      </c>
      <c r="E8" s="171"/>
      <c r="F8" s="173">
        <v>0.1</v>
      </c>
      <c r="G8" s="174">
        <f t="shared" si="1"/>
        <v>80</v>
      </c>
      <c r="H8" s="120">
        <f>IF($A8=0,"",VLOOKUP($A8,'00_Mat'!$A$4:$J$1136,5,FALSE))</f>
        <v>34628.09917</v>
      </c>
      <c r="I8" s="120">
        <f t="shared" si="2"/>
        <v>2770247.934</v>
      </c>
      <c r="J8" s="127" t="s">
        <v>797</v>
      </c>
    </row>
    <row r="9" ht="14.25" customHeight="1">
      <c r="A9" s="171" t="s">
        <v>478</v>
      </c>
      <c r="B9" s="74" t="str">
        <f>IF($A9=0,"",VLOOKUP($A9,'00_Mat'!$A$4:$J$1136,2,FALSE))</f>
        <v>Hormigon H8</v>
      </c>
      <c r="C9" s="74" t="str">
        <f>IF($A9=0,"",VLOOKUP($A9,'00_Mat'!$A$4:$J$1136,3,FALSE))</f>
        <v>m3</v>
      </c>
      <c r="D9" s="171">
        <f>H3*0.1</f>
        <v>71.93</v>
      </c>
      <c r="E9" s="171"/>
      <c r="F9" s="173">
        <v>0.1</v>
      </c>
      <c r="G9" s="174">
        <f t="shared" si="1"/>
        <v>80</v>
      </c>
      <c r="H9" s="120">
        <f>IF($A9=0,"",VLOOKUP($A9,'00_Mat'!$A$4:$J$1136,5,FALSE))</f>
        <v>101500</v>
      </c>
      <c r="I9" s="120">
        <f t="shared" si="2"/>
        <v>8120000</v>
      </c>
    </row>
    <row r="10" ht="14.25" customHeight="1">
      <c r="A10" s="171" t="s">
        <v>494</v>
      </c>
      <c r="B10" s="74" t="str">
        <f>IF($A10=0,"",VLOOKUP($A10,'00_Mat'!$A$4:$J$1136,2,FALSE))</f>
        <v>BOMBA PLUMA</v>
      </c>
      <c r="C10" s="74" t="str">
        <f>IF($A10=0,"",VLOOKUP($A10,'00_Mat'!$A$4:$J$1136,3,FALSE))</f>
        <v>m3</v>
      </c>
      <c r="D10" s="171">
        <f>D9</f>
        <v>71.93</v>
      </c>
      <c r="E10" s="171"/>
      <c r="F10" s="173">
        <v>0.1</v>
      </c>
      <c r="G10" s="174">
        <f t="shared" si="1"/>
        <v>80</v>
      </c>
      <c r="H10" s="120">
        <f>IF($A10=0,"",VLOOKUP($A10,'00_Mat'!$A$4:$J$1136,5,FALSE))</f>
        <v>5200</v>
      </c>
      <c r="I10" s="120">
        <f t="shared" si="2"/>
        <v>416000</v>
      </c>
    </row>
    <row r="11" ht="14.25" customHeight="1">
      <c r="A11" s="171" t="s">
        <v>496</v>
      </c>
      <c r="B11" s="74" t="str">
        <f>IF($A11=0,"",VLOOKUP($A11,'00_Mat'!$A$4:$J$1136,2,FALSE))</f>
        <v>TRASLADO BOMBA PLUMA</v>
      </c>
      <c r="C11" s="74" t="str">
        <f>IF($A11=0,"",VLOOKUP($A11,'00_Mat'!$A$4:$J$1136,3,FALSE))</f>
        <v>u</v>
      </c>
      <c r="D11" s="171">
        <v>1.0</v>
      </c>
      <c r="E11" s="171"/>
      <c r="F11" s="173">
        <v>0.0</v>
      </c>
      <c r="G11" s="174">
        <f t="shared" si="1"/>
        <v>1</v>
      </c>
      <c r="H11" s="120">
        <f>IF($A11=0,"",VLOOKUP($A11,'00_Mat'!$A$4:$J$1136,5,FALSE))</f>
        <v>520000</v>
      </c>
      <c r="I11" s="120">
        <f t="shared" si="2"/>
        <v>520000</v>
      </c>
    </row>
    <row r="12" ht="14.25" customHeight="1">
      <c r="A12" s="171"/>
      <c r="B12" s="74" t="str">
        <f>IF($A12=0,"",VLOOKUP($A12,'00_Mat'!$A$4:$J$1136,2,FALSE))</f>
        <v/>
      </c>
      <c r="C12" s="74" t="str">
        <f>IF($A12=0,"",VLOOKUP($A12,'00_Mat'!$A$4:$J$1136,3,FALSE))</f>
        <v/>
      </c>
      <c r="D12" s="171"/>
      <c r="E12" s="171"/>
      <c r="F12" s="173"/>
      <c r="G12" s="174">
        <f t="shared" si="1"/>
        <v>0</v>
      </c>
      <c r="H12" s="120" t="str">
        <f>IF($A12=0,"",VLOOKUP($A12,'00_Mat'!$A$4:$J$1136,5,FALSE))</f>
        <v/>
      </c>
      <c r="I12" s="120">
        <f t="shared" si="2"/>
        <v>0</v>
      </c>
    </row>
    <row r="13" ht="14.25" customHeight="1">
      <c r="A13" s="171"/>
      <c r="B13" s="74" t="str">
        <f>IF($A13=0,"",VLOOKUP($A13,'00_Mat'!$A$4:$J$1136,2,FALSE))</f>
        <v/>
      </c>
      <c r="C13" s="74" t="str">
        <f>IF($A13=0,"",VLOOKUP($A13,'00_Mat'!$A$4:$J$1136,3,FALSE))</f>
        <v/>
      </c>
      <c r="D13" s="171"/>
      <c r="E13" s="171"/>
      <c r="F13" s="173"/>
      <c r="G13" s="174">
        <f t="shared" si="1"/>
        <v>0</v>
      </c>
      <c r="H13" s="120" t="str">
        <f>IF($A13=0,"",VLOOKUP($A13,'00_Mat'!$A$4:$J$1136,5,FALSE))</f>
        <v/>
      </c>
      <c r="I13" s="120"/>
    </row>
    <row r="14" ht="14.25" customHeight="1">
      <c r="A14" s="171"/>
      <c r="B14" s="74" t="str">
        <f>IF($A14=0,"",VLOOKUP($A14,'00_Mat'!$A$4:$J$1136,2,FALSE))</f>
        <v/>
      </c>
      <c r="C14" s="74" t="str">
        <f>IF($A14=0,"",VLOOKUP($A14,'00_Mat'!$A$4:$J$1136,3,FALSE))</f>
        <v/>
      </c>
      <c r="D14" s="171"/>
      <c r="E14" s="171"/>
      <c r="F14" s="173"/>
      <c r="G14" s="174">
        <f t="shared" si="1"/>
        <v>0</v>
      </c>
      <c r="H14" s="120" t="str">
        <f>IF($A14=0,"",VLOOKUP($A14,'00_Mat'!$A$4:$J$1136,5,FALSE))</f>
        <v/>
      </c>
      <c r="I14" s="120"/>
    </row>
    <row r="15" ht="14.25" customHeight="1">
      <c r="A15" s="171"/>
      <c r="B15" s="74" t="str">
        <f>IF($A15=0,"",VLOOKUP($A15,'00_Mat'!$A$4:$J$1136,2,FALSE))</f>
        <v/>
      </c>
      <c r="C15" s="74" t="str">
        <f>IF($A15=0,"",VLOOKUP($A15,'00_Mat'!$A$4:$J$1136,3,FALSE))</f>
        <v/>
      </c>
      <c r="D15" s="171"/>
      <c r="E15" s="171"/>
      <c r="F15" s="173"/>
      <c r="G15" s="174">
        <f t="shared" si="1"/>
        <v>0</v>
      </c>
      <c r="H15" s="120" t="str">
        <f>IF($A15=0,"",VLOOKUP($A15,'00_Mat'!$A$4:$J$1136,5,FALSE))</f>
        <v/>
      </c>
      <c r="I15" s="120"/>
    </row>
    <row r="16" ht="14.25" customHeight="1">
      <c r="A16" s="171"/>
      <c r="B16" s="74" t="str">
        <f>IF($A16=0,"",VLOOKUP($A16,'00_Mat'!$A$4:$J$1136,2,FALSE))</f>
        <v/>
      </c>
      <c r="C16" s="74" t="str">
        <f>IF($A16=0,"",VLOOKUP($A16,'00_Mat'!$A$4:$J$1136,3,FALSE))</f>
        <v/>
      </c>
      <c r="D16" s="171"/>
      <c r="E16" s="171"/>
      <c r="F16" s="173"/>
      <c r="G16" s="174">
        <f t="shared" si="1"/>
        <v>0</v>
      </c>
      <c r="H16" s="120" t="str">
        <f>IF($A16=0,"",VLOOKUP($A16,'00_Mat'!$A$4:$J$1136,5,FALSE))</f>
        <v/>
      </c>
      <c r="I16" s="120"/>
    </row>
    <row r="17" ht="14.25" customHeight="1">
      <c r="A17" s="171"/>
      <c r="B17" s="74" t="str">
        <f>IF($A17=0,"",VLOOKUP($A17,'00_Mat'!$A$4:$J$1136,2,FALSE))</f>
        <v/>
      </c>
      <c r="C17" s="74" t="str">
        <f>IF($A17=0,"",VLOOKUP($A17,'00_Mat'!$A$4:$J$1136,3,FALSE))</f>
        <v/>
      </c>
      <c r="D17" s="171"/>
      <c r="E17" s="171"/>
      <c r="F17" s="173"/>
      <c r="G17" s="174">
        <f t="shared" si="1"/>
        <v>0</v>
      </c>
      <c r="H17" s="120" t="str">
        <f>IF($A17=0,"",VLOOKUP($A17,'00_Mat'!$A$4:$J$1136,5,FALSE))</f>
        <v/>
      </c>
      <c r="I17" s="120"/>
    </row>
    <row r="18" ht="14.25" customHeight="1">
      <c r="A18" s="171"/>
      <c r="B18" s="74" t="str">
        <f>IF($A18=0,"",VLOOKUP($A18,'00_Mat'!$A$4:$J$1136,2,FALSE))</f>
        <v/>
      </c>
      <c r="C18" s="74" t="str">
        <f>IF($A18=0,"",VLOOKUP($A18,'00_Mat'!$A$4:$J$1136,3,FALSE))</f>
        <v/>
      </c>
      <c r="D18" s="171"/>
      <c r="E18" s="171"/>
      <c r="F18" s="173"/>
      <c r="G18" s="174">
        <f t="shared" si="1"/>
        <v>0</v>
      </c>
      <c r="H18" s="120" t="str">
        <f>IF($A18=0,"",VLOOKUP($A18,'00_Mat'!$A$4:$J$1136,5,FALSE))</f>
        <v/>
      </c>
      <c r="I18" s="120"/>
    </row>
    <row r="19" ht="14.25" customHeight="1">
      <c r="F19" s="126"/>
      <c r="G19" s="3"/>
      <c r="H19" s="120"/>
      <c r="I19" s="120"/>
    </row>
    <row r="20" ht="14.25" customHeight="1">
      <c r="A20" s="175" t="s">
        <v>786</v>
      </c>
      <c r="B20" s="176"/>
      <c r="C20" s="176"/>
      <c r="D20" s="176"/>
      <c r="E20" s="176"/>
      <c r="F20" s="176"/>
      <c r="G20" s="177"/>
      <c r="H20" s="176"/>
      <c r="I20" s="178">
        <f>SUM(I7:I18)</f>
        <v>12479487.93</v>
      </c>
      <c r="J20" s="74"/>
      <c r="K20" s="74"/>
      <c r="L20" s="74" t="s">
        <v>798</v>
      </c>
    </row>
    <row r="21" ht="14.25" customHeight="1">
      <c r="A21" s="179" t="str">
        <f>$I$3</f>
        <v>m²</v>
      </c>
      <c r="B21" s="180"/>
      <c r="C21" s="180"/>
      <c r="D21" s="180"/>
      <c r="E21" s="180"/>
      <c r="F21" s="180"/>
      <c r="G21" s="5"/>
      <c r="H21" s="180"/>
      <c r="I21" s="172">
        <f>$H$3</f>
        <v>719.3</v>
      </c>
      <c r="J21" s="74"/>
      <c r="K21" s="74"/>
      <c r="L21" s="74">
        <f>D9/8</f>
        <v>8.99125</v>
      </c>
    </row>
    <row r="22" ht="14.25" customHeight="1">
      <c r="A22" s="181" t="s">
        <v>787</v>
      </c>
      <c r="B22" s="179" t="str">
        <f>A21</f>
        <v>m²</v>
      </c>
      <c r="C22" s="180"/>
      <c r="D22" s="180"/>
      <c r="E22" s="180"/>
      <c r="F22" s="180"/>
      <c r="G22" s="5"/>
      <c r="H22" s="180"/>
      <c r="I22" s="182">
        <f>I20/I21</f>
        <v>17349.48969</v>
      </c>
      <c r="J22" s="74"/>
      <c r="K22" s="74"/>
      <c r="L22" s="74"/>
    </row>
    <row r="23" ht="14.25" customHeight="1">
      <c r="G23" s="3"/>
    </row>
    <row r="24" ht="14.25" customHeight="1">
      <c r="G24" s="3"/>
    </row>
    <row r="25" ht="14.25" customHeight="1">
      <c r="A25" s="168" t="s">
        <v>788</v>
      </c>
      <c r="B25" s="76"/>
      <c r="C25" s="76"/>
      <c r="D25" s="76"/>
      <c r="E25" s="76"/>
      <c r="F25" s="76"/>
      <c r="G25" s="2"/>
      <c r="H25" s="76"/>
      <c r="I25" s="76"/>
    </row>
    <row r="26" ht="14.25" customHeight="1">
      <c r="A26" s="169" t="s">
        <v>778</v>
      </c>
      <c r="B26" s="169" t="s">
        <v>779</v>
      </c>
      <c r="C26" s="169" t="s">
        <v>780</v>
      </c>
      <c r="D26" s="169" t="s">
        <v>781</v>
      </c>
      <c r="E26" s="169" t="s">
        <v>789</v>
      </c>
      <c r="F26" s="169" t="s">
        <v>782</v>
      </c>
      <c r="G26" s="4" t="s">
        <v>783</v>
      </c>
      <c r="H26" s="169" t="s">
        <v>784</v>
      </c>
      <c r="I26" s="169" t="s">
        <v>785</v>
      </c>
    </row>
    <row r="27" ht="14.25" customHeight="1">
      <c r="A27" s="183" t="s">
        <v>509</v>
      </c>
      <c r="B27" s="74" t="str">
        <f>IF($A27=0,"",VLOOKUP($A27,'00_MO'!$A$4:$D$7,2,FALSE))</f>
        <v>Capataz</v>
      </c>
      <c r="C27" s="74" t="str">
        <f>IF($A27=0,"",VLOOKUP($A27,'00_MO'!$A$4:$D$7,3,FALSE))</f>
        <v>u</v>
      </c>
      <c r="D27" s="171">
        <v>1.0</v>
      </c>
      <c r="E27" s="171">
        <f t="shared" ref="E27:E29" si="3">2+3</f>
        <v>5</v>
      </c>
      <c r="F27" s="173">
        <v>0.25</v>
      </c>
      <c r="G27" s="184">
        <f t="shared" ref="G27:G32" si="4">ROUNDUP(((D27*E27)*(1+F27)),0)</f>
        <v>7</v>
      </c>
      <c r="H27" s="120">
        <f>IF($A27=0,"",VLOOKUP($A27,'00_MO'!$A$4:$D$7,4,FALSE))</f>
        <v>50000</v>
      </c>
      <c r="I27" s="120">
        <f t="shared" ref="I27:I29" si="5">H27*G27</f>
        <v>350000</v>
      </c>
      <c r="K27" s="127" t="s">
        <v>799</v>
      </c>
    </row>
    <row r="28" ht="14.25" customHeight="1">
      <c r="A28" s="183" t="s">
        <v>513</v>
      </c>
      <c r="B28" s="74" t="str">
        <f>IF($A28=0,"",VLOOKUP($A28,'00_MO'!$A$4:$D$7,2,FALSE))</f>
        <v>Oficial</v>
      </c>
      <c r="C28" s="74" t="str">
        <f>IF($A28=0,"",VLOOKUP($A28,'00_MO'!$A$4:$D$7,3,FALSE))</f>
        <v>u</v>
      </c>
      <c r="D28" s="171">
        <v>2.0</v>
      </c>
      <c r="E28" s="171">
        <f t="shared" si="3"/>
        <v>5</v>
      </c>
      <c r="F28" s="173">
        <v>0.25</v>
      </c>
      <c r="G28" s="184">
        <f t="shared" si="4"/>
        <v>13</v>
      </c>
      <c r="H28" s="120">
        <f>IF($A28=0,"",VLOOKUP($A28,'00_MO'!$A$4:$D$7,4,FALSE))</f>
        <v>40000</v>
      </c>
      <c r="I28" s="120">
        <f t="shared" si="5"/>
        <v>520000</v>
      </c>
      <c r="K28" s="127">
        <f>8*2</f>
        <v>16</v>
      </c>
      <c r="L28" s="127" t="s">
        <v>12</v>
      </c>
      <c r="M28" s="127">
        <f>K28/0.1</f>
        <v>160</v>
      </c>
      <c r="N28" s="127" t="s">
        <v>48</v>
      </c>
    </row>
    <row r="29" ht="14.25" customHeight="1">
      <c r="A29" s="183" t="s">
        <v>515</v>
      </c>
      <c r="B29" s="74" t="str">
        <f>IF($A29=0,"",VLOOKUP($A29,'00_MO'!$A$4:$D$7,2,FALSE))</f>
        <v>Ayudante</v>
      </c>
      <c r="C29" s="74" t="str">
        <f>IF($A29=0,"",VLOOKUP($A29,'00_MO'!$A$4:$D$7,3,FALSE))</f>
        <v>u</v>
      </c>
      <c r="D29" s="171">
        <v>2.0</v>
      </c>
      <c r="E29" s="171">
        <f t="shared" si="3"/>
        <v>5</v>
      </c>
      <c r="F29" s="173">
        <v>0.25</v>
      </c>
      <c r="G29" s="184">
        <f t="shared" si="4"/>
        <v>13</v>
      </c>
      <c r="H29" s="120">
        <f>IF($A29=0,"",VLOOKUP($A29,'00_MO'!$A$4:$D$7,4,FALSE))</f>
        <v>30000</v>
      </c>
      <c r="I29" s="120">
        <f t="shared" si="5"/>
        <v>390000</v>
      </c>
      <c r="K29" s="127">
        <f>D9/K28</f>
        <v>4.495625</v>
      </c>
      <c r="M29" s="127">
        <f>H3/M28</f>
        <v>4.495625</v>
      </c>
    </row>
    <row r="30" ht="14.25" customHeight="1">
      <c r="A30" s="171"/>
      <c r="B30" s="74" t="str">
        <f>IF($A30=0,"",VLOOKUP($A30,'00_MO'!$A$4:$D$7,2,FALSE))</f>
        <v/>
      </c>
      <c r="C30" s="74" t="str">
        <f>IF($A30=0,"",VLOOKUP($A30,'00_MO'!$A$4:$D$7,3,FALSE))</f>
        <v/>
      </c>
      <c r="D30" s="171"/>
      <c r="E30" s="171"/>
      <c r="F30" s="173"/>
      <c r="G30" s="184">
        <f t="shared" si="4"/>
        <v>0</v>
      </c>
      <c r="H30" s="120" t="str">
        <f>IF($A30=0,"",VLOOKUP($A30,'00_MO'!$A$4:$D$7,4,FALSE))</f>
        <v/>
      </c>
      <c r="I30" s="120"/>
      <c r="K30" s="127" t="s">
        <v>800</v>
      </c>
    </row>
    <row r="31" ht="14.25" customHeight="1">
      <c r="A31" s="171"/>
      <c r="B31" s="74" t="str">
        <f>IF($A31=0,"",VLOOKUP($A31,'00_MO'!$A$4:$D$7,2,FALSE))</f>
        <v/>
      </c>
      <c r="C31" s="74" t="str">
        <f>IF($A31=0,"",VLOOKUP($A31,'00_MO'!$A$4:$D$7,3,FALSE))</f>
        <v/>
      </c>
      <c r="D31" s="171"/>
      <c r="E31" s="171"/>
      <c r="F31" s="173"/>
      <c r="G31" s="184">
        <f t="shared" si="4"/>
        <v>0</v>
      </c>
      <c r="H31" s="120" t="str">
        <f>IF($A31=0,"",VLOOKUP($A31,'00_MO'!$A$4:$D$7,4,FALSE))</f>
        <v/>
      </c>
      <c r="I31" s="120"/>
    </row>
    <row r="32" ht="14.25" customHeight="1">
      <c r="A32" s="171"/>
      <c r="B32" s="74" t="str">
        <f>IF($A32=0,"",VLOOKUP($A32,'00_MO'!$A$4:$D$7,2,FALSE))</f>
        <v/>
      </c>
      <c r="C32" s="74" t="str">
        <f>IF($A32=0,"",VLOOKUP($A32,'00_MO'!$A$4:$D$7,3,FALSE))</f>
        <v/>
      </c>
      <c r="D32" s="171"/>
      <c r="E32" s="171"/>
      <c r="F32" s="173"/>
      <c r="G32" s="184">
        <f t="shared" si="4"/>
        <v>0</v>
      </c>
      <c r="H32" s="120" t="str">
        <f>IF($A32=0,"",VLOOKUP($A32,'00_MO'!$A$4:$D$7,4,FALSE))</f>
        <v/>
      </c>
      <c r="I32" s="120"/>
    </row>
    <row r="33" ht="14.25" customHeight="1">
      <c r="F33" s="126"/>
      <c r="G33" s="3"/>
      <c r="H33" s="120"/>
      <c r="I33" s="120"/>
    </row>
    <row r="34" ht="14.25" customHeight="1">
      <c r="A34" s="175" t="s">
        <v>717</v>
      </c>
      <c r="B34" s="176"/>
      <c r="C34" s="176"/>
      <c r="D34" s="176"/>
      <c r="E34" s="176"/>
      <c r="F34" s="176"/>
      <c r="G34" s="177"/>
      <c r="H34" s="176"/>
      <c r="I34" s="178">
        <f>SUM(I27:I32)</f>
        <v>1260000</v>
      </c>
    </row>
    <row r="35" ht="14.25" customHeight="1">
      <c r="A35" s="179" t="str">
        <f>$I$3</f>
        <v>m²</v>
      </c>
      <c r="B35" s="180"/>
      <c r="C35" s="180"/>
      <c r="D35" s="180"/>
      <c r="E35" s="180"/>
      <c r="F35" s="180"/>
      <c r="G35" s="5"/>
      <c r="H35" s="180"/>
      <c r="I35" s="172">
        <f>$H$3</f>
        <v>719.3</v>
      </c>
      <c r="J35" s="74"/>
      <c r="K35" s="74"/>
      <c r="L35" s="74"/>
    </row>
    <row r="36" ht="14.25" customHeight="1">
      <c r="A36" s="181" t="s">
        <v>787</v>
      </c>
      <c r="B36" s="179" t="str">
        <f>A35</f>
        <v>m²</v>
      </c>
      <c r="C36" s="180"/>
      <c r="D36" s="180"/>
      <c r="E36" s="180"/>
      <c r="F36" s="180"/>
      <c r="G36" s="5"/>
      <c r="H36" s="180"/>
      <c r="I36" s="182">
        <f>I34/I35</f>
        <v>1751.703045</v>
      </c>
      <c r="J36" s="74"/>
      <c r="K36" s="74"/>
      <c r="L36" s="74"/>
    </row>
    <row r="37" ht="14.25" customHeight="1">
      <c r="G37" s="3"/>
    </row>
    <row r="38" ht="14.25" customHeight="1">
      <c r="G38" s="3"/>
    </row>
    <row r="39" ht="14.25" customHeight="1">
      <c r="A39" s="168" t="s">
        <v>790</v>
      </c>
      <c r="B39" s="76"/>
      <c r="C39" s="76"/>
      <c r="D39" s="76"/>
      <c r="E39" s="76"/>
      <c r="F39" s="76"/>
      <c r="G39" s="2"/>
      <c r="H39" s="76"/>
      <c r="I39" s="76"/>
    </row>
    <row r="40" ht="14.25" customHeight="1">
      <c r="A40" s="169" t="s">
        <v>778</v>
      </c>
      <c r="B40" s="169" t="s">
        <v>779</v>
      </c>
      <c r="C40" s="169" t="s">
        <v>780</v>
      </c>
      <c r="D40" s="169" t="s">
        <v>781</v>
      </c>
      <c r="E40" s="169" t="s">
        <v>789</v>
      </c>
      <c r="F40" s="169" t="s">
        <v>782</v>
      </c>
      <c r="G40" s="4" t="s">
        <v>783</v>
      </c>
      <c r="H40" s="169" t="s">
        <v>784</v>
      </c>
      <c r="I40" s="169" t="s">
        <v>785</v>
      </c>
    </row>
    <row r="41" ht="14.25" customHeight="1">
      <c r="A41" s="171"/>
      <c r="B41" s="74" t="str">
        <f>IF($A41=0,"",VLOOKUP($A41,'00_Eq'!$A$4:$D$6,2,FALSE))</f>
        <v/>
      </c>
      <c r="C41" s="74" t="str">
        <f>IF($A41=0,"",VLOOKUP($A41,'00_Eq'!$A$4:$D$51,3,FALSE))</f>
        <v/>
      </c>
      <c r="D41" s="171"/>
      <c r="E41" s="171"/>
      <c r="F41" s="173"/>
      <c r="G41" s="184">
        <f t="shared" ref="G41:G46" si="6">ROUNDUP(((D41*E41)*(1+F41)),0)</f>
        <v>0</v>
      </c>
      <c r="H41" s="120" t="str">
        <f>IF($A41=0,"",VLOOKUP($A41,'00_Eq'!$A$4:$D$6,4,FALSE))</f>
        <v/>
      </c>
      <c r="I41" s="120"/>
    </row>
    <row r="42" ht="14.25" customHeight="1">
      <c r="A42" s="171"/>
      <c r="B42" s="74" t="str">
        <f>IF($A42=0,"",VLOOKUP($A42,'00_Eq'!$A$4:$D$6,2,FALSE))</f>
        <v/>
      </c>
      <c r="C42" s="74" t="str">
        <f>IF($A42=0,"",VLOOKUP($A42,'00_Eq'!$A$4:$D$51,3,FALSE))</f>
        <v/>
      </c>
      <c r="D42" s="171"/>
      <c r="E42" s="171"/>
      <c r="F42" s="173"/>
      <c r="G42" s="184">
        <f t="shared" si="6"/>
        <v>0</v>
      </c>
      <c r="H42" s="120" t="str">
        <f>IF($A42=0,"",VLOOKUP($A42,'00_Eq'!$A$4:$D$6,4,FALSE))</f>
        <v/>
      </c>
      <c r="I42" s="120"/>
    </row>
    <row r="43" ht="14.25" customHeight="1">
      <c r="A43" s="171"/>
      <c r="B43" s="74" t="str">
        <f>IF($A43=0,"",VLOOKUP($A43,'00_Eq'!$A$4:$D$6,2,FALSE))</f>
        <v/>
      </c>
      <c r="C43" s="74" t="str">
        <f>IF($A43=0,"",VLOOKUP($A43,'00_Eq'!$A$4:$D$51,3,FALSE))</f>
        <v/>
      </c>
      <c r="D43" s="171"/>
      <c r="E43" s="171"/>
      <c r="F43" s="173"/>
      <c r="G43" s="184">
        <f t="shared" si="6"/>
        <v>0</v>
      </c>
      <c r="H43" s="120" t="str">
        <f>IF($A43=0,"",VLOOKUP($A43,'00_Eq'!$A$4:$D$6,4,FALSE))</f>
        <v/>
      </c>
      <c r="I43" s="120"/>
    </row>
    <row r="44" ht="14.25" customHeight="1">
      <c r="A44" s="171"/>
      <c r="B44" s="74" t="str">
        <f>IF($A44=0,"",VLOOKUP($A44,'00_Eq'!$A$4:$D$6,2,FALSE))</f>
        <v/>
      </c>
      <c r="C44" s="74" t="str">
        <f>IF($A44=0,"",VLOOKUP($A44,'00_Eq'!$A$4:$D$51,3,FALSE))</f>
        <v/>
      </c>
      <c r="D44" s="171"/>
      <c r="E44" s="171"/>
      <c r="F44" s="173"/>
      <c r="G44" s="184">
        <f t="shared" si="6"/>
        <v>0</v>
      </c>
      <c r="H44" s="120" t="str">
        <f>IF($A44=0,"",VLOOKUP($A44,'00_Eq'!$A$4:$D$6,4,FALSE))</f>
        <v/>
      </c>
      <c r="I44" s="120"/>
    </row>
    <row r="45" ht="14.25" customHeight="1">
      <c r="A45" s="171"/>
      <c r="B45" s="74" t="str">
        <f>IF($A45=0,"",VLOOKUP($A45,'00_Eq'!$A$4:$D$6,2,FALSE))</f>
        <v/>
      </c>
      <c r="C45" s="74" t="str">
        <f>IF($A45=0,"",VLOOKUP($A45,'00_Eq'!$A$4:$D$51,3,FALSE))</f>
        <v/>
      </c>
      <c r="D45" s="171"/>
      <c r="E45" s="171"/>
      <c r="F45" s="173"/>
      <c r="G45" s="184">
        <f t="shared" si="6"/>
        <v>0</v>
      </c>
      <c r="H45" s="120" t="str">
        <f>IF($A45=0,"",VLOOKUP($A45,'00_Eq'!$A$4:$D$6,4,FALSE))</f>
        <v/>
      </c>
      <c r="I45" s="120"/>
    </row>
    <row r="46" ht="14.25" customHeight="1">
      <c r="A46" s="171"/>
      <c r="B46" s="74" t="str">
        <f>IF($A46=0,"",VLOOKUP($A46,'00_Eq'!$A$4:$D$6,2,FALSE))</f>
        <v/>
      </c>
      <c r="C46" s="74" t="str">
        <f>IF($A46=0,"",VLOOKUP($A46,'00_Eq'!$A$4:$D$51,3,FALSE))</f>
        <v/>
      </c>
      <c r="D46" s="171"/>
      <c r="E46" s="171"/>
      <c r="F46" s="173"/>
      <c r="G46" s="184">
        <f t="shared" si="6"/>
        <v>0</v>
      </c>
      <c r="H46" s="120" t="str">
        <f>IF($A46=0,"",VLOOKUP($A46,'00_Eq'!$A$4:$D$6,4,FALSE))</f>
        <v/>
      </c>
      <c r="I46" s="120"/>
    </row>
    <row r="47" ht="14.25" customHeight="1">
      <c r="F47" s="126"/>
      <c r="G47" s="3"/>
      <c r="H47" s="120"/>
      <c r="I47" s="120"/>
    </row>
    <row r="48" ht="14.25" customHeight="1">
      <c r="A48" s="175" t="s">
        <v>717</v>
      </c>
      <c r="B48" s="176"/>
      <c r="C48" s="176"/>
      <c r="D48" s="176"/>
      <c r="E48" s="176"/>
      <c r="F48" s="176"/>
      <c r="G48" s="177"/>
      <c r="H48" s="176"/>
      <c r="I48" s="178">
        <f>SUM(I41:I46)</f>
        <v>0</v>
      </c>
    </row>
    <row r="49" ht="14.25" customHeight="1">
      <c r="A49" s="179" t="str">
        <f>$I$3</f>
        <v>m²</v>
      </c>
      <c r="B49" s="180"/>
      <c r="C49" s="180"/>
      <c r="D49" s="180"/>
      <c r="E49" s="180"/>
      <c r="F49" s="180"/>
      <c r="G49" s="5"/>
      <c r="H49" s="180"/>
      <c r="I49" s="172">
        <f>$H$3</f>
        <v>719.3</v>
      </c>
      <c r="J49" s="74"/>
      <c r="K49" s="74"/>
      <c r="L49" s="74"/>
    </row>
    <row r="50" ht="14.25" customHeight="1">
      <c r="A50" s="181" t="s">
        <v>787</v>
      </c>
      <c r="B50" s="179" t="str">
        <f>A49</f>
        <v>m²</v>
      </c>
      <c r="C50" s="180"/>
      <c r="D50" s="180"/>
      <c r="E50" s="180"/>
      <c r="F50" s="180"/>
      <c r="G50" s="5"/>
      <c r="H50" s="180"/>
      <c r="I50" s="182">
        <f>I48/I49</f>
        <v>0</v>
      </c>
      <c r="J50" s="74"/>
      <c r="K50" s="74"/>
      <c r="L50" s="74"/>
    </row>
    <row r="51" ht="14.25" customHeight="1">
      <c r="G51" s="3"/>
    </row>
    <row r="52" ht="14.25" customHeight="1">
      <c r="G52" s="3"/>
    </row>
    <row r="53" ht="14.25" customHeight="1">
      <c r="A53" s="168" t="s">
        <v>791</v>
      </c>
      <c r="B53" s="76"/>
      <c r="C53" s="76"/>
      <c r="D53" s="76"/>
      <c r="E53" s="76"/>
      <c r="F53" s="76"/>
      <c r="G53" s="2"/>
      <c r="H53" s="76"/>
      <c r="I53" s="76"/>
    </row>
    <row r="54" ht="14.25" customHeight="1">
      <c r="A54" s="169" t="s">
        <v>778</v>
      </c>
      <c r="B54" s="169" t="s">
        <v>779</v>
      </c>
      <c r="C54" s="169" t="s">
        <v>780</v>
      </c>
      <c r="D54" s="170" t="s">
        <v>781</v>
      </c>
      <c r="E54" s="164"/>
      <c r="F54" s="169" t="s">
        <v>782</v>
      </c>
      <c r="G54" s="4" t="s">
        <v>783</v>
      </c>
      <c r="H54" s="169" t="s">
        <v>784</v>
      </c>
      <c r="I54" s="169" t="s">
        <v>785</v>
      </c>
    </row>
    <row r="55" ht="14.25" customHeight="1">
      <c r="A55" s="171"/>
      <c r="B55" s="74" t="str">
        <f>IF($A55=0,"",VLOOKUP($A55,'00_Mat'!$A$4:$J$1136,2,FALSE))</f>
        <v/>
      </c>
      <c r="C55" s="74" t="str">
        <f>IF($A55=0,"",VLOOKUP($A55,'00_Mat'!$A$4:$J$1136,3,FALSE))</f>
        <v/>
      </c>
      <c r="D55" s="172"/>
      <c r="E55" s="171"/>
      <c r="F55" s="173"/>
      <c r="G55" s="174">
        <f t="shared" ref="G55:G60" si="7">ROUNDUP((D55+(D55*F55)),0)</f>
        <v>0</v>
      </c>
      <c r="H55" s="120" t="str">
        <f>IF($A55=0,"",VLOOKUP($A55,'00_Mat'!$A$4:$J$1136,5,FALSE))</f>
        <v/>
      </c>
      <c r="I55" s="120"/>
    </row>
    <row r="56" ht="14.25" customHeight="1">
      <c r="A56" s="171"/>
      <c r="B56" s="74" t="str">
        <f>IF($A56=0,"",VLOOKUP($A56,'00_Mat'!$A$4:$J$1136,2,FALSE))</f>
        <v/>
      </c>
      <c r="C56" s="74" t="str">
        <f>IF($A56=0,"",VLOOKUP($A56,'00_Mat'!$A$4:$J$1136,3,FALSE))</f>
        <v/>
      </c>
      <c r="D56" s="172"/>
      <c r="E56" s="171"/>
      <c r="F56" s="173"/>
      <c r="G56" s="174">
        <f t="shared" si="7"/>
        <v>0</v>
      </c>
      <c r="H56" s="120" t="str">
        <f>IF($A56=0,"",VLOOKUP($A56,'00_Mat'!$A$4:$J$1136,5,FALSE))</f>
        <v/>
      </c>
      <c r="I56" s="120"/>
    </row>
    <row r="57" ht="14.25" customHeight="1">
      <c r="A57" s="171"/>
      <c r="B57" s="74" t="str">
        <f>IF($A57=0,"",VLOOKUP($A57,'00_Mat'!$A$4:$J$1136,2,FALSE))</f>
        <v/>
      </c>
      <c r="C57" s="74" t="str">
        <f>IF($A57=0,"",VLOOKUP($A57,'00_Mat'!$A$4:$J$1136,3,FALSE))</f>
        <v/>
      </c>
      <c r="D57" s="172"/>
      <c r="E57" s="171"/>
      <c r="F57" s="173"/>
      <c r="G57" s="174">
        <f t="shared" si="7"/>
        <v>0</v>
      </c>
      <c r="H57" s="120" t="str">
        <f>IF($A57=0,"",VLOOKUP($A57,'00_Mat'!$A$4:$J$1136,5,FALSE))</f>
        <v/>
      </c>
      <c r="I57" s="120"/>
    </row>
    <row r="58" ht="14.25" customHeight="1">
      <c r="A58" s="171"/>
      <c r="B58" s="74" t="str">
        <f>IF($A58=0,"",VLOOKUP($A58,'00_Mat'!$A$4:$J$1136,2,FALSE))</f>
        <v/>
      </c>
      <c r="C58" s="74" t="str">
        <f>IF($A58=0,"",VLOOKUP($A58,'00_Mat'!$A$4:$J$1136,3,FALSE))</f>
        <v/>
      </c>
      <c r="D58" s="172"/>
      <c r="E58" s="171"/>
      <c r="F58" s="173"/>
      <c r="G58" s="174">
        <f t="shared" si="7"/>
        <v>0</v>
      </c>
      <c r="H58" s="120" t="str">
        <f>IF($A58=0,"",VLOOKUP($A58,'00_Mat'!$A$4:$J$1136,5,FALSE))</f>
        <v/>
      </c>
      <c r="I58" s="120"/>
    </row>
    <row r="59" ht="14.25" customHeight="1">
      <c r="A59" s="171"/>
      <c r="B59" s="74" t="str">
        <f>IF($A59=0,"",VLOOKUP($A59,'00_Mat'!$A$4:$J$1136,2,FALSE))</f>
        <v/>
      </c>
      <c r="C59" s="74" t="str">
        <f>IF($A59=0,"",VLOOKUP($A59,'00_Mat'!$A$4:$J$1136,3,FALSE))</f>
        <v/>
      </c>
      <c r="D59" s="172"/>
      <c r="E59" s="171"/>
      <c r="F59" s="173"/>
      <c r="G59" s="174">
        <f t="shared" si="7"/>
        <v>0</v>
      </c>
      <c r="H59" s="120" t="str">
        <f>IF($A59=0,"",VLOOKUP($A59,'00_Mat'!$A$4:$J$1136,5,FALSE))</f>
        <v/>
      </c>
      <c r="I59" s="120"/>
    </row>
    <row r="60" ht="14.25" customHeight="1">
      <c r="A60" s="171"/>
      <c r="B60" s="74" t="str">
        <f>IF($A60=0,"",VLOOKUP($A60,'00_Mat'!$A$4:$J$1136,2,FALSE))</f>
        <v/>
      </c>
      <c r="C60" s="74" t="str">
        <f>IF($A60=0,"",VLOOKUP($A60,'00_Mat'!$A$4:$J$1136,3,FALSE))</f>
        <v/>
      </c>
      <c r="D60" s="172"/>
      <c r="E60" s="171"/>
      <c r="F60" s="173"/>
      <c r="G60" s="174">
        <f t="shared" si="7"/>
        <v>0</v>
      </c>
      <c r="H60" s="120" t="str">
        <f>IF($A60=0,"",VLOOKUP($A60,'00_Mat'!$A$4:$J$1136,5,FALSE))</f>
        <v/>
      </c>
      <c r="I60" s="120"/>
    </row>
    <row r="61" ht="14.25" customHeight="1">
      <c r="F61" s="126"/>
      <c r="G61" s="3"/>
      <c r="H61" s="120"/>
      <c r="I61" s="120"/>
    </row>
    <row r="62" ht="14.25" customHeight="1">
      <c r="A62" s="175" t="s">
        <v>717</v>
      </c>
      <c r="B62" s="176"/>
      <c r="C62" s="176"/>
      <c r="D62" s="176"/>
      <c r="E62" s="176"/>
      <c r="F62" s="176"/>
      <c r="G62" s="177"/>
      <c r="H62" s="176"/>
      <c r="I62" s="178">
        <f>SUM(I55:I60)</f>
        <v>0</v>
      </c>
    </row>
    <row r="63" ht="14.25" customHeight="1">
      <c r="A63" s="179" t="str">
        <f>$I$3</f>
        <v>m²</v>
      </c>
      <c r="B63" s="180"/>
      <c r="C63" s="180"/>
      <c r="D63" s="180"/>
      <c r="E63" s="180"/>
      <c r="F63" s="180"/>
      <c r="G63" s="5"/>
      <c r="H63" s="180"/>
      <c r="I63" s="172">
        <f>$H$3</f>
        <v>719.3</v>
      </c>
      <c r="J63" s="74"/>
      <c r="K63" s="74"/>
      <c r="L63" s="74"/>
    </row>
    <row r="64" ht="14.25" customHeight="1">
      <c r="A64" s="181" t="s">
        <v>787</v>
      </c>
      <c r="B64" s="179" t="str">
        <f>A63</f>
        <v>m²</v>
      </c>
      <c r="C64" s="180"/>
      <c r="D64" s="180"/>
      <c r="E64" s="180"/>
      <c r="F64" s="180"/>
      <c r="G64" s="5"/>
      <c r="H64" s="180"/>
      <c r="I64" s="182">
        <f>I62/I63</f>
        <v>0</v>
      </c>
      <c r="J64" s="74"/>
      <c r="K64" s="74"/>
      <c r="L64" s="74"/>
    </row>
    <row r="65" ht="14.25" customHeight="1">
      <c r="G65" s="3"/>
    </row>
    <row r="66" ht="14.25" customHeight="1">
      <c r="G66" s="3"/>
    </row>
    <row r="67" ht="14.25" customHeight="1">
      <c r="A67" s="168" t="s">
        <v>792</v>
      </c>
      <c r="B67" s="76"/>
      <c r="C67" s="76"/>
      <c r="D67" s="76"/>
      <c r="E67" s="76"/>
      <c r="F67" s="76"/>
      <c r="G67" s="2"/>
      <c r="H67" s="76"/>
      <c r="I67" s="76"/>
    </row>
    <row r="68" ht="14.25" customHeight="1">
      <c r="A68" s="169" t="s">
        <v>778</v>
      </c>
      <c r="B68" s="169" t="s">
        <v>779</v>
      </c>
      <c r="C68" s="169" t="s">
        <v>780</v>
      </c>
      <c r="D68" s="169" t="s">
        <v>781</v>
      </c>
      <c r="E68" s="169" t="s">
        <v>789</v>
      </c>
      <c r="F68" s="169" t="s">
        <v>782</v>
      </c>
      <c r="G68" s="4" t="s">
        <v>783</v>
      </c>
      <c r="H68" s="169" t="s">
        <v>784</v>
      </c>
      <c r="I68" s="169" t="s">
        <v>785</v>
      </c>
    </row>
    <row r="69" ht="14.25" customHeight="1">
      <c r="A69" s="171"/>
      <c r="B69" s="74" t="str">
        <f>IF($A69=0,"",VLOOKUP($A69,'00_Sub'!$A$4:$D$1001,2,FALSE))</f>
        <v/>
      </c>
      <c r="C69" s="74" t="str">
        <f>IF($A69=0,"",VLOOKUP($A69,'00_Sub'!$A$4:$D$1001,3,FALSE))</f>
        <v/>
      </c>
      <c r="D69" s="171"/>
      <c r="E69" s="171"/>
      <c r="F69" s="173"/>
      <c r="G69" s="174">
        <f t="shared" ref="G69:G74" si="8">ROUNDUP((D69+(D69*F69)),0)</f>
        <v>0</v>
      </c>
      <c r="H69" s="120" t="str">
        <f>IF($A69=0,"",VLOOKUP($A69,'00_Sub'!$A$4:$D$1001,4,FALSE))</f>
        <v/>
      </c>
      <c r="I69" s="120"/>
    </row>
    <row r="70" ht="14.25" customHeight="1">
      <c r="A70" s="171"/>
      <c r="B70" s="74" t="str">
        <f>IF($A70=0,"",VLOOKUP($A70,'00_Sub'!$A$4:$D$1001,2,FALSE))</f>
        <v/>
      </c>
      <c r="C70" s="74" t="str">
        <f>IF($A70=0,"",VLOOKUP($A70,'00_Sub'!$A$4:$D$1001,3,FALSE))</f>
        <v/>
      </c>
      <c r="D70" s="171"/>
      <c r="E70" s="171"/>
      <c r="F70" s="173"/>
      <c r="G70" s="174">
        <f t="shared" si="8"/>
        <v>0</v>
      </c>
      <c r="H70" s="120" t="str">
        <f>IF($A70=0,"",VLOOKUP($A70,'00_Sub'!$A$4:$D$1001,4,FALSE))</f>
        <v/>
      </c>
      <c r="I70" s="120"/>
    </row>
    <row r="71" ht="14.25" customHeight="1">
      <c r="A71" s="171"/>
      <c r="B71" s="74" t="str">
        <f>IF($A71=0,"",VLOOKUP($A71,'00_Sub'!$A$4:$D$1001,2,FALSE))</f>
        <v/>
      </c>
      <c r="C71" s="74" t="str">
        <f>IF($A71=0,"",VLOOKUP($A71,'00_Sub'!$A$4:$D$1001,3,FALSE))</f>
        <v/>
      </c>
      <c r="D71" s="171"/>
      <c r="E71" s="171"/>
      <c r="F71" s="173"/>
      <c r="G71" s="174">
        <f t="shared" si="8"/>
        <v>0</v>
      </c>
      <c r="H71" s="120" t="str">
        <f>IF($A71=0,"",VLOOKUP($A71,'00_Sub'!$A$4:$D$1001,4,FALSE))</f>
        <v/>
      </c>
      <c r="I71" s="120"/>
    </row>
    <row r="72" ht="14.25" customHeight="1">
      <c r="A72" s="171"/>
      <c r="B72" s="74" t="str">
        <f>IF($A72=0,"",VLOOKUP($A72,'00_Sub'!$A$4:$D$1001,2,FALSE))</f>
        <v/>
      </c>
      <c r="C72" s="74" t="str">
        <f>IF($A72=0,"",VLOOKUP($A72,'00_Sub'!$A$4:$D$1001,3,FALSE))</f>
        <v/>
      </c>
      <c r="D72" s="171"/>
      <c r="E72" s="171"/>
      <c r="F72" s="173"/>
      <c r="G72" s="174">
        <f t="shared" si="8"/>
        <v>0</v>
      </c>
      <c r="H72" s="120" t="str">
        <f>IF($A72=0,"",VLOOKUP($A72,'00_Sub'!$A$4:$D$1001,4,FALSE))</f>
        <v/>
      </c>
      <c r="I72" s="120"/>
    </row>
    <row r="73" ht="14.25" customHeight="1">
      <c r="A73" s="171"/>
      <c r="B73" s="74" t="str">
        <f>IF($A73=0,"",VLOOKUP($A73,'00_Sub'!$A$4:$D$1001,2,FALSE))</f>
        <v/>
      </c>
      <c r="C73" s="74" t="str">
        <f>IF($A73=0,"",VLOOKUP($A73,'00_Sub'!$A$4:$D$1001,3,FALSE))</f>
        <v/>
      </c>
      <c r="D73" s="171"/>
      <c r="E73" s="171"/>
      <c r="F73" s="173"/>
      <c r="G73" s="174">
        <f t="shared" si="8"/>
        <v>0</v>
      </c>
      <c r="H73" s="120" t="str">
        <f>IF($A73=0,"",VLOOKUP($A73,'00_Sub'!$A$4:$D$1001,4,FALSE))</f>
        <v/>
      </c>
      <c r="I73" s="120"/>
    </row>
    <row r="74" ht="14.25" customHeight="1">
      <c r="A74" s="171"/>
      <c r="B74" s="74" t="str">
        <f>IF($A74=0,"",VLOOKUP($A74,'00_Sub'!$A$4:$D$1001,2,FALSE))</f>
        <v/>
      </c>
      <c r="C74" s="74" t="str">
        <f>IF($A74=0,"",VLOOKUP($A74,'00_Sub'!$A$4:$D$1001,3,FALSE))</f>
        <v/>
      </c>
      <c r="D74" s="171"/>
      <c r="E74" s="171"/>
      <c r="F74" s="173"/>
      <c r="G74" s="174">
        <f t="shared" si="8"/>
        <v>0</v>
      </c>
      <c r="H74" s="120" t="str">
        <f>IF($A74=0,"",VLOOKUP($A74,'00_Sub'!$A$4:$D$1001,4,FALSE))</f>
        <v/>
      </c>
      <c r="I74" s="120"/>
    </row>
    <row r="75" ht="14.25" customHeight="1">
      <c r="F75" s="126"/>
      <c r="G75" s="3"/>
      <c r="H75" s="120"/>
      <c r="I75" s="120"/>
    </row>
    <row r="76" ht="14.25" customHeight="1">
      <c r="A76" s="175" t="s">
        <v>717</v>
      </c>
      <c r="B76" s="176"/>
      <c r="C76" s="176"/>
      <c r="D76" s="176"/>
      <c r="E76" s="176"/>
      <c r="F76" s="176"/>
      <c r="G76" s="177"/>
      <c r="H76" s="176"/>
      <c r="I76" s="178">
        <f>SUM(I69:I74)</f>
        <v>0</v>
      </c>
    </row>
    <row r="77" ht="14.25" customHeight="1">
      <c r="A77" s="179" t="str">
        <f>$I$3</f>
        <v>m²</v>
      </c>
      <c r="B77" s="180"/>
      <c r="C77" s="180"/>
      <c r="D77" s="180"/>
      <c r="E77" s="180"/>
      <c r="F77" s="180"/>
      <c r="G77" s="5"/>
      <c r="H77" s="180"/>
      <c r="I77" s="172">
        <f>$H$3</f>
        <v>719.3</v>
      </c>
      <c r="J77" s="74"/>
      <c r="K77" s="74"/>
      <c r="L77" s="74"/>
    </row>
    <row r="78" ht="14.25" customHeight="1">
      <c r="A78" s="181" t="s">
        <v>787</v>
      </c>
      <c r="B78" s="179" t="str">
        <f>A77</f>
        <v>m²</v>
      </c>
      <c r="C78" s="180"/>
      <c r="D78" s="180"/>
      <c r="E78" s="180"/>
      <c r="F78" s="180"/>
      <c r="G78" s="5"/>
      <c r="H78" s="180"/>
      <c r="I78" s="182">
        <f>I76/I77</f>
        <v>0</v>
      </c>
      <c r="J78" s="74"/>
      <c r="K78" s="74"/>
      <c r="L78" s="74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73" t="str">
        <f>'01_C&amp;P'!A1</f>
        <v>NOMBRE DE LA OBRA</v>
      </c>
      <c r="B1" s="73"/>
      <c r="C1" s="73"/>
      <c r="G1" s="3"/>
    </row>
    <row r="2" ht="14.25" customHeight="1">
      <c r="G2" s="3"/>
      <c r="K2" s="127" t="s">
        <v>801</v>
      </c>
    </row>
    <row r="3" ht="23.25" customHeight="1">
      <c r="A3" s="162">
        <f>'01_C&amp;P'!A23</f>
        <v>45719</v>
      </c>
      <c r="B3" s="163" t="str">
        <f>IF($A3=0,"",VLOOKUP($A3,'01_C&amp;P'!$A$9:$D$91,2,FALSE))</f>
        <v>EJECUCION DE ESCALON DE HORMIGON ARMADO CURVO CON ZAPATA PARA CONTECION DE SUELO</v>
      </c>
      <c r="C3" s="164"/>
      <c r="D3" s="164"/>
      <c r="E3" s="164"/>
      <c r="F3" s="164"/>
      <c r="G3" s="165"/>
      <c r="H3" s="166">
        <f>IF($A3=0,"",VLOOKUP($A3,'01_C&amp;P'!$A$9:$D$91,4,FALSE))</f>
        <v>435.5</v>
      </c>
      <c r="I3" s="167" t="str">
        <f>IF($A3=0,"",VLOOKUP($A3,'01_C&amp;P'!$A$9:$D$91,3,FALSE))</f>
        <v>m</v>
      </c>
    </row>
    <row r="4" ht="14.25" customHeight="1">
      <c r="G4" s="3"/>
    </row>
    <row r="5" ht="14.25" customHeight="1">
      <c r="A5" s="168" t="s">
        <v>0</v>
      </c>
      <c r="B5" s="76"/>
      <c r="C5" s="76"/>
      <c r="D5" s="76"/>
      <c r="E5" s="76"/>
      <c r="F5" s="76"/>
      <c r="G5" s="2"/>
      <c r="H5" s="76"/>
      <c r="I5" s="76"/>
    </row>
    <row r="6" ht="14.25" customHeight="1">
      <c r="A6" s="169" t="s">
        <v>778</v>
      </c>
      <c r="B6" s="169" t="s">
        <v>779</v>
      </c>
      <c r="C6" s="169" t="s">
        <v>780</v>
      </c>
      <c r="D6" s="170" t="s">
        <v>781</v>
      </c>
      <c r="E6" s="164"/>
      <c r="F6" s="169" t="s">
        <v>782</v>
      </c>
      <c r="G6" s="4" t="s">
        <v>783</v>
      </c>
      <c r="H6" s="169" t="s">
        <v>784</v>
      </c>
      <c r="I6" s="169" t="s">
        <v>785</v>
      </c>
    </row>
    <row r="7" ht="14.25" customHeight="1">
      <c r="A7" s="171"/>
      <c r="B7" s="74" t="str">
        <f>IF($A7=0,"",VLOOKUP($A7,'00_Mat'!$A$4:$J$1136,2,FALSE))</f>
        <v/>
      </c>
      <c r="C7" s="74" t="str">
        <f>IF($A7=0,"",VLOOKUP($A7,'00_Mat'!$A$4:$J$1136,3,FALSE))</f>
        <v/>
      </c>
      <c r="D7" s="171"/>
      <c r="E7" s="171"/>
      <c r="F7" s="173"/>
      <c r="G7" s="174">
        <f t="shared" ref="G7:G18" si="1">ROUNDUP((D7+(D7*F7)),0)</f>
        <v>0</v>
      </c>
      <c r="H7" s="120" t="str">
        <f>IF($A7=0,"",VLOOKUP($A7,'00_Mat'!$A$4:$J$1136,5,FALSE))</f>
        <v/>
      </c>
      <c r="I7" s="120">
        <f t="shared" ref="I7:I13" si="2">G7*H7</f>
        <v>0</v>
      </c>
    </row>
    <row r="8" ht="14.25" customHeight="1">
      <c r="A8" s="183" t="s">
        <v>114</v>
      </c>
      <c r="B8" s="74" t="str">
        <f>IF($A8=0,"",VLOOKUP($A8,'00_Mat'!$A$4:$J$1136,2,FALSE))</f>
        <v>Hierros ADN 420 Φ 6 </v>
      </c>
      <c r="C8" s="74" t="str">
        <f>IF($A8=0,"",VLOOKUP($A8,'00_Mat'!$A$4:$J$1136,3,FALSE))</f>
        <v>u</v>
      </c>
      <c r="D8" s="171">
        <f>((H3/0.2)*0.6)/12</f>
        <v>108.875</v>
      </c>
      <c r="E8" s="171"/>
      <c r="F8" s="173">
        <v>0.15</v>
      </c>
      <c r="G8" s="174">
        <f t="shared" si="1"/>
        <v>126</v>
      </c>
      <c r="H8" s="120">
        <f>IF($A8=0,"",VLOOKUP($A8,'00_Mat'!$A$4:$J$1136,5,FALSE))</f>
        <v>5250</v>
      </c>
      <c r="I8" s="120">
        <f t="shared" si="2"/>
        <v>661500</v>
      </c>
    </row>
    <row r="9" ht="14.25" customHeight="1">
      <c r="A9" s="183" t="s">
        <v>120</v>
      </c>
      <c r="B9" s="74" t="str">
        <f>IF($A9=0,"",VLOOKUP($A9,'00_Mat'!$A$4:$J$1136,2,FALSE))</f>
        <v>Hierros ADN 420 Φ 12</v>
      </c>
      <c r="C9" s="74" t="str">
        <f>IF($A9=0,"",VLOOKUP($A9,'00_Mat'!$A$4:$J$1136,3,FALSE))</f>
        <v>u</v>
      </c>
      <c r="D9" s="171">
        <f>(H3)/12</f>
        <v>36.29166667</v>
      </c>
      <c r="E9" s="171"/>
      <c r="F9" s="173">
        <v>0.4</v>
      </c>
      <c r="G9" s="174">
        <f t="shared" si="1"/>
        <v>51</v>
      </c>
      <c r="H9" s="120">
        <f>IF($A9=0,"",VLOOKUP($A9,'00_Mat'!$A$4:$J$1136,5,FALSE))</f>
        <v>20442.5</v>
      </c>
      <c r="I9" s="120">
        <f t="shared" si="2"/>
        <v>1042567.5</v>
      </c>
      <c r="J9" s="127" t="s">
        <v>802</v>
      </c>
    </row>
    <row r="10" ht="14.25" customHeight="1">
      <c r="A10" s="183" t="s">
        <v>273</v>
      </c>
      <c r="B10" s="74" t="str">
        <f>IF($A10=0,"",VLOOKUP($A10,'00_Mat'!$A$4:$J$1136,2,FALSE))</f>
        <v>Tabla saligna 1"x5" 3m</v>
      </c>
      <c r="C10" s="74" t="str">
        <f>IF($A10=0,"",VLOOKUP($A10,'00_Mat'!$A$4:$J$1136,3,FALSE))</f>
        <v>u</v>
      </c>
      <c r="D10" s="171">
        <f>(H3*4)/3</f>
        <v>580.6666667</v>
      </c>
      <c r="E10" s="171"/>
      <c r="F10" s="173">
        <v>0.15</v>
      </c>
      <c r="G10" s="174">
        <f t="shared" si="1"/>
        <v>668</v>
      </c>
      <c r="H10" s="120">
        <f>IF($A10=0,"",VLOOKUP($A10,'00_Mat'!$A$4:$J$1136,5,FALSE))</f>
        <v>2900</v>
      </c>
      <c r="I10" s="120">
        <f t="shared" si="2"/>
        <v>1937200</v>
      </c>
      <c r="J10" s="127" t="s">
        <v>802</v>
      </c>
    </row>
    <row r="11" ht="14.25" customHeight="1">
      <c r="A11" s="171" t="s">
        <v>803</v>
      </c>
      <c r="B11" s="74" t="str">
        <f>IF($A11=0,"",VLOOKUP($A11,'00_Mat'!$A$4:$J$1136,2,FALSE))</f>
        <v>Bolson de Piedra (1m3)</v>
      </c>
      <c r="C11" s="74" t="str">
        <f>IF($A11=0,"",VLOOKUP($A11,'00_Mat'!$A$4:$J$1136,3,FALSE))</f>
        <v>m3</v>
      </c>
      <c r="D11" s="171">
        <f>H3*(0.075)</f>
        <v>32.6625</v>
      </c>
      <c r="E11" s="171"/>
      <c r="F11" s="173">
        <v>0.1</v>
      </c>
      <c r="G11" s="174">
        <f t="shared" si="1"/>
        <v>36</v>
      </c>
      <c r="H11" s="120">
        <f>IF($A11=0,"",VLOOKUP($A11,'00_Mat'!$A$4:$J$1136,5,FALSE))</f>
        <v>49586.77686</v>
      </c>
      <c r="I11" s="120">
        <f t="shared" si="2"/>
        <v>1785123.967</v>
      </c>
    </row>
    <row r="12" ht="14.25" customHeight="1">
      <c r="A12" s="171" t="s">
        <v>804</v>
      </c>
      <c r="B12" s="74" t="str">
        <f>IF($A12=0,"",VLOOKUP($A12,'00_Mat'!$A$4:$J$1136,2,FALSE))</f>
        <v>Bolson de Arena (1m3) </v>
      </c>
      <c r="C12" s="74" t="str">
        <f>IF($A12=0,"",VLOOKUP($A12,'00_Mat'!$A$4:$J$1136,3,FALSE))</f>
        <v>m3</v>
      </c>
      <c r="D12" s="171">
        <f>H3*(0.075)</f>
        <v>32.6625</v>
      </c>
      <c r="E12" s="171"/>
      <c r="F12" s="173">
        <v>0.1</v>
      </c>
      <c r="G12" s="174">
        <f t="shared" si="1"/>
        <v>36</v>
      </c>
      <c r="H12" s="120">
        <f>IF($A12=0,"",VLOOKUP($A12,'00_Mat'!$A$4:$J$1136,5,FALSE))</f>
        <v>31040</v>
      </c>
      <c r="I12" s="120">
        <f t="shared" si="2"/>
        <v>1117440</v>
      </c>
    </row>
    <row r="13" ht="14.25" customHeight="1">
      <c r="A13" s="171" t="s">
        <v>805</v>
      </c>
      <c r="B13" s="74" t="str">
        <f>IF($A13=0,"",VLOOKUP($A13,'00_Mat'!$A$4:$J$1136,2,FALSE))</f>
        <v>Bolsa Cemento "Loma Negra" 50 k (u)</v>
      </c>
      <c r="C13" s="74" t="str">
        <f>IF($A13=0,"",VLOOKUP($A13,'00_Mat'!$A$4:$J$1136,3,FALSE))</f>
        <v>u</v>
      </c>
      <c r="D13" s="171">
        <f>D11*7</f>
        <v>228.6375</v>
      </c>
      <c r="E13" s="171"/>
      <c r="F13" s="173">
        <v>0.1</v>
      </c>
      <c r="G13" s="174">
        <f t="shared" si="1"/>
        <v>252</v>
      </c>
      <c r="H13" s="120">
        <f>IF($A13=0,"",VLOOKUP($A13,'00_Mat'!$A$4:$J$1136,5,FALSE))</f>
        <v>10675</v>
      </c>
      <c r="I13" s="120">
        <f t="shared" si="2"/>
        <v>2690100</v>
      </c>
    </row>
    <row r="14" ht="14.25" customHeight="1">
      <c r="A14" s="171"/>
      <c r="B14" s="74" t="str">
        <f>IF($A14=0,"",VLOOKUP($A14,'00_Mat'!$A$4:$J$1136,2,FALSE))</f>
        <v/>
      </c>
      <c r="C14" s="74" t="str">
        <f>IF($A14=0,"",VLOOKUP($A14,'00_Mat'!$A$4:$J$1136,3,FALSE))</f>
        <v/>
      </c>
      <c r="D14" s="171"/>
      <c r="E14" s="171"/>
      <c r="F14" s="173"/>
      <c r="G14" s="174">
        <f t="shared" si="1"/>
        <v>0</v>
      </c>
      <c r="H14" s="120" t="str">
        <f>IF($A14=0,"",VLOOKUP($A14,'00_Mat'!$A$4:$J$1136,5,FALSE))</f>
        <v/>
      </c>
      <c r="I14" s="120"/>
    </row>
    <row r="15" ht="14.25" customHeight="1">
      <c r="A15" s="171"/>
      <c r="B15" s="74" t="str">
        <f>IF($A15=0,"",VLOOKUP($A15,'00_Mat'!$A$4:$J$1136,2,FALSE))</f>
        <v/>
      </c>
      <c r="C15" s="74" t="str">
        <f>IF($A15=0,"",VLOOKUP($A15,'00_Mat'!$A$4:$J$1136,3,FALSE))</f>
        <v/>
      </c>
      <c r="D15" s="171"/>
      <c r="E15" s="171"/>
      <c r="F15" s="173"/>
      <c r="G15" s="174">
        <f t="shared" si="1"/>
        <v>0</v>
      </c>
      <c r="H15" s="120" t="str">
        <f>IF($A15=0,"",VLOOKUP($A15,'00_Mat'!$A$4:$J$1136,5,FALSE))</f>
        <v/>
      </c>
      <c r="I15" s="120"/>
    </row>
    <row r="16" ht="14.25" customHeight="1">
      <c r="A16" s="171"/>
      <c r="B16" s="74" t="str">
        <f>IF($A16=0,"",VLOOKUP($A16,'00_Mat'!$A$4:$J$1136,2,FALSE))</f>
        <v/>
      </c>
      <c r="C16" s="74" t="str">
        <f>IF($A16=0,"",VLOOKUP($A16,'00_Mat'!$A$4:$J$1136,3,FALSE))</f>
        <v/>
      </c>
      <c r="D16" s="171"/>
      <c r="E16" s="171"/>
      <c r="F16" s="173"/>
      <c r="G16" s="174">
        <f t="shared" si="1"/>
        <v>0</v>
      </c>
      <c r="H16" s="120" t="str">
        <f>IF($A16=0,"",VLOOKUP($A16,'00_Mat'!$A$4:$J$1136,5,FALSE))</f>
        <v/>
      </c>
      <c r="I16" s="120"/>
    </row>
    <row r="17" ht="14.25" customHeight="1">
      <c r="A17" s="171"/>
      <c r="B17" s="74" t="str">
        <f>IF($A17=0,"",VLOOKUP($A17,'00_Mat'!$A$4:$J$1136,2,FALSE))</f>
        <v/>
      </c>
      <c r="C17" s="74" t="str">
        <f>IF($A17=0,"",VLOOKUP($A17,'00_Mat'!$A$4:$J$1136,3,FALSE))</f>
        <v/>
      </c>
      <c r="D17" s="171"/>
      <c r="E17" s="171"/>
      <c r="F17" s="173"/>
      <c r="G17" s="174">
        <f t="shared" si="1"/>
        <v>0</v>
      </c>
      <c r="H17" s="120" t="str">
        <f>IF($A17=0,"",VLOOKUP($A17,'00_Mat'!$A$4:$J$1136,5,FALSE))</f>
        <v/>
      </c>
      <c r="I17" s="120"/>
    </row>
    <row r="18" ht="14.25" customHeight="1">
      <c r="A18" s="171"/>
      <c r="B18" s="74" t="str">
        <f>IF($A18=0,"",VLOOKUP($A18,'00_Mat'!$A$4:$J$1136,2,FALSE))</f>
        <v/>
      </c>
      <c r="C18" s="74" t="str">
        <f>IF($A18=0,"",VLOOKUP($A18,'00_Mat'!$A$4:$J$1136,3,FALSE))</f>
        <v/>
      </c>
      <c r="D18" s="171"/>
      <c r="E18" s="171"/>
      <c r="F18" s="173"/>
      <c r="G18" s="174">
        <f t="shared" si="1"/>
        <v>0</v>
      </c>
      <c r="H18" s="120" t="str">
        <f>IF($A18=0,"",VLOOKUP($A18,'00_Mat'!$A$4:$J$1136,5,FALSE))</f>
        <v/>
      </c>
      <c r="I18" s="120"/>
    </row>
    <row r="19" ht="14.25" customHeight="1">
      <c r="F19" s="126"/>
      <c r="G19" s="3"/>
      <c r="H19" s="120"/>
      <c r="I19" s="120"/>
    </row>
    <row r="20" ht="14.25" customHeight="1">
      <c r="A20" s="175" t="s">
        <v>786</v>
      </c>
      <c r="B20" s="176"/>
      <c r="C20" s="176"/>
      <c r="D20" s="176"/>
      <c r="E20" s="176"/>
      <c r="F20" s="176"/>
      <c r="G20" s="177"/>
      <c r="H20" s="176"/>
      <c r="I20" s="178">
        <f>SUM(I7:I18)</f>
        <v>9233931.467</v>
      </c>
      <c r="J20" s="74"/>
      <c r="K20" s="74"/>
      <c r="L20" s="74"/>
    </row>
    <row r="21" ht="14.25" customHeight="1">
      <c r="A21" s="179" t="str">
        <f>$I$3</f>
        <v>m</v>
      </c>
      <c r="B21" s="180"/>
      <c r="C21" s="180"/>
      <c r="D21" s="180"/>
      <c r="E21" s="180"/>
      <c r="F21" s="180"/>
      <c r="G21" s="5"/>
      <c r="H21" s="180"/>
      <c r="I21" s="172">
        <f>$H$3</f>
        <v>435.5</v>
      </c>
      <c r="J21" s="74"/>
      <c r="K21" s="74"/>
      <c r="L21" s="74"/>
    </row>
    <row r="22" ht="14.25" customHeight="1">
      <c r="A22" s="181" t="s">
        <v>787</v>
      </c>
      <c r="B22" s="179" t="str">
        <f>A21</f>
        <v>m</v>
      </c>
      <c r="C22" s="180"/>
      <c r="D22" s="180"/>
      <c r="E22" s="180"/>
      <c r="F22" s="180"/>
      <c r="G22" s="5"/>
      <c r="H22" s="180"/>
      <c r="I22" s="182">
        <f>I20/I21</f>
        <v>21203.05733</v>
      </c>
      <c r="J22" s="74"/>
      <c r="K22" s="74"/>
      <c r="L22" s="74"/>
    </row>
    <row r="23" ht="14.25" customHeight="1">
      <c r="G23" s="3"/>
    </row>
    <row r="24" ht="14.25" customHeight="1">
      <c r="G24" s="3"/>
    </row>
    <row r="25" ht="14.25" customHeight="1">
      <c r="A25" s="168" t="s">
        <v>788</v>
      </c>
      <c r="B25" s="76"/>
      <c r="C25" s="76"/>
      <c r="D25" s="76"/>
      <c r="E25" s="76"/>
      <c r="F25" s="76"/>
      <c r="G25" s="2"/>
      <c r="H25" s="76"/>
      <c r="I25" s="76"/>
    </row>
    <row r="26" ht="14.25" customHeight="1">
      <c r="A26" s="169" t="s">
        <v>778</v>
      </c>
      <c r="B26" s="169" t="s">
        <v>779</v>
      </c>
      <c r="C26" s="169" t="s">
        <v>780</v>
      </c>
      <c r="D26" s="169" t="s">
        <v>781</v>
      </c>
      <c r="E26" s="169" t="s">
        <v>789</v>
      </c>
      <c r="F26" s="169" t="s">
        <v>782</v>
      </c>
      <c r="G26" s="4" t="s">
        <v>783</v>
      </c>
      <c r="H26" s="169" t="s">
        <v>784</v>
      </c>
      <c r="I26" s="169" t="s">
        <v>785</v>
      </c>
    </row>
    <row r="27" ht="14.25" customHeight="1">
      <c r="A27" s="183" t="s">
        <v>509</v>
      </c>
      <c r="B27" s="74" t="str">
        <f>IF($A27=0,"",VLOOKUP($A27,'00_MO'!$A$4:$D$7,2,FALSE))</f>
        <v>Capataz</v>
      </c>
      <c r="C27" s="74" t="str">
        <f>IF($A27=0,"",VLOOKUP($A27,'00_MO'!$A$4:$D$7,3,FALSE))</f>
        <v>u</v>
      </c>
      <c r="D27" s="171">
        <v>1.0</v>
      </c>
      <c r="E27" s="171">
        <f>H3/30</f>
        <v>14.51666667</v>
      </c>
      <c r="F27" s="173">
        <v>0.25</v>
      </c>
      <c r="G27" s="184">
        <f t="shared" ref="G27:G32" si="3">ROUNDUP(((D27*E27)*(1+F27)),0)</f>
        <v>19</v>
      </c>
      <c r="H27" s="120">
        <f>IF($A27=0,"",VLOOKUP($A27,'00_MO'!$A$4:$D$7,4,FALSE))</f>
        <v>50000</v>
      </c>
      <c r="I27" s="120">
        <f t="shared" ref="I27:I32" si="4">H27*G27</f>
        <v>950000</v>
      </c>
    </row>
    <row r="28" ht="14.25" customHeight="1">
      <c r="A28" s="183" t="s">
        <v>513</v>
      </c>
      <c r="B28" s="74" t="str">
        <f>IF($A28=0,"",VLOOKUP($A28,'00_MO'!$A$4:$D$7,2,FALSE))</f>
        <v>Oficial</v>
      </c>
      <c r="C28" s="74" t="str">
        <f>IF($A28=0,"",VLOOKUP($A28,'00_MO'!$A$4:$D$7,3,FALSE))</f>
        <v>u</v>
      </c>
      <c r="D28" s="171">
        <v>2.0</v>
      </c>
      <c r="E28" s="171">
        <f>E27</f>
        <v>14.51666667</v>
      </c>
      <c r="F28" s="173">
        <v>0.25</v>
      </c>
      <c r="G28" s="184">
        <f t="shared" si="3"/>
        <v>37</v>
      </c>
      <c r="H28" s="120">
        <f>IF($A28=0,"",VLOOKUP($A28,'00_MO'!$A$4:$D$7,4,FALSE))</f>
        <v>40000</v>
      </c>
      <c r="I28" s="120">
        <f t="shared" si="4"/>
        <v>1480000</v>
      </c>
    </row>
    <row r="29" ht="14.25" customHeight="1">
      <c r="A29" s="183" t="s">
        <v>515</v>
      </c>
      <c r="B29" s="74" t="str">
        <f>IF($A29=0,"",VLOOKUP($A29,'00_MO'!$A$4:$D$7,2,FALSE))</f>
        <v>Ayudante</v>
      </c>
      <c r="C29" s="74" t="str">
        <f>IF($A29=0,"",VLOOKUP($A29,'00_MO'!$A$4:$D$7,3,FALSE))</f>
        <v>u</v>
      </c>
      <c r="D29" s="171">
        <v>2.0</v>
      </c>
      <c r="E29" s="171">
        <f>E27</f>
        <v>14.51666667</v>
      </c>
      <c r="F29" s="173">
        <v>0.25</v>
      </c>
      <c r="G29" s="184">
        <f t="shared" si="3"/>
        <v>37</v>
      </c>
      <c r="H29" s="120">
        <f>IF($A29=0,"",VLOOKUP($A29,'00_MO'!$A$4:$D$7,4,FALSE))</f>
        <v>30000</v>
      </c>
      <c r="I29" s="120">
        <f t="shared" si="4"/>
        <v>1110000</v>
      </c>
    </row>
    <row r="30" ht="14.25" customHeight="1">
      <c r="A30" s="171"/>
      <c r="B30" s="74" t="str">
        <f>IF($A30=0,"",VLOOKUP($A30,'00_MO'!$A$4:$D$7,2,FALSE))</f>
        <v/>
      </c>
      <c r="C30" s="74" t="str">
        <f>IF($A30=0,"",VLOOKUP($A30,'00_MO'!$A$4:$D$7,3,FALSE))</f>
        <v/>
      </c>
      <c r="D30" s="171"/>
      <c r="E30" s="171"/>
      <c r="F30" s="173"/>
      <c r="G30" s="184">
        <f t="shared" si="3"/>
        <v>0</v>
      </c>
      <c r="H30" s="120" t="str">
        <f>IF($A30=0,"",VLOOKUP($A30,'00_MO'!$A$4:$D$7,4,FALSE))</f>
        <v/>
      </c>
      <c r="I30" s="120">
        <f t="shared" si="4"/>
        <v>0</v>
      </c>
    </row>
    <row r="31" ht="14.25" customHeight="1">
      <c r="A31" s="171"/>
      <c r="B31" s="74" t="str">
        <f>IF($A31=0,"",VLOOKUP($A31,'00_MO'!$A$4:$D$7,2,FALSE))</f>
        <v/>
      </c>
      <c r="C31" s="74" t="str">
        <f>IF($A31=0,"",VLOOKUP($A31,'00_MO'!$A$4:$D$7,3,FALSE))</f>
        <v/>
      </c>
      <c r="D31" s="171"/>
      <c r="E31" s="171"/>
      <c r="F31" s="173"/>
      <c r="G31" s="184">
        <f t="shared" si="3"/>
        <v>0</v>
      </c>
      <c r="H31" s="120" t="str">
        <f>IF($A31=0,"",VLOOKUP($A31,'00_MO'!$A$4:$D$7,4,FALSE))</f>
        <v/>
      </c>
      <c r="I31" s="120">
        <f t="shared" si="4"/>
        <v>0</v>
      </c>
    </row>
    <row r="32" ht="14.25" customHeight="1">
      <c r="A32" s="171"/>
      <c r="B32" s="74" t="str">
        <f>IF($A32=0,"",VLOOKUP($A32,'00_MO'!$A$4:$D$7,2,FALSE))</f>
        <v/>
      </c>
      <c r="C32" s="74" t="str">
        <f>IF($A32=0,"",VLOOKUP($A32,'00_MO'!$A$4:$D$7,3,FALSE))</f>
        <v/>
      </c>
      <c r="D32" s="171"/>
      <c r="E32" s="171"/>
      <c r="F32" s="173"/>
      <c r="G32" s="184">
        <f t="shared" si="3"/>
        <v>0</v>
      </c>
      <c r="H32" s="120" t="str">
        <f>IF($A32=0,"",VLOOKUP($A32,'00_MO'!$A$4:$D$7,4,FALSE))</f>
        <v/>
      </c>
      <c r="I32" s="120">
        <f t="shared" si="4"/>
        <v>0</v>
      </c>
    </row>
    <row r="33" ht="14.25" customHeight="1">
      <c r="F33" s="126"/>
      <c r="G33" s="3"/>
      <c r="H33" s="120"/>
      <c r="I33" s="120"/>
    </row>
    <row r="34" ht="14.25" customHeight="1">
      <c r="A34" s="175" t="s">
        <v>717</v>
      </c>
      <c r="B34" s="176"/>
      <c r="C34" s="176"/>
      <c r="D34" s="176"/>
      <c r="E34" s="176"/>
      <c r="F34" s="176"/>
      <c r="G34" s="177"/>
      <c r="H34" s="176"/>
      <c r="I34" s="178">
        <f>SUM(I27:I32)</f>
        <v>3540000</v>
      </c>
    </row>
    <row r="35" ht="14.25" customHeight="1">
      <c r="A35" s="179" t="str">
        <f>$I$3</f>
        <v>m</v>
      </c>
      <c r="B35" s="180"/>
      <c r="C35" s="180"/>
      <c r="D35" s="180"/>
      <c r="E35" s="180"/>
      <c r="F35" s="180"/>
      <c r="G35" s="5"/>
      <c r="H35" s="180"/>
      <c r="I35" s="172">
        <f>$H$3</f>
        <v>435.5</v>
      </c>
      <c r="J35" s="74"/>
      <c r="K35" s="74"/>
      <c r="L35" s="74"/>
    </row>
    <row r="36" ht="14.25" customHeight="1">
      <c r="A36" s="181" t="s">
        <v>787</v>
      </c>
      <c r="B36" s="179" t="str">
        <f>A35</f>
        <v>m</v>
      </c>
      <c r="C36" s="180"/>
      <c r="D36" s="180"/>
      <c r="E36" s="180"/>
      <c r="F36" s="180"/>
      <c r="G36" s="5"/>
      <c r="H36" s="180"/>
      <c r="I36" s="182">
        <f>I34/I35</f>
        <v>8128.58783</v>
      </c>
      <c r="J36" s="74"/>
      <c r="K36" s="74"/>
      <c r="L36" s="74"/>
    </row>
    <row r="37" ht="14.25" customHeight="1">
      <c r="G37" s="3"/>
    </row>
    <row r="38" ht="14.25" customHeight="1">
      <c r="G38" s="3"/>
    </row>
    <row r="39" ht="14.25" customHeight="1">
      <c r="A39" s="168" t="s">
        <v>790</v>
      </c>
      <c r="B39" s="76"/>
      <c r="C39" s="76"/>
      <c r="D39" s="76"/>
      <c r="E39" s="76"/>
      <c r="F39" s="76"/>
      <c r="G39" s="2"/>
      <c r="H39" s="76"/>
      <c r="I39" s="76"/>
    </row>
    <row r="40" ht="14.25" customHeight="1">
      <c r="A40" s="169" t="s">
        <v>778</v>
      </c>
      <c r="B40" s="169" t="s">
        <v>779</v>
      </c>
      <c r="C40" s="169" t="s">
        <v>780</v>
      </c>
      <c r="D40" s="169" t="s">
        <v>781</v>
      </c>
      <c r="E40" s="169" t="s">
        <v>789</v>
      </c>
      <c r="F40" s="169" t="s">
        <v>782</v>
      </c>
      <c r="G40" s="4" t="s">
        <v>783</v>
      </c>
      <c r="H40" s="169" t="s">
        <v>784</v>
      </c>
      <c r="I40" s="169" t="s">
        <v>785</v>
      </c>
    </row>
    <row r="41" ht="14.25" customHeight="1">
      <c r="A41" s="5" t="s">
        <v>521</v>
      </c>
      <c r="B41" s="74" t="str">
        <f>IF($A41=0,"",VLOOKUP($A41,'00_Eq'!$A$4:$D$101,2,FALSE))</f>
        <v>Mini Cargadora</v>
      </c>
      <c r="C41" s="74" t="str">
        <f>IF($A41=0,"",VLOOKUP($A41,'00_Eq'!$A$4:$D$101,3,FALSE))</f>
        <v>u</v>
      </c>
      <c r="D41" s="171">
        <v>1.0</v>
      </c>
      <c r="E41" s="171">
        <f>E27</f>
        <v>14.51666667</v>
      </c>
      <c r="F41" s="173"/>
      <c r="G41" s="184">
        <f t="shared" ref="G41:G46" si="5">ROUNDUP(((D41*E41)*(1+F41)),0)</f>
        <v>15</v>
      </c>
      <c r="H41" s="120">
        <f>IF($A41=0,"",VLOOKUP($A41,'00_Eq'!$A$4:$D$101,4,FALSE))</f>
        <v>420000</v>
      </c>
      <c r="I41" s="120">
        <f t="shared" ref="I41:I42" si="6">G41*H41</f>
        <v>6300000</v>
      </c>
    </row>
    <row r="42" ht="14.25" customHeight="1">
      <c r="A42" s="171"/>
      <c r="B42" s="74" t="str">
        <f>IF($A42=0,"",VLOOKUP($A42,'00_Eq'!$A$4:$D$101,2,FALSE))</f>
        <v/>
      </c>
      <c r="C42" s="74" t="str">
        <f>IF($A42=0,"",VLOOKUP($A42,'00_Eq'!$A$4:$D$101,3,FALSE))</f>
        <v/>
      </c>
      <c r="D42" s="171"/>
      <c r="E42" s="171"/>
      <c r="F42" s="173"/>
      <c r="G42" s="184">
        <f t="shared" si="5"/>
        <v>0</v>
      </c>
      <c r="H42" s="120" t="str">
        <f>IF($A42=0,"",VLOOKUP($A42,'00_Eq'!$A$4:$D$101,4,FALSE))</f>
        <v/>
      </c>
      <c r="I42" s="120">
        <f t="shared" si="6"/>
        <v>0</v>
      </c>
    </row>
    <row r="43" ht="14.25" customHeight="1">
      <c r="A43" s="171"/>
      <c r="B43" s="74" t="str">
        <f>IF($A43=0,"",VLOOKUP($A43,'00_Eq'!$A$4:$D$101,2,FALSE))</f>
        <v/>
      </c>
      <c r="C43" s="74" t="str">
        <f>IF($A43=0,"",VLOOKUP($A43,'00_Eq'!$A$4:$D$101,3,FALSE))</f>
        <v/>
      </c>
      <c r="D43" s="171"/>
      <c r="E43" s="171"/>
      <c r="F43" s="173"/>
      <c r="G43" s="184">
        <f t="shared" si="5"/>
        <v>0</v>
      </c>
      <c r="H43" s="120"/>
      <c r="I43" s="120"/>
    </row>
    <row r="44" ht="14.25" customHeight="1">
      <c r="A44" s="171"/>
      <c r="B44" s="74" t="str">
        <f>IF($A44=0,"",VLOOKUP($A44,'00_Eq'!$A$4:$D$101,2,FALSE))</f>
        <v/>
      </c>
      <c r="C44" s="74" t="str">
        <f>IF($A44=0,"",VLOOKUP($A44,'00_Eq'!$A$4:$D$101,3,FALSE))</f>
        <v/>
      </c>
      <c r="D44" s="171"/>
      <c r="E44" s="171"/>
      <c r="F44" s="173"/>
      <c r="G44" s="184">
        <f t="shared" si="5"/>
        <v>0</v>
      </c>
      <c r="H44" s="120"/>
      <c r="I44" s="120"/>
    </row>
    <row r="45" ht="14.25" customHeight="1">
      <c r="A45" s="171"/>
      <c r="B45" s="74" t="str">
        <f>IF($A45=0,"",VLOOKUP($A45,'00_Eq'!$A$4:$D$101,2,FALSE))</f>
        <v/>
      </c>
      <c r="C45" s="74" t="str">
        <f>IF($A45=0,"",VLOOKUP($A45,'00_Eq'!$A$4:$D$101,3,FALSE))</f>
        <v/>
      </c>
      <c r="D45" s="171"/>
      <c r="E45" s="171"/>
      <c r="F45" s="173"/>
      <c r="G45" s="184">
        <f t="shared" si="5"/>
        <v>0</v>
      </c>
      <c r="H45" s="120" t="str">
        <f>IF($A45=0,"",VLOOKUP($A45,'00_Eq'!$A$4:$D$101,4,FALSE))</f>
        <v/>
      </c>
      <c r="I45" s="120"/>
    </row>
    <row r="46" ht="14.25" customHeight="1">
      <c r="A46" s="171"/>
      <c r="B46" s="74" t="str">
        <f>IF($A46=0,"",VLOOKUP($A46,'00_Eq'!$A$4:$D$101,2,FALSE))</f>
        <v/>
      </c>
      <c r="C46" s="74" t="str">
        <f>IF($A46=0,"",VLOOKUP($A46,'00_Eq'!$A$4:$D$101,3,FALSE))</f>
        <v/>
      </c>
      <c r="D46" s="171"/>
      <c r="E46" s="171"/>
      <c r="F46" s="173"/>
      <c r="G46" s="184">
        <f t="shared" si="5"/>
        <v>0</v>
      </c>
      <c r="H46" s="120" t="str">
        <f>IF($A46=0,"",VLOOKUP($A46,'00_Eq'!$A$4:$D$101,4,FALSE))</f>
        <v/>
      </c>
      <c r="I46" s="120"/>
    </row>
    <row r="47" ht="14.25" customHeight="1">
      <c r="F47" s="126"/>
      <c r="G47" s="3"/>
      <c r="H47" s="120"/>
      <c r="I47" s="120"/>
    </row>
    <row r="48" ht="14.25" customHeight="1">
      <c r="A48" s="175" t="s">
        <v>717</v>
      </c>
      <c r="B48" s="176"/>
      <c r="C48" s="176"/>
      <c r="D48" s="176"/>
      <c r="E48" s="176"/>
      <c r="F48" s="176"/>
      <c r="G48" s="177"/>
      <c r="H48" s="176"/>
      <c r="I48" s="178">
        <f>SUM(I41:I46)</f>
        <v>6300000</v>
      </c>
    </row>
    <row r="49" ht="14.25" customHeight="1">
      <c r="A49" s="179" t="str">
        <f>$I$3</f>
        <v>m</v>
      </c>
      <c r="B49" s="180"/>
      <c r="C49" s="180"/>
      <c r="D49" s="180"/>
      <c r="E49" s="180"/>
      <c r="F49" s="180"/>
      <c r="G49" s="5"/>
      <c r="H49" s="180"/>
      <c r="I49" s="172">
        <f>$H$3</f>
        <v>435.5</v>
      </c>
      <c r="J49" s="74"/>
      <c r="K49" s="74"/>
      <c r="L49" s="74"/>
    </row>
    <row r="50" ht="14.25" customHeight="1">
      <c r="A50" s="181" t="s">
        <v>787</v>
      </c>
      <c r="B50" s="179" t="str">
        <f>A49</f>
        <v>m</v>
      </c>
      <c r="C50" s="180"/>
      <c r="D50" s="180"/>
      <c r="E50" s="180"/>
      <c r="F50" s="180"/>
      <c r="G50" s="5"/>
      <c r="H50" s="180"/>
      <c r="I50" s="182">
        <f>I48/I49</f>
        <v>14466.13088</v>
      </c>
      <c r="J50" s="74"/>
      <c r="K50" s="74"/>
      <c r="L50" s="74"/>
    </row>
    <row r="51" ht="14.25" customHeight="1">
      <c r="G51" s="3"/>
    </row>
    <row r="52" ht="14.25" customHeight="1">
      <c r="G52" s="3"/>
    </row>
    <row r="53" ht="14.25" customHeight="1">
      <c r="A53" s="168" t="s">
        <v>791</v>
      </c>
      <c r="B53" s="76"/>
      <c r="C53" s="76"/>
      <c r="D53" s="76"/>
      <c r="E53" s="76"/>
      <c r="F53" s="76"/>
      <c r="G53" s="2"/>
      <c r="H53" s="76"/>
      <c r="I53" s="76"/>
    </row>
    <row r="54" ht="14.25" customHeight="1">
      <c r="A54" s="169" t="s">
        <v>778</v>
      </c>
      <c r="B54" s="169" t="s">
        <v>779</v>
      </c>
      <c r="C54" s="169" t="s">
        <v>780</v>
      </c>
      <c r="D54" s="169" t="s">
        <v>781</v>
      </c>
      <c r="E54" s="169"/>
      <c r="F54" s="169" t="s">
        <v>782</v>
      </c>
      <c r="G54" s="4" t="s">
        <v>783</v>
      </c>
      <c r="H54" s="169" t="s">
        <v>784</v>
      </c>
      <c r="I54" s="169" t="s">
        <v>785</v>
      </c>
    </row>
    <row r="55" ht="14.25" customHeight="1">
      <c r="A55" s="171"/>
      <c r="B55" s="74" t="str">
        <f>IF($A55=0,"",VLOOKUP($A55,'00_Mat'!$A$4:$J$1136,2,FALSE))</f>
        <v/>
      </c>
      <c r="C55" s="74" t="str">
        <f>IF($A55=0,"",VLOOKUP($A55,'00_Mat'!$A$4:$J$1136,3,FALSE))</f>
        <v/>
      </c>
      <c r="D55" s="172"/>
      <c r="E55" s="171"/>
      <c r="F55" s="173"/>
      <c r="G55" s="174">
        <f t="shared" ref="G55:G60" si="7">ROUNDUP((D55+(D55*F55)),0)</f>
        <v>0</v>
      </c>
      <c r="H55" s="120" t="str">
        <f>IF($A55=0,"",VLOOKUP($A55,'00_Mat'!$A$4:$J$1136,5,FALSE))</f>
        <v/>
      </c>
      <c r="I55" s="120"/>
    </row>
    <row r="56" ht="14.25" customHeight="1">
      <c r="A56" s="171"/>
      <c r="B56" s="74" t="str">
        <f>IF($A56=0,"",VLOOKUP($A56,'00_Mat'!$A$4:$J$1136,2,FALSE))</f>
        <v/>
      </c>
      <c r="C56" s="74" t="str">
        <f>IF($A56=0,"",VLOOKUP($A56,'00_Mat'!$A$4:$J$1136,3,FALSE))</f>
        <v/>
      </c>
      <c r="D56" s="172"/>
      <c r="E56" s="171"/>
      <c r="F56" s="173"/>
      <c r="G56" s="174">
        <f t="shared" si="7"/>
        <v>0</v>
      </c>
      <c r="H56" s="120" t="str">
        <f>IF($A56=0,"",VLOOKUP($A56,'00_Mat'!$A$4:$J$1136,5,FALSE))</f>
        <v/>
      </c>
      <c r="I56" s="120"/>
    </row>
    <row r="57" ht="14.25" customHeight="1">
      <c r="A57" s="171"/>
      <c r="B57" s="74" t="str">
        <f>IF($A57=0,"",VLOOKUP($A57,'00_Mat'!$A$4:$J$1136,2,FALSE))</f>
        <v/>
      </c>
      <c r="C57" s="74" t="str">
        <f>IF($A57=0,"",VLOOKUP($A57,'00_Mat'!$A$4:$J$1136,3,FALSE))</f>
        <v/>
      </c>
      <c r="D57" s="172"/>
      <c r="E57" s="171"/>
      <c r="F57" s="173"/>
      <c r="G57" s="174">
        <f t="shared" si="7"/>
        <v>0</v>
      </c>
      <c r="H57" s="120" t="str">
        <f>IF($A57=0,"",VLOOKUP($A57,'00_Mat'!$A$4:$J$1136,5,FALSE))</f>
        <v/>
      </c>
      <c r="I57" s="120"/>
    </row>
    <row r="58" ht="14.25" customHeight="1">
      <c r="A58" s="171"/>
      <c r="B58" s="74" t="str">
        <f>IF($A58=0,"",VLOOKUP($A58,'00_Mat'!$A$4:$J$1136,2,FALSE))</f>
        <v/>
      </c>
      <c r="C58" s="74" t="str">
        <f>IF($A58=0,"",VLOOKUP($A58,'00_Mat'!$A$4:$J$1136,3,FALSE))</f>
        <v/>
      </c>
      <c r="D58" s="172"/>
      <c r="E58" s="171"/>
      <c r="F58" s="173"/>
      <c r="G58" s="174">
        <f t="shared" si="7"/>
        <v>0</v>
      </c>
      <c r="H58" s="120" t="str">
        <f>IF($A58=0,"",VLOOKUP($A58,'00_Mat'!$A$4:$J$1136,5,FALSE))</f>
        <v/>
      </c>
      <c r="I58" s="120"/>
    </row>
    <row r="59" ht="14.25" customHeight="1">
      <c r="A59" s="171"/>
      <c r="B59" s="74" t="str">
        <f>IF($A59=0,"",VLOOKUP($A59,'00_Mat'!$A$4:$J$1136,2,FALSE))</f>
        <v/>
      </c>
      <c r="C59" s="74" t="str">
        <f>IF($A59=0,"",VLOOKUP($A59,'00_Mat'!$A$4:$J$1136,3,FALSE))</f>
        <v/>
      </c>
      <c r="D59" s="172"/>
      <c r="E59" s="171"/>
      <c r="F59" s="173"/>
      <c r="G59" s="174">
        <f t="shared" si="7"/>
        <v>0</v>
      </c>
      <c r="H59" s="120" t="str">
        <f>IF($A59=0,"",VLOOKUP($A59,'00_Mat'!$A$4:$J$1136,5,FALSE))</f>
        <v/>
      </c>
      <c r="I59" s="120"/>
    </row>
    <row r="60" ht="14.25" customHeight="1">
      <c r="A60" s="171"/>
      <c r="B60" s="74" t="str">
        <f>IF($A60=0,"",VLOOKUP($A60,'00_Mat'!$A$4:$J$1136,2,FALSE))</f>
        <v/>
      </c>
      <c r="C60" s="74" t="str">
        <f>IF($A60=0,"",VLOOKUP($A60,'00_Mat'!$A$4:$J$1136,3,FALSE))</f>
        <v/>
      </c>
      <c r="D60" s="172"/>
      <c r="E60" s="171"/>
      <c r="F60" s="173"/>
      <c r="G60" s="174">
        <f t="shared" si="7"/>
        <v>0</v>
      </c>
      <c r="H60" s="120" t="str">
        <f>IF($A60=0,"",VLOOKUP($A60,'00_Mat'!$A$4:$J$1136,5,FALSE))</f>
        <v/>
      </c>
      <c r="I60" s="120"/>
    </row>
    <row r="61" ht="14.25" customHeight="1">
      <c r="F61" s="126"/>
      <c r="G61" s="3"/>
      <c r="H61" s="120"/>
      <c r="I61" s="120"/>
    </row>
    <row r="62" ht="14.25" customHeight="1">
      <c r="A62" s="175" t="s">
        <v>717</v>
      </c>
      <c r="B62" s="176"/>
      <c r="C62" s="176"/>
      <c r="D62" s="176"/>
      <c r="E62" s="176"/>
      <c r="F62" s="176"/>
      <c r="G62" s="177"/>
      <c r="H62" s="176"/>
      <c r="I62" s="178">
        <f>SUM(I55:I60)</f>
        <v>0</v>
      </c>
    </row>
    <row r="63" ht="14.25" customHeight="1">
      <c r="A63" s="179" t="str">
        <f>$I$3</f>
        <v>m</v>
      </c>
      <c r="B63" s="180"/>
      <c r="C63" s="180"/>
      <c r="D63" s="180"/>
      <c r="E63" s="180"/>
      <c r="F63" s="180"/>
      <c r="G63" s="5"/>
      <c r="H63" s="180"/>
      <c r="I63" s="172">
        <f>$H$3</f>
        <v>435.5</v>
      </c>
      <c r="J63" s="74"/>
      <c r="K63" s="74"/>
      <c r="L63" s="74"/>
    </row>
    <row r="64" ht="14.25" customHeight="1">
      <c r="A64" s="181" t="s">
        <v>787</v>
      </c>
      <c r="B64" s="179" t="str">
        <f>A63</f>
        <v>m</v>
      </c>
      <c r="C64" s="180"/>
      <c r="D64" s="180"/>
      <c r="E64" s="180"/>
      <c r="F64" s="180"/>
      <c r="G64" s="5"/>
      <c r="H64" s="180"/>
      <c r="I64" s="182">
        <f>I62/I63</f>
        <v>0</v>
      </c>
      <c r="J64" s="74"/>
      <c r="K64" s="74"/>
      <c r="L64" s="74"/>
    </row>
    <row r="65" ht="14.25" customHeight="1">
      <c r="G65" s="3"/>
    </row>
    <row r="66" ht="14.25" customHeight="1">
      <c r="G66" s="3"/>
    </row>
    <row r="67" ht="14.25" customHeight="1">
      <c r="A67" s="168" t="s">
        <v>792</v>
      </c>
      <c r="B67" s="76"/>
      <c r="C67" s="76"/>
      <c r="D67" s="76"/>
      <c r="E67" s="76"/>
      <c r="F67" s="76"/>
      <c r="G67" s="2"/>
      <c r="H67" s="76"/>
      <c r="I67" s="76"/>
    </row>
    <row r="68" ht="14.25" customHeight="1">
      <c r="A68" s="169" t="s">
        <v>778</v>
      </c>
      <c r="B68" s="169" t="s">
        <v>779</v>
      </c>
      <c r="C68" s="169" t="s">
        <v>780</v>
      </c>
      <c r="D68" s="169" t="s">
        <v>781</v>
      </c>
      <c r="E68" s="169" t="s">
        <v>789</v>
      </c>
      <c r="F68" s="169" t="s">
        <v>782</v>
      </c>
      <c r="G68" s="4" t="s">
        <v>783</v>
      </c>
      <c r="H68" s="169" t="s">
        <v>784</v>
      </c>
      <c r="I68" s="169" t="s">
        <v>785</v>
      </c>
    </row>
    <row r="69" ht="14.25" customHeight="1">
      <c r="A69" s="171" t="s">
        <v>611</v>
      </c>
      <c r="B69" s="74" t="str">
        <f>IF($A69=0,"",VLOOKUP($A69,'00_Sub'!$A$4:$D$1001,2,FALSE))</f>
        <v>CORDON</v>
      </c>
      <c r="C69" s="74" t="str">
        <f>IF($A69=0,"",VLOOKUP($A69,'00_Sub'!$A$4:$D$1001,3,FALSE))</f>
        <v>m</v>
      </c>
      <c r="D69" s="171"/>
      <c r="E69" s="171"/>
      <c r="F69" s="173"/>
      <c r="G69" s="174">
        <f t="shared" ref="G69:G74" si="8">ROUNDUP((D69+(D69*F69)),0)</f>
        <v>0</v>
      </c>
      <c r="H69" s="120">
        <v>8000.0</v>
      </c>
      <c r="I69" s="120">
        <f>H69*G69</f>
        <v>0</v>
      </c>
      <c r="K69" s="127" t="s">
        <v>806</v>
      </c>
    </row>
    <row r="70" ht="14.25" customHeight="1">
      <c r="A70" s="171"/>
      <c r="B70" s="74" t="str">
        <f>IF($A70=0,"",VLOOKUP($A70,'00_Sub'!$A$4:$D$1001,2,FALSE))</f>
        <v/>
      </c>
      <c r="C70" s="74" t="str">
        <f>IF($A70=0,"",VLOOKUP($A70,'00_Sub'!$A$4:$D$1001,3,FALSE))</f>
        <v/>
      </c>
      <c r="D70" s="171"/>
      <c r="E70" s="171"/>
      <c r="F70" s="173"/>
      <c r="G70" s="174">
        <f t="shared" si="8"/>
        <v>0</v>
      </c>
      <c r="H70" s="120" t="str">
        <f>IF($A70=0,"",VLOOKUP($A70,'00_Sub'!$A$4:$D$1001,4,FALSE))</f>
        <v/>
      </c>
      <c r="I70" s="120"/>
    </row>
    <row r="71" ht="14.25" customHeight="1">
      <c r="A71" s="171"/>
      <c r="B71" s="74" t="str">
        <f>IF($A71=0,"",VLOOKUP($A71,'00_Sub'!$A$4:$D$1001,2,FALSE))</f>
        <v/>
      </c>
      <c r="C71" s="74" t="str">
        <f>IF($A71=0,"",VLOOKUP($A71,'00_Sub'!$A$4:$D$1001,3,FALSE))</f>
        <v/>
      </c>
      <c r="D71" s="171"/>
      <c r="E71" s="171"/>
      <c r="F71" s="173"/>
      <c r="G71" s="174">
        <f t="shared" si="8"/>
        <v>0</v>
      </c>
      <c r="H71" s="120" t="str">
        <f>IF($A71=0,"",VLOOKUP($A71,'00_Sub'!$A$4:$D$1001,4,FALSE))</f>
        <v/>
      </c>
      <c r="I71" s="120"/>
    </row>
    <row r="72" ht="14.25" customHeight="1">
      <c r="A72" s="171"/>
      <c r="B72" s="74" t="str">
        <f>IF($A72=0,"",VLOOKUP($A72,'00_Sub'!$A$4:$D$1001,2,FALSE))</f>
        <v/>
      </c>
      <c r="C72" s="74" t="str">
        <f>IF($A72=0,"",VLOOKUP($A72,'00_Sub'!$A$4:$D$1001,3,FALSE))</f>
        <v/>
      </c>
      <c r="D72" s="171"/>
      <c r="E72" s="171"/>
      <c r="F72" s="173"/>
      <c r="G72" s="174">
        <f t="shared" si="8"/>
        <v>0</v>
      </c>
      <c r="H72" s="120" t="str">
        <f>IF($A72=0,"",VLOOKUP($A72,'00_Sub'!$A$4:$D$1001,4,FALSE))</f>
        <v/>
      </c>
      <c r="I72" s="120"/>
    </row>
    <row r="73" ht="14.25" customHeight="1">
      <c r="A73" s="171"/>
      <c r="B73" s="74" t="str">
        <f>IF($A73=0,"",VLOOKUP($A73,'00_Sub'!$A$4:$D$1001,2,FALSE))</f>
        <v/>
      </c>
      <c r="C73" s="74" t="str">
        <f>IF($A73=0,"",VLOOKUP($A73,'00_Sub'!$A$4:$D$1001,3,FALSE))</f>
        <v/>
      </c>
      <c r="D73" s="171"/>
      <c r="E73" s="171"/>
      <c r="F73" s="173"/>
      <c r="G73" s="174">
        <f t="shared" si="8"/>
        <v>0</v>
      </c>
      <c r="H73" s="120" t="str">
        <f>IF($A73=0,"",VLOOKUP($A73,'00_Sub'!$A$4:$D$1001,4,FALSE))</f>
        <v/>
      </c>
      <c r="I73" s="120"/>
    </row>
    <row r="74" ht="14.25" customHeight="1">
      <c r="A74" s="171"/>
      <c r="B74" s="74" t="str">
        <f>IF($A74=0,"",VLOOKUP($A74,'00_Sub'!$A$4:$D$1001,2,FALSE))</f>
        <v/>
      </c>
      <c r="C74" s="74" t="str">
        <f>IF($A74=0,"",VLOOKUP($A74,'00_Sub'!$A$4:$D$1001,3,FALSE))</f>
        <v/>
      </c>
      <c r="D74" s="171"/>
      <c r="E74" s="171"/>
      <c r="F74" s="173"/>
      <c r="G74" s="174">
        <f t="shared" si="8"/>
        <v>0</v>
      </c>
      <c r="H74" s="120" t="str">
        <f>IF($A74=0,"",VLOOKUP($A74,'00_Sub'!$A$4:$D$1001,4,FALSE))</f>
        <v/>
      </c>
      <c r="I74" s="120"/>
    </row>
    <row r="75" ht="14.25" customHeight="1">
      <c r="F75" s="126"/>
      <c r="G75" s="3"/>
      <c r="H75" s="120"/>
      <c r="I75" s="120"/>
    </row>
    <row r="76" ht="14.25" customHeight="1">
      <c r="A76" s="175" t="s">
        <v>717</v>
      </c>
      <c r="B76" s="176"/>
      <c r="C76" s="176"/>
      <c r="D76" s="176"/>
      <c r="E76" s="176"/>
      <c r="F76" s="176"/>
      <c r="G76" s="177"/>
      <c r="H76" s="176"/>
      <c r="I76" s="178">
        <f>SUM(I69:I74)</f>
        <v>0</v>
      </c>
    </row>
    <row r="77" ht="14.25" customHeight="1">
      <c r="A77" s="179" t="str">
        <f>$I$3</f>
        <v>m</v>
      </c>
      <c r="B77" s="180"/>
      <c r="C77" s="180"/>
      <c r="D77" s="180"/>
      <c r="E77" s="180"/>
      <c r="F77" s="180"/>
      <c r="G77" s="5"/>
      <c r="H77" s="180"/>
      <c r="I77" s="172">
        <f>$H$3</f>
        <v>435.5</v>
      </c>
      <c r="J77" s="74"/>
      <c r="K77" s="74"/>
      <c r="L77" s="74"/>
    </row>
    <row r="78" ht="14.25" customHeight="1">
      <c r="A78" s="181" t="s">
        <v>787</v>
      </c>
      <c r="B78" s="179" t="str">
        <f>A77</f>
        <v>m</v>
      </c>
      <c r="C78" s="180"/>
      <c r="D78" s="180"/>
      <c r="E78" s="180"/>
      <c r="F78" s="180"/>
      <c r="G78" s="5"/>
      <c r="H78" s="180"/>
      <c r="I78" s="182">
        <f>I76/I77</f>
        <v>0</v>
      </c>
      <c r="J78" s="74"/>
      <c r="K78" s="74"/>
      <c r="L78" s="74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73" t="str">
        <f>'01_C&amp;P'!A1</f>
        <v>NOMBRE DE LA OBRA</v>
      </c>
      <c r="B1" s="73"/>
      <c r="C1" s="73"/>
      <c r="G1" s="3"/>
    </row>
    <row r="2" ht="14.25" customHeight="1">
      <c r="G2" s="3"/>
    </row>
    <row r="3" ht="23.25" customHeight="1">
      <c r="A3" s="162">
        <f>'01_C&amp;P'!A24</f>
        <v>45750</v>
      </c>
      <c r="B3" s="163" t="str">
        <f>IF($A3=0,"",VLOOKUP($A3,'01_C&amp;P'!$A$9:$D$91,2,FALSE))</f>
        <v>CORDON PERIMETRAL DE 10X10 SOBRE LATERAL DE CALLE</v>
      </c>
      <c r="C3" s="164"/>
      <c r="D3" s="164"/>
      <c r="E3" s="164"/>
      <c r="F3" s="164"/>
      <c r="G3" s="165"/>
      <c r="H3" s="166">
        <f>IF($A3=0,"",VLOOKUP($A3,'01_C&amp;P'!$A$9:$D$91,4,FALSE))</f>
        <v>156.1</v>
      </c>
      <c r="I3" s="167" t="str">
        <f>IF($A3=0,"",VLOOKUP($A3,'01_C&amp;P'!$A$9:$D$91,3,FALSE))</f>
        <v>m</v>
      </c>
    </row>
    <row r="4" ht="14.25" customHeight="1">
      <c r="G4" s="3"/>
    </row>
    <row r="5" ht="14.25" customHeight="1">
      <c r="A5" s="168" t="s">
        <v>0</v>
      </c>
      <c r="B5" s="76"/>
      <c r="C5" s="76"/>
      <c r="D5" s="76"/>
      <c r="E5" s="76"/>
      <c r="F5" s="76"/>
      <c r="G5" s="2"/>
      <c r="H5" s="76"/>
      <c r="I5" s="76"/>
    </row>
    <row r="6" ht="14.25" customHeight="1">
      <c r="A6" s="169" t="s">
        <v>778</v>
      </c>
      <c r="B6" s="169" t="s">
        <v>779</v>
      </c>
      <c r="C6" s="169" t="s">
        <v>780</v>
      </c>
      <c r="D6" s="170" t="s">
        <v>781</v>
      </c>
      <c r="E6" s="164"/>
      <c r="F6" s="169" t="s">
        <v>782</v>
      </c>
      <c r="G6" s="4" t="s">
        <v>783</v>
      </c>
      <c r="H6" s="169" t="s">
        <v>784</v>
      </c>
      <c r="I6" s="169" t="s">
        <v>785</v>
      </c>
    </row>
    <row r="7" ht="14.25" customHeight="1">
      <c r="A7" s="171"/>
      <c r="B7" s="74" t="str">
        <f>IF($A7=0,"",VLOOKUP($A7,'00_Mat'!$A$4:$J$1136,2,FALSE))</f>
        <v/>
      </c>
      <c r="C7" s="74" t="str">
        <f>IF($A7=0,"",VLOOKUP($A7,'00_Mat'!$A$4:$J$1136,3,FALSE))</f>
        <v/>
      </c>
      <c r="D7" s="171"/>
      <c r="E7" s="171"/>
      <c r="F7" s="173"/>
      <c r="G7" s="174">
        <f t="shared" ref="G7:G13" si="1">ROUNDUP((D7+(D7*F7)),0)</f>
        <v>0</v>
      </c>
      <c r="H7" s="120" t="str">
        <f>IF($A7=0,"",VLOOKUP($A7,'00_Mat'!$A$4:$J$1136,5,FALSE))</f>
        <v/>
      </c>
      <c r="I7" s="120">
        <f t="shared" ref="I7:I17" si="2">G7*H7</f>
        <v>0</v>
      </c>
    </row>
    <row r="8" ht="14.25" customHeight="1">
      <c r="A8" s="183" t="s">
        <v>114</v>
      </c>
      <c r="B8" s="74" t="str">
        <f>IF($A8=0,"",VLOOKUP($A8,'00_Mat'!$A$4:$J$1136,2,FALSE))</f>
        <v>Hierros ADN 420 Φ 6 </v>
      </c>
      <c r="C8" s="74" t="str">
        <f>IF($A8=0,"",VLOOKUP($A8,'00_Mat'!$A$4:$J$1136,3,FALSE))</f>
        <v>u</v>
      </c>
      <c r="D8" s="171">
        <f>((H3/0.2)*0.2)/12</f>
        <v>13.00833333</v>
      </c>
      <c r="E8" s="171"/>
      <c r="F8" s="173">
        <v>0.15</v>
      </c>
      <c r="G8" s="174">
        <f t="shared" si="1"/>
        <v>15</v>
      </c>
      <c r="H8" s="120">
        <f>IF($A8=0,"",VLOOKUP($A8,'00_Mat'!$A$4:$J$1136,5,FALSE))</f>
        <v>5250</v>
      </c>
      <c r="I8" s="120">
        <f t="shared" si="2"/>
        <v>78750</v>
      </c>
    </row>
    <row r="9" ht="14.25" customHeight="1">
      <c r="A9" s="183" t="s">
        <v>120</v>
      </c>
      <c r="B9" s="74" t="str">
        <f>IF($A9=0,"",VLOOKUP($A9,'00_Mat'!$A$4:$J$1136,2,FALSE))</f>
        <v>Hierros ADN 420 Φ 12</v>
      </c>
      <c r="C9" s="74" t="str">
        <f>IF($A9=0,"",VLOOKUP($A9,'00_Mat'!$A$4:$J$1136,3,FALSE))</f>
        <v>u</v>
      </c>
      <c r="D9" s="171">
        <f>(H3/2)/12</f>
        <v>6.504166667</v>
      </c>
      <c r="E9" s="171"/>
      <c r="F9" s="173">
        <v>0.15</v>
      </c>
      <c r="G9" s="174">
        <f t="shared" si="1"/>
        <v>8</v>
      </c>
      <c r="H9" s="120">
        <f>IF($A9=0,"",VLOOKUP($A9,'00_Mat'!$A$4:$J$1136,5,FALSE))</f>
        <v>20442.5</v>
      </c>
      <c r="I9" s="120">
        <f t="shared" si="2"/>
        <v>163540</v>
      </c>
    </row>
    <row r="10" ht="14.25" customHeight="1">
      <c r="A10" s="183" t="s">
        <v>273</v>
      </c>
      <c r="B10" s="74" t="str">
        <f>IF($A10=0,"",VLOOKUP($A10,'00_Mat'!$A$4:$J$1136,2,FALSE))</f>
        <v>Tabla saligna 1"x5" 3m</v>
      </c>
      <c r="C10" s="74" t="str">
        <f>IF($A10=0,"",VLOOKUP($A10,'00_Mat'!$A$4:$J$1136,3,FALSE))</f>
        <v>u</v>
      </c>
      <c r="D10" s="171">
        <f>H3/3</f>
        <v>52.03333333</v>
      </c>
      <c r="E10" s="171"/>
      <c r="F10" s="173">
        <v>0.15</v>
      </c>
      <c r="G10" s="174">
        <f t="shared" si="1"/>
        <v>60</v>
      </c>
      <c r="H10" s="120">
        <f>IF($A10=0,"",VLOOKUP($A10,'00_Mat'!$A$4:$J$1136,5,FALSE))</f>
        <v>2900</v>
      </c>
      <c r="I10" s="120">
        <f t="shared" si="2"/>
        <v>174000</v>
      </c>
    </row>
    <row r="11" ht="14.25" customHeight="1">
      <c r="A11" s="171" t="s">
        <v>803</v>
      </c>
      <c r="B11" s="74" t="str">
        <f>IF($A11=0,"",VLOOKUP($A11,'00_Mat'!$A$4:$J$1136,2,FALSE))</f>
        <v>Bolson de Piedra (1m3)</v>
      </c>
      <c r="C11" s="74" t="str">
        <f>IF($A11=0,"",VLOOKUP($A11,'00_Mat'!$A$4:$J$1136,3,FALSE))</f>
        <v>m3</v>
      </c>
      <c r="D11" s="171">
        <f>(0.1*0.1)*H3</f>
        <v>1.561</v>
      </c>
      <c r="E11" s="171"/>
      <c r="F11" s="173">
        <v>0.1</v>
      </c>
      <c r="G11" s="174">
        <f t="shared" si="1"/>
        <v>2</v>
      </c>
      <c r="H11" s="120">
        <f>IF($A11=0,"",VLOOKUP($A11,'00_Mat'!$A$4:$J$1136,5,FALSE))</f>
        <v>49586.77686</v>
      </c>
      <c r="I11" s="120">
        <f t="shared" si="2"/>
        <v>99173.55372</v>
      </c>
    </row>
    <row r="12" ht="14.25" customHeight="1">
      <c r="A12" s="171" t="s">
        <v>804</v>
      </c>
      <c r="B12" s="74" t="str">
        <f>IF($A12=0,"",VLOOKUP($A12,'00_Mat'!$A$4:$J$1136,2,FALSE))</f>
        <v>Bolson de Arena (1m3) </v>
      </c>
      <c r="C12" s="74" t="str">
        <f>IF($A12=0,"",VLOOKUP($A12,'00_Mat'!$A$4:$J$1136,3,FALSE))</f>
        <v>m3</v>
      </c>
      <c r="D12" s="171">
        <f>(0.1*0.1)*H3</f>
        <v>1.561</v>
      </c>
      <c r="E12" s="171"/>
      <c r="F12" s="173">
        <v>0.1</v>
      </c>
      <c r="G12" s="174">
        <f t="shared" si="1"/>
        <v>2</v>
      </c>
      <c r="H12" s="120">
        <f>IF($A12=0,"",VLOOKUP($A12,'00_Mat'!$A$4:$J$1136,5,FALSE))</f>
        <v>31040</v>
      </c>
      <c r="I12" s="120">
        <f t="shared" si="2"/>
        <v>62080</v>
      </c>
    </row>
    <row r="13" ht="14.25" customHeight="1">
      <c r="A13" s="171" t="s">
        <v>805</v>
      </c>
      <c r="B13" s="74" t="str">
        <f>IF($A13=0,"",VLOOKUP($A13,'00_Mat'!$A$4:$J$1136,2,FALSE))</f>
        <v>Bolsa Cemento "Loma Negra" 50 k (u)</v>
      </c>
      <c r="C13" s="74" t="str">
        <f>IF($A13=0,"",VLOOKUP($A13,'00_Mat'!$A$4:$J$1136,3,FALSE))</f>
        <v>u</v>
      </c>
      <c r="D13" s="171">
        <f>(0.1*0.1)*H3</f>
        <v>1.561</v>
      </c>
      <c r="E13" s="171"/>
      <c r="F13" s="173">
        <v>0.1</v>
      </c>
      <c r="G13" s="174">
        <f t="shared" si="1"/>
        <v>2</v>
      </c>
      <c r="H13" s="120">
        <f>IF($A13=0,"",VLOOKUP($A13,'00_Mat'!$A$4:$J$1136,5,FALSE))</f>
        <v>10675</v>
      </c>
      <c r="I13" s="120">
        <f t="shared" si="2"/>
        <v>21350</v>
      </c>
    </row>
    <row r="14" ht="14.25" customHeight="1">
      <c r="A14" s="171"/>
      <c r="D14" s="171"/>
      <c r="E14" s="171"/>
      <c r="F14" s="173"/>
      <c r="I14" s="120">
        <f t="shared" si="2"/>
        <v>0</v>
      </c>
    </row>
    <row r="15" ht="14.25" customHeight="1">
      <c r="A15" s="171"/>
      <c r="B15" s="74" t="str">
        <f>IF($A15=0,"",VLOOKUP($A15,'00_Mat'!$A$4:$J$1136,2,FALSE))</f>
        <v/>
      </c>
      <c r="C15" s="74" t="str">
        <f>IF($A15=0,"",VLOOKUP($A15,'00_Mat'!$A$4:$J$1136,3,FALSE))</f>
        <v/>
      </c>
      <c r="D15" s="171"/>
      <c r="E15" s="171"/>
      <c r="F15" s="173"/>
      <c r="G15" s="174">
        <f t="shared" ref="G15:G18" si="3">ROUNDUP((D15+(D15*F15)),0)</f>
        <v>0</v>
      </c>
      <c r="H15" s="120" t="str">
        <f>IF($A15=0,"",VLOOKUP($A15,'00_Mat'!$A$4:$J$1136,5,FALSE))</f>
        <v/>
      </c>
      <c r="I15" s="120">
        <f t="shared" si="2"/>
        <v>0</v>
      </c>
    </row>
    <row r="16" ht="14.25" customHeight="1">
      <c r="A16" s="171"/>
      <c r="B16" s="74" t="str">
        <f>IF($A16=0,"",VLOOKUP($A16,'00_Mat'!$A$4:$J$1136,2,FALSE))</f>
        <v/>
      </c>
      <c r="C16" s="74" t="str">
        <f>IF($A16=0,"",VLOOKUP($A16,'00_Mat'!$A$4:$J$1136,3,FALSE))</f>
        <v/>
      </c>
      <c r="D16" s="171"/>
      <c r="E16" s="171"/>
      <c r="F16" s="173"/>
      <c r="G16" s="174">
        <f t="shared" si="3"/>
        <v>0</v>
      </c>
      <c r="H16" s="120" t="str">
        <f>IF($A16=0,"",VLOOKUP($A16,'00_Mat'!$A$4:$J$1136,5,FALSE))</f>
        <v/>
      </c>
      <c r="I16" s="120">
        <f t="shared" si="2"/>
        <v>0</v>
      </c>
    </row>
    <row r="17" ht="14.25" customHeight="1">
      <c r="A17" s="171"/>
      <c r="B17" s="74" t="str">
        <f>IF($A17=0,"",VLOOKUP($A17,'00_Mat'!$A$4:$J$1136,2,FALSE))</f>
        <v/>
      </c>
      <c r="C17" s="74" t="str">
        <f>IF($A17=0,"",VLOOKUP($A17,'00_Mat'!$A$4:$J$1136,3,FALSE))</f>
        <v/>
      </c>
      <c r="D17" s="171"/>
      <c r="E17" s="171"/>
      <c r="F17" s="173"/>
      <c r="G17" s="174">
        <f t="shared" si="3"/>
        <v>0</v>
      </c>
      <c r="H17" s="120" t="str">
        <f>IF($A17=0,"",VLOOKUP($A17,'00_Mat'!$A$4:$J$1136,5,FALSE))</f>
        <v/>
      </c>
      <c r="I17" s="120">
        <f t="shared" si="2"/>
        <v>0</v>
      </c>
    </row>
    <row r="18" ht="14.25" customHeight="1">
      <c r="A18" s="171"/>
      <c r="B18" s="74" t="str">
        <f>IF($A18=0,"",VLOOKUP($A18,'00_Mat'!$A$4:$J$1136,2,FALSE))</f>
        <v/>
      </c>
      <c r="C18" s="74" t="str">
        <f>IF($A18=0,"",VLOOKUP($A18,'00_Mat'!$A$4:$J$1136,3,FALSE))</f>
        <v/>
      </c>
      <c r="D18" s="171"/>
      <c r="E18" s="171"/>
      <c r="F18" s="173"/>
      <c r="G18" s="174">
        <f t="shared" si="3"/>
        <v>0</v>
      </c>
      <c r="H18" s="120" t="str">
        <f>IF($A18=0,"",VLOOKUP($A18,'00_Mat'!$A$4:$J$1136,5,FALSE))</f>
        <v/>
      </c>
      <c r="I18" s="120"/>
    </row>
    <row r="19" ht="14.25" customHeight="1">
      <c r="F19" s="126"/>
      <c r="G19" s="3"/>
      <c r="H19" s="120"/>
      <c r="I19" s="120"/>
    </row>
    <row r="20" ht="14.25" customHeight="1">
      <c r="A20" s="175" t="s">
        <v>786</v>
      </c>
      <c r="B20" s="176"/>
      <c r="C20" s="176"/>
      <c r="D20" s="176"/>
      <c r="E20" s="176"/>
      <c r="F20" s="176"/>
      <c r="G20" s="177"/>
      <c r="H20" s="176"/>
      <c r="I20" s="178">
        <f>SUM(I7:I18)</f>
        <v>598893.5537</v>
      </c>
      <c r="J20" s="74"/>
      <c r="K20" s="74"/>
      <c r="L20" s="74"/>
    </row>
    <row r="21" ht="14.25" customHeight="1">
      <c r="A21" s="179" t="str">
        <f>$I$3</f>
        <v>m</v>
      </c>
      <c r="B21" s="180"/>
      <c r="C21" s="180"/>
      <c r="D21" s="180"/>
      <c r="E21" s="180"/>
      <c r="F21" s="180"/>
      <c r="G21" s="5"/>
      <c r="H21" s="180"/>
      <c r="I21" s="172">
        <f>$H$3</f>
        <v>156.1</v>
      </c>
      <c r="J21" s="74"/>
      <c r="K21" s="74"/>
      <c r="L21" s="74"/>
    </row>
    <row r="22" ht="14.25" customHeight="1">
      <c r="A22" s="181" t="s">
        <v>787</v>
      </c>
      <c r="B22" s="179" t="str">
        <f>A21</f>
        <v>m</v>
      </c>
      <c r="C22" s="180"/>
      <c r="D22" s="180"/>
      <c r="E22" s="180"/>
      <c r="F22" s="180"/>
      <c r="G22" s="5"/>
      <c r="H22" s="180"/>
      <c r="I22" s="182">
        <f>I20/I21</f>
        <v>3836.601882</v>
      </c>
      <c r="J22" s="74"/>
      <c r="K22" s="74"/>
      <c r="L22" s="74"/>
    </row>
    <row r="23" ht="14.25" customHeight="1">
      <c r="G23" s="3"/>
    </row>
    <row r="24" ht="14.25" customHeight="1">
      <c r="G24" s="3"/>
    </row>
    <row r="25" ht="14.25" customHeight="1">
      <c r="A25" s="168" t="s">
        <v>788</v>
      </c>
      <c r="B25" s="76"/>
      <c r="C25" s="76"/>
      <c r="D25" s="76"/>
      <c r="E25" s="76"/>
      <c r="F25" s="76"/>
      <c r="G25" s="2"/>
      <c r="H25" s="76"/>
      <c r="I25" s="76"/>
    </row>
    <row r="26" ht="14.25" customHeight="1">
      <c r="A26" s="169" t="s">
        <v>778</v>
      </c>
      <c r="B26" s="169" t="s">
        <v>779</v>
      </c>
      <c r="C26" s="169" t="s">
        <v>780</v>
      </c>
      <c r="D26" s="169" t="s">
        <v>781</v>
      </c>
      <c r="E26" s="169" t="s">
        <v>789</v>
      </c>
      <c r="F26" s="169" t="s">
        <v>782</v>
      </c>
      <c r="G26" s="4" t="s">
        <v>783</v>
      </c>
      <c r="H26" s="169" t="s">
        <v>784</v>
      </c>
      <c r="I26" s="169" t="s">
        <v>785</v>
      </c>
    </row>
    <row r="27" ht="14.25" customHeight="1">
      <c r="A27" s="183" t="s">
        <v>509</v>
      </c>
      <c r="B27" s="74" t="str">
        <f>IF($A27=0,"",VLOOKUP($A27,'00_MO'!$A$4:$D$7,2,FALSE))</f>
        <v>Capataz</v>
      </c>
      <c r="C27" s="74" t="str">
        <f>IF($A27=0,"",VLOOKUP($A27,'00_MO'!$A$4:$D$7,3,FALSE))</f>
        <v>u</v>
      </c>
      <c r="D27" s="171">
        <v>1.0</v>
      </c>
      <c r="E27" s="171">
        <f>H3/60</f>
        <v>2.601666667</v>
      </c>
      <c r="F27" s="173">
        <v>0.1</v>
      </c>
      <c r="G27" s="184">
        <f t="shared" ref="G27:G32" si="4">ROUNDUP(((D27*E27)*(1+F27)),0)</f>
        <v>3</v>
      </c>
      <c r="H27" s="120">
        <f>IF($A27=0,"",VLOOKUP($A27,'00_MO'!$A$4:$D$7,4,FALSE))</f>
        <v>50000</v>
      </c>
      <c r="I27" s="120">
        <f t="shared" ref="I27:I29" si="5">G27*H27</f>
        <v>150000</v>
      </c>
    </row>
    <row r="28" ht="14.25" customHeight="1">
      <c r="A28" s="183" t="s">
        <v>513</v>
      </c>
      <c r="B28" s="74" t="str">
        <f>IF($A28=0,"",VLOOKUP($A28,'00_MO'!$A$4:$D$7,2,FALSE))</f>
        <v>Oficial</v>
      </c>
      <c r="C28" s="74" t="str">
        <f>IF($A28=0,"",VLOOKUP($A28,'00_MO'!$A$4:$D$7,3,FALSE))</f>
        <v>u</v>
      </c>
      <c r="D28" s="171">
        <v>2.0</v>
      </c>
      <c r="E28" s="171">
        <f>E27</f>
        <v>2.601666667</v>
      </c>
      <c r="F28" s="173">
        <v>0.1</v>
      </c>
      <c r="G28" s="184">
        <f t="shared" si="4"/>
        <v>6</v>
      </c>
      <c r="H28" s="120">
        <f>IF($A28=0,"",VLOOKUP($A28,'00_MO'!$A$4:$D$7,4,FALSE))</f>
        <v>40000</v>
      </c>
      <c r="I28" s="120">
        <f t="shared" si="5"/>
        <v>240000</v>
      </c>
    </row>
    <row r="29" ht="14.25" customHeight="1">
      <c r="A29" s="183" t="s">
        <v>515</v>
      </c>
      <c r="B29" s="74" t="str">
        <f>IF($A29=0,"",VLOOKUP($A29,'00_MO'!$A$4:$D$7,2,FALSE))</f>
        <v>Ayudante</v>
      </c>
      <c r="C29" s="74" t="str">
        <f>IF($A29=0,"",VLOOKUP($A29,'00_MO'!$A$4:$D$7,3,FALSE))</f>
        <v>u</v>
      </c>
      <c r="D29" s="171">
        <v>2.0</v>
      </c>
      <c r="E29" s="171">
        <f>E27</f>
        <v>2.601666667</v>
      </c>
      <c r="F29" s="173">
        <v>0.1</v>
      </c>
      <c r="G29" s="184">
        <f t="shared" si="4"/>
        <v>6</v>
      </c>
      <c r="H29" s="120">
        <f>IF($A29=0,"",VLOOKUP($A29,'00_MO'!$A$4:$D$7,4,FALSE))</f>
        <v>30000</v>
      </c>
      <c r="I29" s="120">
        <f t="shared" si="5"/>
        <v>180000</v>
      </c>
    </row>
    <row r="30" ht="14.25" customHeight="1">
      <c r="A30" s="171"/>
      <c r="B30" s="74" t="str">
        <f>IF($A30=0,"",VLOOKUP($A30,'00_MO'!$A$4:$D$7,2,FALSE))</f>
        <v/>
      </c>
      <c r="C30" s="74" t="str">
        <f>IF($A30=0,"",VLOOKUP($A30,'00_MO'!$A$4:$D$7,3,FALSE))</f>
        <v/>
      </c>
      <c r="D30" s="171"/>
      <c r="E30" s="171"/>
      <c r="F30" s="173"/>
      <c r="G30" s="184">
        <f t="shared" si="4"/>
        <v>0</v>
      </c>
      <c r="H30" s="120" t="str">
        <f>IF($A30=0,"",VLOOKUP($A30,'00_MO'!$A$4:$D$7,4,FALSE))</f>
        <v/>
      </c>
      <c r="I30" s="120"/>
    </row>
    <row r="31" ht="14.25" customHeight="1">
      <c r="A31" s="171"/>
      <c r="B31" s="74" t="str">
        <f>IF($A31=0,"",VLOOKUP($A31,'00_MO'!$A$4:$D$7,2,FALSE))</f>
        <v/>
      </c>
      <c r="C31" s="74" t="str">
        <f>IF($A31=0,"",VLOOKUP($A31,'00_MO'!$A$4:$D$7,3,FALSE))</f>
        <v/>
      </c>
      <c r="D31" s="171"/>
      <c r="E31" s="171"/>
      <c r="F31" s="173"/>
      <c r="G31" s="184">
        <f t="shared" si="4"/>
        <v>0</v>
      </c>
      <c r="H31" s="120" t="str">
        <f>IF($A31=0,"",VLOOKUP($A31,'00_MO'!$A$4:$D$7,4,FALSE))</f>
        <v/>
      </c>
      <c r="I31" s="120"/>
    </row>
    <row r="32" ht="14.25" customHeight="1">
      <c r="A32" s="171"/>
      <c r="B32" s="74" t="str">
        <f>IF($A32=0,"",VLOOKUP($A32,'00_MO'!$A$4:$D$7,2,FALSE))</f>
        <v/>
      </c>
      <c r="C32" s="74" t="str">
        <f>IF($A32=0,"",VLOOKUP($A32,'00_MO'!$A$4:$D$7,3,FALSE))</f>
        <v/>
      </c>
      <c r="D32" s="171"/>
      <c r="E32" s="171"/>
      <c r="F32" s="173"/>
      <c r="G32" s="184">
        <f t="shared" si="4"/>
        <v>0</v>
      </c>
      <c r="H32" s="120" t="str">
        <f>IF($A32=0,"",VLOOKUP($A32,'00_MO'!$A$4:$D$7,4,FALSE))</f>
        <v/>
      </c>
      <c r="I32" s="120"/>
    </row>
    <row r="33" ht="14.25" customHeight="1">
      <c r="F33" s="126"/>
      <c r="G33" s="3"/>
      <c r="H33" s="120"/>
      <c r="I33" s="120"/>
    </row>
    <row r="34" ht="14.25" customHeight="1">
      <c r="A34" s="175" t="s">
        <v>717</v>
      </c>
      <c r="B34" s="176"/>
      <c r="C34" s="176"/>
      <c r="D34" s="176"/>
      <c r="E34" s="176"/>
      <c r="F34" s="176"/>
      <c r="G34" s="177"/>
      <c r="H34" s="176"/>
      <c r="I34" s="178">
        <f>SUM(I27:I32)</f>
        <v>570000</v>
      </c>
    </row>
    <row r="35" ht="14.25" customHeight="1">
      <c r="A35" s="179" t="str">
        <f>$I$3</f>
        <v>m</v>
      </c>
      <c r="B35" s="180"/>
      <c r="C35" s="180"/>
      <c r="D35" s="180"/>
      <c r="E35" s="180"/>
      <c r="F35" s="180"/>
      <c r="G35" s="5"/>
      <c r="H35" s="180"/>
      <c r="I35" s="172">
        <f>$H$3</f>
        <v>156.1</v>
      </c>
      <c r="J35" s="74"/>
      <c r="K35" s="74"/>
      <c r="L35" s="74"/>
    </row>
    <row r="36" ht="14.25" customHeight="1">
      <c r="A36" s="181" t="s">
        <v>787</v>
      </c>
      <c r="B36" s="179" t="str">
        <f>A35</f>
        <v>m</v>
      </c>
      <c r="C36" s="180"/>
      <c r="D36" s="180"/>
      <c r="E36" s="180"/>
      <c r="F36" s="180"/>
      <c r="G36" s="5"/>
      <c r="H36" s="180"/>
      <c r="I36" s="182">
        <f>I34/I35</f>
        <v>3651.505445</v>
      </c>
      <c r="J36" s="74"/>
      <c r="K36" s="74"/>
      <c r="L36" s="74"/>
    </row>
    <row r="37" ht="14.25" customHeight="1">
      <c r="G37" s="3"/>
    </row>
    <row r="38" ht="14.25" customHeight="1">
      <c r="G38" s="3"/>
    </row>
    <row r="39" ht="14.25" customHeight="1">
      <c r="A39" s="168" t="s">
        <v>790</v>
      </c>
      <c r="B39" s="76"/>
      <c r="C39" s="76"/>
      <c r="D39" s="76"/>
      <c r="E39" s="76"/>
      <c r="F39" s="76"/>
      <c r="G39" s="2"/>
      <c r="H39" s="76"/>
      <c r="I39" s="76"/>
    </row>
    <row r="40" ht="14.25" customHeight="1">
      <c r="A40" s="169" t="s">
        <v>778</v>
      </c>
      <c r="B40" s="169" t="s">
        <v>779</v>
      </c>
      <c r="C40" s="169" t="s">
        <v>780</v>
      </c>
      <c r="D40" s="169" t="s">
        <v>781</v>
      </c>
      <c r="E40" s="169" t="s">
        <v>789</v>
      </c>
      <c r="F40" s="169" t="s">
        <v>782</v>
      </c>
      <c r="G40" s="4" t="s">
        <v>783</v>
      </c>
      <c r="H40" s="169" t="s">
        <v>784</v>
      </c>
      <c r="I40" s="169" t="s">
        <v>785</v>
      </c>
    </row>
    <row r="41" ht="14.25" customHeight="1">
      <c r="A41" s="5" t="s">
        <v>521</v>
      </c>
      <c r="B41" s="74" t="str">
        <f>IF($A41=0,"",VLOOKUP($A41,'00_Eq'!$A$4:$D$101,2,FALSE))</f>
        <v>Mini Cargadora</v>
      </c>
      <c r="C41" s="74" t="str">
        <f>IF($A41=0,"",VLOOKUP($A41,'00_Eq'!$A$4:$D$101,3,FALSE))</f>
        <v>u</v>
      </c>
      <c r="D41" s="171">
        <v>1.0</v>
      </c>
      <c r="E41" s="171">
        <v>2.0</v>
      </c>
      <c r="F41" s="173"/>
      <c r="G41" s="184">
        <f t="shared" ref="G41:G46" si="6">ROUNDUP(((D41*E41)*(1+F41)),0)</f>
        <v>2</v>
      </c>
      <c r="H41" s="120">
        <f>IF($A41=0,"",VLOOKUP($A41,'00_Eq'!$A$4:$D$101,4,FALSE))</f>
        <v>420000</v>
      </c>
      <c r="I41" s="120">
        <f t="shared" ref="I41:I42" si="7">G41*H41</f>
        <v>840000</v>
      </c>
    </row>
    <row r="42" ht="14.25" customHeight="1">
      <c r="A42" s="171"/>
      <c r="B42" s="74" t="str">
        <f>IF($A42=0,"",VLOOKUP($A42,'00_Eq'!$A$4:$D$101,2,FALSE))</f>
        <v/>
      </c>
      <c r="C42" s="74" t="str">
        <f>IF($A42=0,"",VLOOKUP($A42,'00_Eq'!$A$4:$D$101,3,FALSE))</f>
        <v/>
      </c>
      <c r="D42" s="171"/>
      <c r="E42" s="171"/>
      <c r="F42" s="173"/>
      <c r="G42" s="184">
        <f t="shared" si="6"/>
        <v>0</v>
      </c>
      <c r="H42" s="120" t="str">
        <f>IF($A42=0,"",VLOOKUP($A42,'00_Eq'!$A$4:$D$101,4,FALSE))</f>
        <v/>
      </c>
      <c r="I42" s="120">
        <f t="shared" si="7"/>
        <v>0</v>
      </c>
    </row>
    <row r="43" ht="14.25" customHeight="1">
      <c r="A43" s="171"/>
      <c r="B43" s="74" t="str">
        <f>IF($A43=0,"",VLOOKUP($A43,'00_Eq'!$A$4:$D$101,2,FALSE))</f>
        <v/>
      </c>
      <c r="C43" s="74" t="str">
        <f>IF($A43=0,"",VLOOKUP($A43,'00_Eq'!$A$4:$D$101,3,FALSE))</f>
        <v/>
      </c>
      <c r="D43" s="171"/>
      <c r="E43" s="171"/>
      <c r="F43" s="173"/>
      <c r="G43" s="184">
        <f t="shared" si="6"/>
        <v>0</v>
      </c>
      <c r="H43" s="120" t="str">
        <f>IF($A43=0,"",VLOOKUP($A43,'00_Eq'!$A$4:$D$101,4,FALSE))</f>
        <v/>
      </c>
      <c r="I43" s="120"/>
    </row>
    <row r="44" ht="14.25" customHeight="1">
      <c r="A44" s="171"/>
      <c r="B44" s="74" t="str">
        <f>IF($A44=0,"",VLOOKUP($A44,'00_Eq'!$A$4:$D$101,2,FALSE))</f>
        <v/>
      </c>
      <c r="C44" s="74" t="str">
        <f>IF($A44=0,"",VLOOKUP($A44,'00_Eq'!$A$4:$D$101,3,FALSE))</f>
        <v/>
      </c>
      <c r="D44" s="171"/>
      <c r="E44" s="171"/>
      <c r="F44" s="173"/>
      <c r="G44" s="184">
        <f t="shared" si="6"/>
        <v>0</v>
      </c>
      <c r="H44" s="120" t="str">
        <f>IF($A44=0,"",VLOOKUP($A44,'00_Eq'!$A$4:$D$101,4,FALSE))</f>
        <v/>
      </c>
      <c r="I44" s="120"/>
    </row>
    <row r="45" ht="14.25" customHeight="1">
      <c r="A45" s="171"/>
      <c r="B45" s="74" t="str">
        <f>IF($A45=0,"",VLOOKUP($A45,'00_Eq'!$A$4:$D$101,2,FALSE))</f>
        <v/>
      </c>
      <c r="C45" s="74" t="str">
        <f>IF($A45=0,"",VLOOKUP($A45,'00_Eq'!$A$4:$D$101,3,FALSE))</f>
        <v/>
      </c>
      <c r="D45" s="171"/>
      <c r="E45" s="171"/>
      <c r="F45" s="173"/>
      <c r="G45" s="184">
        <f t="shared" si="6"/>
        <v>0</v>
      </c>
      <c r="H45" s="120" t="str">
        <f>IF($A45=0,"",VLOOKUP($A45,'00_Eq'!$A$4:$D$101,4,FALSE))</f>
        <v/>
      </c>
      <c r="I45" s="120"/>
    </row>
    <row r="46" ht="14.25" customHeight="1">
      <c r="A46" s="171"/>
      <c r="B46" s="74" t="str">
        <f>IF($A46=0,"",VLOOKUP($A46,'00_Eq'!$A$4:$D$101,2,FALSE))</f>
        <v/>
      </c>
      <c r="C46" s="74" t="str">
        <f>IF($A46=0,"",VLOOKUP($A46,'00_Eq'!$A$4:$D$101,3,FALSE))</f>
        <v/>
      </c>
      <c r="D46" s="171"/>
      <c r="E46" s="171"/>
      <c r="F46" s="173"/>
      <c r="G46" s="184">
        <f t="shared" si="6"/>
        <v>0</v>
      </c>
      <c r="H46" s="120" t="str">
        <f>IF($A46=0,"",VLOOKUP($A46,'00_Eq'!$A$4:$D$101,4,FALSE))</f>
        <v/>
      </c>
      <c r="I46" s="120"/>
    </row>
    <row r="47" ht="14.25" customHeight="1">
      <c r="F47" s="126"/>
      <c r="G47" s="3"/>
      <c r="H47" s="120"/>
      <c r="I47" s="120"/>
    </row>
    <row r="48" ht="14.25" customHeight="1">
      <c r="A48" s="175" t="s">
        <v>717</v>
      </c>
      <c r="B48" s="176"/>
      <c r="C48" s="176"/>
      <c r="D48" s="176"/>
      <c r="E48" s="176"/>
      <c r="F48" s="176"/>
      <c r="G48" s="177"/>
      <c r="H48" s="176"/>
      <c r="I48" s="178">
        <f>SUM(I41:I46)</f>
        <v>840000</v>
      </c>
    </row>
    <row r="49" ht="14.25" customHeight="1">
      <c r="A49" s="179" t="str">
        <f>$I$3</f>
        <v>m</v>
      </c>
      <c r="B49" s="180"/>
      <c r="C49" s="180"/>
      <c r="D49" s="180"/>
      <c r="E49" s="180"/>
      <c r="F49" s="180"/>
      <c r="G49" s="5"/>
      <c r="H49" s="180"/>
      <c r="I49" s="172">
        <f>$H$3</f>
        <v>156.1</v>
      </c>
      <c r="J49" s="74"/>
      <c r="K49" s="74"/>
      <c r="L49" s="74"/>
    </row>
    <row r="50" ht="14.25" customHeight="1">
      <c r="A50" s="181" t="s">
        <v>787</v>
      </c>
      <c r="B50" s="179" t="str">
        <f>A49</f>
        <v>m</v>
      </c>
      <c r="C50" s="180"/>
      <c r="D50" s="180"/>
      <c r="E50" s="180"/>
      <c r="F50" s="180"/>
      <c r="G50" s="5"/>
      <c r="H50" s="180"/>
      <c r="I50" s="182">
        <f>I48/I49</f>
        <v>5381.165919</v>
      </c>
      <c r="J50" s="74"/>
      <c r="K50" s="74"/>
      <c r="L50" s="74"/>
    </row>
    <row r="51" ht="14.25" customHeight="1">
      <c r="G51" s="3"/>
    </row>
    <row r="52" ht="14.25" customHeight="1">
      <c r="G52" s="3"/>
    </row>
    <row r="53" ht="14.25" customHeight="1">
      <c r="A53" s="168" t="s">
        <v>791</v>
      </c>
      <c r="B53" s="76"/>
      <c r="C53" s="76"/>
      <c r="D53" s="76"/>
      <c r="E53" s="76"/>
      <c r="F53" s="76"/>
      <c r="G53" s="2"/>
      <c r="H53" s="76"/>
      <c r="I53" s="76"/>
    </row>
    <row r="54" ht="14.25" customHeight="1">
      <c r="A54" s="169" t="s">
        <v>778</v>
      </c>
      <c r="B54" s="169" t="s">
        <v>779</v>
      </c>
      <c r="C54" s="169" t="s">
        <v>780</v>
      </c>
      <c r="D54" s="169" t="s">
        <v>781</v>
      </c>
      <c r="E54" s="169"/>
      <c r="F54" s="169" t="s">
        <v>782</v>
      </c>
      <c r="G54" s="4" t="s">
        <v>783</v>
      </c>
      <c r="H54" s="169" t="s">
        <v>784</v>
      </c>
      <c r="I54" s="169" t="s">
        <v>785</v>
      </c>
    </row>
    <row r="55" ht="14.25" customHeight="1">
      <c r="A55" s="171"/>
      <c r="B55" s="74" t="str">
        <f>IF($A55=0,"",VLOOKUP($A55,'00_Mat'!$A$4:$J$1136,2,FALSE))</f>
        <v/>
      </c>
      <c r="C55" s="74" t="str">
        <f>IF($A55=0,"",VLOOKUP($A55,'00_Mat'!$A$4:$J$1136,3,FALSE))</f>
        <v/>
      </c>
      <c r="D55" s="172"/>
      <c r="E55" s="171"/>
      <c r="F55" s="173"/>
      <c r="G55" s="174">
        <f t="shared" ref="G55:G60" si="8">ROUNDUP((D55+(D55*F55)),0)</f>
        <v>0</v>
      </c>
      <c r="H55" s="120" t="str">
        <f>IF($A55=0,"",VLOOKUP($A55,'00_Mat'!$A$4:$J$1136,5,FALSE))</f>
        <v/>
      </c>
      <c r="I55" s="120"/>
    </row>
    <row r="56" ht="14.25" customHeight="1">
      <c r="A56" s="171"/>
      <c r="B56" s="74" t="str">
        <f>IF($A56=0,"",VLOOKUP($A56,'00_Mat'!$A$4:$J$1136,2,FALSE))</f>
        <v/>
      </c>
      <c r="C56" s="74" t="str">
        <f>IF($A56=0,"",VLOOKUP($A56,'00_Mat'!$A$4:$J$1136,3,FALSE))</f>
        <v/>
      </c>
      <c r="D56" s="172"/>
      <c r="E56" s="171"/>
      <c r="F56" s="173"/>
      <c r="G56" s="174">
        <f t="shared" si="8"/>
        <v>0</v>
      </c>
      <c r="H56" s="120" t="str">
        <f>IF($A56=0,"",VLOOKUP($A56,'00_Mat'!$A$4:$J$1136,5,FALSE))</f>
        <v/>
      </c>
      <c r="I56" s="120"/>
    </row>
    <row r="57" ht="14.25" customHeight="1">
      <c r="A57" s="171"/>
      <c r="B57" s="74" t="str">
        <f>IF($A57=0,"",VLOOKUP($A57,'00_Mat'!$A$4:$J$1136,2,FALSE))</f>
        <v/>
      </c>
      <c r="C57" s="74" t="str">
        <f>IF($A57=0,"",VLOOKUP($A57,'00_Mat'!$A$4:$J$1136,3,FALSE))</f>
        <v/>
      </c>
      <c r="D57" s="172"/>
      <c r="E57" s="171"/>
      <c r="F57" s="173"/>
      <c r="G57" s="174">
        <f t="shared" si="8"/>
        <v>0</v>
      </c>
      <c r="H57" s="120" t="str">
        <f>IF($A57=0,"",VLOOKUP($A57,'00_Mat'!$A$4:$J$1136,5,FALSE))</f>
        <v/>
      </c>
      <c r="I57" s="120"/>
    </row>
    <row r="58" ht="14.25" customHeight="1">
      <c r="A58" s="171"/>
      <c r="B58" s="74" t="str">
        <f>IF($A58=0,"",VLOOKUP($A58,'00_Mat'!$A$4:$J$1136,2,FALSE))</f>
        <v/>
      </c>
      <c r="C58" s="74" t="str">
        <f>IF($A58=0,"",VLOOKUP($A58,'00_Mat'!$A$4:$J$1136,3,FALSE))</f>
        <v/>
      </c>
      <c r="D58" s="172"/>
      <c r="E58" s="171"/>
      <c r="F58" s="173"/>
      <c r="G58" s="174">
        <f t="shared" si="8"/>
        <v>0</v>
      </c>
      <c r="H58" s="120" t="str">
        <f>IF($A58=0,"",VLOOKUP($A58,'00_Mat'!$A$4:$J$1136,5,FALSE))</f>
        <v/>
      </c>
      <c r="I58" s="120"/>
    </row>
    <row r="59" ht="14.25" customHeight="1">
      <c r="A59" s="171"/>
      <c r="B59" s="74" t="str">
        <f>IF($A59=0,"",VLOOKUP($A59,'00_Mat'!$A$4:$J$1136,2,FALSE))</f>
        <v/>
      </c>
      <c r="C59" s="74" t="str">
        <f>IF($A59=0,"",VLOOKUP($A59,'00_Mat'!$A$4:$J$1136,3,FALSE))</f>
        <v/>
      </c>
      <c r="D59" s="172"/>
      <c r="E59" s="171"/>
      <c r="F59" s="173"/>
      <c r="G59" s="174">
        <f t="shared" si="8"/>
        <v>0</v>
      </c>
      <c r="H59" s="120" t="str">
        <f>IF($A59=0,"",VLOOKUP($A59,'00_Mat'!$A$4:$J$1136,5,FALSE))</f>
        <v/>
      </c>
      <c r="I59" s="120"/>
    </row>
    <row r="60" ht="14.25" customHeight="1">
      <c r="A60" s="171"/>
      <c r="B60" s="74" t="str">
        <f>IF($A60=0,"",VLOOKUP($A60,'00_Mat'!$A$4:$J$1136,2,FALSE))</f>
        <v/>
      </c>
      <c r="C60" s="74" t="str">
        <f>IF($A60=0,"",VLOOKUP($A60,'00_Mat'!$A$4:$J$1136,3,FALSE))</f>
        <v/>
      </c>
      <c r="D60" s="172"/>
      <c r="E60" s="171"/>
      <c r="F60" s="173"/>
      <c r="G60" s="174">
        <f t="shared" si="8"/>
        <v>0</v>
      </c>
      <c r="H60" s="120" t="str">
        <f>IF($A60=0,"",VLOOKUP($A60,'00_Mat'!$A$4:$J$1136,5,FALSE))</f>
        <v/>
      </c>
      <c r="I60" s="120"/>
    </row>
    <row r="61" ht="14.25" customHeight="1">
      <c r="F61" s="126"/>
      <c r="G61" s="3"/>
      <c r="H61" s="120"/>
      <c r="I61" s="120"/>
    </row>
    <row r="62" ht="14.25" customHeight="1">
      <c r="A62" s="175" t="s">
        <v>717</v>
      </c>
      <c r="B62" s="176"/>
      <c r="C62" s="176"/>
      <c r="D62" s="176"/>
      <c r="E62" s="176"/>
      <c r="F62" s="176"/>
      <c r="G62" s="177"/>
      <c r="H62" s="176"/>
      <c r="I62" s="178">
        <f>SUM(I55:I60)</f>
        <v>0</v>
      </c>
    </row>
    <row r="63" ht="14.25" customHeight="1">
      <c r="A63" s="179" t="str">
        <f>$I$3</f>
        <v>m</v>
      </c>
      <c r="B63" s="180"/>
      <c r="C63" s="180"/>
      <c r="D63" s="180"/>
      <c r="E63" s="180"/>
      <c r="F63" s="180"/>
      <c r="G63" s="5"/>
      <c r="H63" s="180"/>
      <c r="I63" s="172">
        <f>$H$3</f>
        <v>156.1</v>
      </c>
      <c r="J63" s="74"/>
      <c r="K63" s="74"/>
      <c r="L63" s="74"/>
    </row>
    <row r="64" ht="14.25" customHeight="1">
      <c r="A64" s="181" t="s">
        <v>787</v>
      </c>
      <c r="B64" s="179" t="str">
        <f>A63</f>
        <v>m</v>
      </c>
      <c r="C64" s="180"/>
      <c r="D64" s="180"/>
      <c r="E64" s="180"/>
      <c r="F64" s="180"/>
      <c r="G64" s="5"/>
      <c r="H64" s="180"/>
      <c r="I64" s="182">
        <f>I62/I63</f>
        <v>0</v>
      </c>
      <c r="J64" s="74"/>
      <c r="K64" s="74"/>
      <c r="L64" s="74"/>
    </row>
    <row r="65" ht="14.25" customHeight="1">
      <c r="G65" s="3"/>
    </row>
    <row r="66" ht="14.25" customHeight="1">
      <c r="G66" s="3"/>
    </row>
    <row r="67" ht="14.25" customHeight="1">
      <c r="A67" s="168" t="s">
        <v>792</v>
      </c>
      <c r="B67" s="76"/>
      <c r="C67" s="76"/>
      <c r="D67" s="76"/>
      <c r="E67" s="76"/>
      <c r="F67" s="76"/>
      <c r="G67" s="2"/>
      <c r="H67" s="76"/>
      <c r="I67" s="76"/>
    </row>
    <row r="68" ht="14.25" customHeight="1">
      <c r="A68" s="169" t="s">
        <v>778</v>
      </c>
      <c r="B68" s="169" t="s">
        <v>779</v>
      </c>
      <c r="C68" s="169" t="s">
        <v>780</v>
      </c>
      <c r="D68" s="169" t="s">
        <v>781</v>
      </c>
      <c r="E68" s="169" t="s">
        <v>789</v>
      </c>
      <c r="F68" s="169" t="s">
        <v>782</v>
      </c>
      <c r="G68" s="4" t="s">
        <v>783</v>
      </c>
      <c r="H68" s="169" t="s">
        <v>784</v>
      </c>
      <c r="I68" s="169" t="s">
        <v>785</v>
      </c>
    </row>
    <row r="69" ht="14.25" customHeight="1">
      <c r="A69" s="171"/>
      <c r="B69" s="74" t="str">
        <f>IF($A69=0,"",VLOOKUP($A69,'00_Sub'!$A$4:$D$1001,2,FALSE))</f>
        <v/>
      </c>
      <c r="C69" s="74" t="str">
        <f>IF($A69=0,"",VLOOKUP($A69,'00_Sub'!$A$4:$D$1001,3,FALSE))</f>
        <v/>
      </c>
      <c r="D69" s="171"/>
      <c r="E69" s="171"/>
      <c r="F69" s="173"/>
      <c r="G69" s="174">
        <f t="shared" ref="G69:G74" si="9">ROUNDUP((D69+(D69*F69)),0)</f>
        <v>0</v>
      </c>
      <c r="H69" s="120" t="str">
        <f>IF($A69=0,"",VLOOKUP($A69,'00_Sub'!$A$4:$D$1001,4,FALSE))</f>
        <v/>
      </c>
      <c r="I69" s="120"/>
    </row>
    <row r="70" ht="14.25" customHeight="1">
      <c r="A70" s="171"/>
      <c r="B70" s="74" t="str">
        <f>IF($A70=0,"",VLOOKUP($A70,'00_Sub'!$A$4:$D$1001,2,FALSE))</f>
        <v/>
      </c>
      <c r="C70" s="74" t="str">
        <f>IF($A70=0,"",VLOOKUP($A70,'00_Sub'!$A$4:$D$1001,3,FALSE))</f>
        <v/>
      </c>
      <c r="D70" s="171"/>
      <c r="E70" s="171"/>
      <c r="F70" s="173"/>
      <c r="G70" s="174">
        <f t="shared" si="9"/>
        <v>0</v>
      </c>
      <c r="H70" s="120" t="str">
        <f>IF($A70=0,"",VLOOKUP($A70,'00_Sub'!$A$4:$D$1001,4,FALSE))</f>
        <v/>
      </c>
      <c r="I70" s="120"/>
    </row>
    <row r="71" ht="14.25" customHeight="1">
      <c r="A71" s="171"/>
      <c r="B71" s="74" t="str">
        <f>IF($A71=0,"",VLOOKUP($A71,'00_Sub'!$A$4:$D$1001,2,FALSE))</f>
        <v/>
      </c>
      <c r="C71" s="74" t="str">
        <f>IF($A71=0,"",VLOOKUP($A71,'00_Sub'!$A$4:$D$1001,3,FALSE))</f>
        <v/>
      </c>
      <c r="D71" s="171"/>
      <c r="E71" s="171"/>
      <c r="F71" s="173"/>
      <c r="G71" s="174">
        <f t="shared" si="9"/>
        <v>0</v>
      </c>
      <c r="H71" s="120" t="str">
        <f>IF($A71=0,"",VLOOKUP($A71,'00_Sub'!$A$4:$D$1001,4,FALSE))</f>
        <v/>
      </c>
      <c r="I71" s="120"/>
    </row>
    <row r="72" ht="14.25" customHeight="1">
      <c r="A72" s="171"/>
      <c r="B72" s="74" t="str">
        <f>IF($A72=0,"",VLOOKUP($A72,'00_Sub'!$A$4:$D$1001,2,FALSE))</f>
        <v/>
      </c>
      <c r="C72" s="74" t="str">
        <f>IF($A72=0,"",VLOOKUP($A72,'00_Sub'!$A$4:$D$1001,3,FALSE))</f>
        <v/>
      </c>
      <c r="D72" s="171"/>
      <c r="E72" s="171"/>
      <c r="F72" s="173"/>
      <c r="G72" s="174">
        <f t="shared" si="9"/>
        <v>0</v>
      </c>
      <c r="H72" s="120" t="str">
        <f>IF($A72=0,"",VLOOKUP($A72,'00_Sub'!$A$4:$D$1001,4,FALSE))</f>
        <v/>
      </c>
      <c r="I72" s="120"/>
    </row>
    <row r="73" ht="14.25" customHeight="1">
      <c r="A73" s="171"/>
      <c r="B73" s="74" t="str">
        <f>IF($A73=0,"",VLOOKUP($A73,'00_Sub'!$A$4:$D$1001,2,FALSE))</f>
        <v/>
      </c>
      <c r="C73" s="74" t="str">
        <f>IF($A73=0,"",VLOOKUP($A73,'00_Sub'!$A$4:$D$1001,3,FALSE))</f>
        <v/>
      </c>
      <c r="D73" s="171"/>
      <c r="E73" s="171"/>
      <c r="F73" s="173"/>
      <c r="G73" s="174">
        <f t="shared" si="9"/>
        <v>0</v>
      </c>
      <c r="H73" s="120" t="str">
        <f>IF($A73=0,"",VLOOKUP($A73,'00_Sub'!$A$4:$D$1001,4,FALSE))</f>
        <v/>
      </c>
      <c r="I73" s="120"/>
    </row>
    <row r="74" ht="14.25" customHeight="1">
      <c r="A74" s="171"/>
      <c r="B74" s="74" t="str">
        <f>IF($A74=0,"",VLOOKUP($A74,'00_Sub'!$A$4:$D$1001,2,FALSE))</f>
        <v/>
      </c>
      <c r="C74" s="74" t="str">
        <f>IF($A74=0,"",VLOOKUP($A74,'00_Sub'!$A$4:$D$1001,3,FALSE))</f>
        <v/>
      </c>
      <c r="D74" s="171"/>
      <c r="E74" s="171"/>
      <c r="F74" s="173"/>
      <c r="G74" s="174">
        <f t="shared" si="9"/>
        <v>0</v>
      </c>
      <c r="H74" s="120" t="str">
        <f>IF($A74=0,"",VLOOKUP($A74,'00_Sub'!$A$4:$D$1001,4,FALSE))</f>
        <v/>
      </c>
      <c r="I74" s="120"/>
    </row>
    <row r="75" ht="14.25" customHeight="1">
      <c r="F75" s="126"/>
      <c r="G75" s="3"/>
      <c r="H75" s="120"/>
      <c r="I75" s="120"/>
    </row>
    <row r="76" ht="14.25" customHeight="1">
      <c r="A76" s="175" t="s">
        <v>717</v>
      </c>
      <c r="B76" s="176"/>
      <c r="C76" s="176"/>
      <c r="D76" s="176"/>
      <c r="E76" s="176"/>
      <c r="F76" s="176"/>
      <c r="G76" s="177"/>
      <c r="H76" s="176"/>
      <c r="I76" s="178">
        <f>SUM(I69:I74)</f>
        <v>0</v>
      </c>
    </row>
    <row r="77" ht="14.25" customHeight="1">
      <c r="A77" s="179" t="str">
        <f>$I$3</f>
        <v>m</v>
      </c>
      <c r="B77" s="180"/>
      <c r="C77" s="180"/>
      <c r="D77" s="180"/>
      <c r="E77" s="180"/>
      <c r="F77" s="180"/>
      <c r="G77" s="5"/>
      <c r="H77" s="180"/>
      <c r="I77" s="172">
        <f>$H$3</f>
        <v>156.1</v>
      </c>
      <c r="J77" s="74"/>
      <c r="K77" s="74"/>
      <c r="L77" s="74"/>
    </row>
    <row r="78" ht="14.25" customHeight="1">
      <c r="A78" s="181" t="s">
        <v>787</v>
      </c>
      <c r="B78" s="179" t="str">
        <f>A77</f>
        <v>m</v>
      </c>
      <c r="C78" s="180"/>
      <c r="D78" s="180"/>
      <c r="E78" s="180"/>
      <c r="F78" s="180"/>
      <c r="G78" s="5"/>
      <c r="H78" s="180"/>
      <c r="I78" s="182">
        <f>I76/I77</f>
        <v>0</v>
      </c>
      <c r="J78" s="74"/>
      <c r="K78" s="74"/>
      <c r="L78" s="74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73" t="str">
        <f>'01_C&amp;P'!A1</f>
        <v>NOMBRE DE LA OBRA</v>
      </c>
      <c r="B1" s="73"/>
      <c r="C1" s="73"/>
      <c r="G1" s="3"/>
    </row>
    <row r="2" ht="14.25" customHeight="1">
      <c r="G2" s="3"/>
    </row>
    <row r="3" ht="23.25" customHeight="1">
      <c r="A3" s="162">
        <f>'01_C&amp;P'!A25</f>
        <v>45780</v>
      </c>
      <c r="B3" s="163" t="str">
        <f>IF($A3=0,"",VLOOKUP($A3,'01_C&amp;P'!$A$9:$D$91,2,FALSE))</f>
        <v>COLOCACION DE GARDEN BLOCK</v>
      </c>
      <c r="C3" s="164"/>
      <c r="D3" s="164"/>
      <c r="E3" s="164"/>
      <c r="F3" s="164"/>
      <c r="G3" s="165"/>
      <c r="H3" s="166">
        <f>IF($A3=0,"",VLOOKUP($A3,'01_C&amp;P'!$A$9:$D$91,4,FALSE))</f>
        <v>427</v>
      </c>
      <c r="I3" s="167" t="str">
        <f>IF($A3=0,"",VLOOKUP($A3,'01_C&amp;P'!$A$9:$D$91,3,FALSE))</f>
        <v>m²</v>
      </c>
    </row>
    <row r="4" ht="14.25" customHeight="1">
      <c r="G4" s="3"/>
    </row>
    <row r="5" ht="14.25" customHeight="1">
      <c r="A5" s="168" t="s">
        <v>0</v>
      </c>
      <c r="B5" s="76"/>
      <c r="C5" s="76"/>
      <c r="D5" s="76"/>
      <c r="E5" s="76"/>
      <c r="F5" s="76"/>
      <c r="G5" s="2"/>
      <c r="H5" s="76"/>
      <c r="I5" s="76"/>
    </row>
    <row r="6" ht="14.25" customHeight="1">
      <c r="A6" s="169" t="s">
        <v>778</v>
      </c>
      <c r="B6" s="169" t="s">
        <v>779</v>
      </c>
      <c r="C6" s="169" t="s">
        <v>780</v>
      </c>
      <c r="D6" s="170" t="s">
        <v>781</v>
      </c>
      <c r="E6" s="164"/>
      <c r="F6" s="169" t="s">
        <v>782</v>
      </c>
      <c r="G6" s="4" t="s">
        <v>783</v>
      </c>
      <c r="H6" s="169" t="s">
        <v>784</v>
      </c>
      <c r="I6" s="169" t="s">
        <v>785</v>
      </c>
    </row>
    <row r="7" ht="14.25" customHeight="1">
      <c r="A7" s="171" t="s">
        <v>49</v>
      </c>
      <c r="B7" s="74" t="str">
        <f>IF($A7=0,"",VLOOKUP($A7,'00_Mat'!$A$4:$J$1136,2,FALSE))</f>
        <v>Garden Block 38x38x8cm (1m2)</v>
      </c>
      <c r="C7" s="74" t="str">
        <f>IF($A7=0,"",VLOOKUP($A7,'00_Mat'!$A$4:$J$1136,3,FALSE))</f>
        <v>m2</v>
      </c>
      <c r="D7" s="172">
        <f>H3</f>
        <v>427</v>
      </c>
      <c r="E7" s="171"/>
      <c r="F7" s="173">
        <v>0.15</v>
      </c>
      <c r="G7" s="174">
        <f t="shared" ref="G7:G18" si="1">ROUNDUP((D7+(D7*F7)),0)</f>
        <v>492</v>
      </c>
      <c r="H7" s="120">
        <f>IF($A7=0,"",VLOOKUP($A7,'00_Mat'!$A$4:$J$1136,5,FALSE))</f>
        <v>22500</v>
      </c>
      <c r="I7" s="120">
        <f t="shared" ref="I7:I8" si="2">G7*H7</f>
        <v>11070000</v>
      </c>
    </row>
    <row r="8" ht="14.25" customHeight="1">
      <c r="A8" s="171" t="s">
        <v>804</v>
      </c>
      <c r="B8" s="74" t="str">
        <f>IF($A8=0,"",VLOOKUP($A8,'00_Mat'!$A$4:$J$1136,2,FALSE))</f>
        <v>Bolson de Arena (1m3) </v>
      </c>
      <c r="C8" s="74" t="str">
        <f>IF($A8=0,"",VLOOKUP($A8,'00_Mat'!$A$4:$J$1136,3,FALSE))</f>
        <v>m3</v>
      </c>
      <c r="D8" s="171">
        <f>((H3/0.2)*0.2)/12</f>
        <v>35.58333333</v>
      </c>
      <c r="E8" s="171"/>
      <c r="F8" s="173">
        <v>0.1</v>
      </c>
      <c r="G8" s="174">
        <f t="shared" si="1"/>
        <v>40</v>
      </c>
      <c r="H8" s="120">
        <f>IF($A8=0,"",VLOOKUP($A8,'00_Mat'!$A$4:$J$1136,5,FALSE))</f>
        <v>31040</v>
      </c>
      <c r="I8" s="120">
        <f t="shared" si="2"/>
        <v>1241600</v>
      </c>
    </row>
    <row r="9" ht="14.25" customHeight="1">
      <c r="A9" s="171"/>
      <c r="B9" s="74" t="str">
        <f>IF($A9=0,"",VLOOKUP($A9,'00_Mat'!$A$4:$J$1136,2,FALSE))</f>
        <v/>
      </c>
      <c r="C9" s="74" t="str">
        <f>IF($A9=0,"",VLOOKUP($A9,'00_Mat'!$A$4:$J$1136,3,FALSE))</f>
        <v/>
      </c>
      <c r="D9" s="171"/>
      <c r="E9" s="171"/>
      <c r="F9" s="173"/>
      <c r="G9" s="174">
        <f t="shared" si="1"/>
        <v>0</v>
      </c>
      <c r="H9" s="120" t="str">
        <f>IF($A9=0,"",VLOOKUP($A9,'00_Mat'!$A$4:$J$1136,5,FALSE))</f>
        <v/>
      </c>
      <c r="I9" s="120"/>
    </row>
    <row r="10" ht="14.25" customHeight="1">
      <c r="A10" s="171"/>
      <c r="B10" s="74" t="str">
        <f>IF($A10=0,"",VLOOKUP($A10,'00_Mat'!$A$4:$J$1136,2,FALSE))</f>
        <v/>
      </c>
      <c r="C10" s="74" t="str">
        <f>IF($A10=0,"",VLOOKUP($A10,'00_Mat'!$A$4:$J$1136,3,FALSE))</f>
        <v/>
      </c>
      <c r="D10" s="171"/>
      <c r="E10" s="171"/>
      <c r="F10" s="173"/>
      <c r="G10" s="174">
        <f t="shared" si="1"/>
        <v>0</v>
      </c>
      <c r="H10" s="120" t="str">
        <f>IF($A10=0,"",VLOOKUP($A10,'00_Mat'!$A$4:$J$1136,5,FALSE))</f>
        <v/>
      </c>
      <c r="I10" s="120"/>
    </row>
    <row r="11" ht="14.25" customHeight="1">
      <c r="A11" s="171"/>
      <c r="B11" s="74" t="str">
        <f>IF($A11=0,"",VLOOKUP($A11,'00_Mat'!$A$4:$J$1136,2,FALSE))</f>
        <v/>
      </c>
      <c r="C11" s="74" t="str">
        <f>IF($A11=0,"",VLOOKUP($A11,'00_Mat'!$A$4:$J$1136,3,FALSE))</f>
        <v/>
      </c>
      <c r="D11" s="171"/>
      <c r="E11" s="171"/>
      <c r="F11" s="173"/>
      <c r="G11" s="174">
        <f t="shared" si="1"/>
        <v>0</v>
      </c>
      <c r="H11" s="120" t="str">
        <f>IF($A11=0,"",VLOOKUP($A11,'00_Mat'!$A$4:$J$1136,5,FALSE))</f>
        <v/>
      </c>
      <c r="I11" s="120"/>
    </row>
    <row r="12" ht="14.25" customHeight="1">
      <c r="A12" s="171"/>
      <c r="B12" s="74" t="str">
        <f>IF($A12=0,"",VLOOKUP($A12,'00_Mat'!$A$4:$J$1136,2,FALSE))</f>
        <v/>
      </c>
      <c r="C12" s="74" t="str">
        <f>IF($A12=0,"",VLOOKUP($A12,'00_Mat'!$A$4:$J$1136,3,FALSE))</f>
        <v/>
      </c>
      <c r="D12" s="171"/>
      <c r="E12" s="171"/>
      <c r="F12" s="173"/>
      <c r="G12" s="174">
        <f t="shared" si="1"/>
        <v>0</v>
      </c>
      <c r="H12" s="120" t="str">
        <f>IF($A12=0,"",VLOOKUP($A12,'00_Mat'!$A$4:$J$1136,5,FALSE))</f>
        <v/>
      </c>
      <c r="I12" s="120"/>
    </row>
    <row r="13" ht="14.25" customHeight="1">
      <c r="A13" s="171"/>
      <c r="B13" s="74" t="str">
        <f>IF($A13=0,"",VLOOKUP($A13,'00_Mat'!$A$4:$J$1136,2,FALSE))</f>
        <v/>
      </c>
      <c r="C13" s="74" t="str">
        <f>IF($A13=0,"",VLOOKUP($A13,'00_Mat'!$A$4:$J$1136,3,FALSE))</f>
        <v/>
      </c>
      <c r="D13" s="171"/>
      <c r="E13" s="171"/>
      <c r="F13" s="173"/>
      <c r="G13" s="174">
        <f t="shared" si="1"/>
        <v>0</v>
      </c>
      <c r="H13" s="120" t="str">
        <f>IF($A13=0,"",VLOOKUP($A13,'00_Mat'!$A$4:$J$1136,5,FALSE))</f>
        <v/>
      </c>
      <c r="I13" s="120"/>
    </row>
    <row r="14" ht="14.25" customHeight="1">
      <c r="A14" s="171"/>
      <c r="B14" s="74" t="str">
        <f>IF($A14=0,"",VLOOKUP($A14,'00_Mat'!$A$4:$J$1136,2,FALSE))</f>
        <v/>
      </c>
      <c r="C14" s="74" t="str">
        <f>IF($A14=0,"",VLOOKUP($A14,'00_Mat'!$A$4:$J$1136,3,FALSE))</f>
        <v/>
      </c>
      <c r="D14" s="171"/>
      <c r="E14" s="171"/>
      <c r="F14" s="173"/>
      <c r="G14" s="174">
        <f t="shared" si="1"/>
        <v>0</v>
      </c>
      <c r="H14" s="120" t="str">
        <f>IF($A14=0,"",VLOOKUP($A14,'00_Mat'!$A$4:$J$1136,5,FALSE))</f>
        <v/>
      </c>
      <c r="I14" s="120"/>
    </row>
    <row r="15" ht="14.25" customHeight="1">
      <c r="A15" s="171"/>
      <c r="B15" s="74" t="str">
        <f>IF($A15=0,"",VLOOKUP($A15,'00_Mat'!$A$4:$J$1136,2,FALSE))</f>
        <v/>
      </c>
      <c r="C15" s="74" t="str">
        <f>IF($A15=0,"",VLOOKUP($A15,'00_Mat'!$A$4:$J$1136,3,FALSE))</f>
        <v/>
      </c>
      <c r="D15" s="171"/>
      <c r="E15" s="171"/>
      <c r="F15" s="173"/>
      <c r="G15" s="174">
        <f t="shared" si="1"/>
        <v>0</v>
      </c>
      <c r="H15" s="120" t="str">
        <f>IF($A15=0,"",VLOOKUP($A15,'00_Mat'!$A$4:$J$1136,5,FALSE))</f>
        <v/>
      </c>
      <c r="I15" s="120"/>
    </row>
    <row r="16" ht="14.25" customHeight="1">
      <c r="A16" s="171"/>
      <c r="B16" s="74" t="str">
        <f>IF($A16=0,"",VLOOKUP($A16,'00_Mat'!$A$4:$J$1136,2,FALSE))</f>
        <v/>
      </c>
      <c r="C16" s="74" t="str">
        <f>IF($A16=0,"",VLOOKUP($A16,'00_Mat'!$A$4:$J$1136,3,FALSE))</f>
        <v/>
      </c>
      <c r="D16" s="171"/>
      <c r="E16" s="171"/>
      <c r="F16" s="173"/>
      <c r="G16" s="174">
        <f t="shared" si="1"/>
        <v>0</v>
      </c>
      <c r="H16" s="120" t="str">
        <f>IF($A16=0,"",VLOOKUP($A16,'00_Mat'!$A$4:$J$1136,5,FALSE))</f>
        <v/>
      </c>
      <c r="I16" s="120"/>
    </row>
    <row r="17" ht="14.25" customHeight="1">
      <c r="A17" s="171"/>
      <c r="B17" s="74" t="str">
        <f>IF($A17=0,"",VLOOKUP($A17,'00_Mat'!$A$4:$J$1136,2,FALSE))</f>
        <v/>
      </c>
      <c r="C17" s="74" t="str">
        <f>IF($A17=0,"",VLOOKUP($A17,'00_Mat'!$A$4:$J$1136,3,FALSE))</f>
        <v/>
      </c>
      <c r="D17" s="171"/>
      <c r="E17" s="171"/>
      <c r="F17" s="173"/>
      <c r="G17" s="174">
        <f t="shared" si="1"/>
        <v>0</v>
      </c>
      <c r="H17" s="120" t="str">
        <f>IF($A17=0,"",VLOOKUP($A17,'00_Mat'!$A$4:$J$1136,5,FALSE))</f>
        <v/>
      </c>
      <c r="I17" s="120"/>
    </row>
    <row r="18" ht="14.25" customHeight="1">
      <c r="A18" s="171"/>
      <c r="B18" s="74" t="str">
        <f>IF($A18=0,"",VLOOKUP($A18,'00_Mat'!$A$4:$J$1136,2,FALSE))</f>
        <v/>
      </c>
      <c r="C18" s="74" t="str">
        <f>IF($A18=0,"",VLOOKUP($A18,'00_Mat'!$A$4:$J$1136,3,FALSE))</f>
        <v/>
      </c>
      <c r="D18" s="171"/>
      <c r="E18" s="171"/>
      <c r="F18" s="173"/>
      <c r="G18" s="174">
        <f t="shared" si="1"/>
        <v>0</v>
      </c>
      <c r="H18" s="120" t="str">
        <f>IF($A18=0,"",VLOOKUP($A18,'00_Mat'!$A$4:$J$1136,5,FALSE))</f>
        <v/>
      </c>
      <c r="I18" s="120"/>
    </row>
    <row r="19" ht="14.25" customHeight="1">
      <c r="F19" s="126"/>
      <c r="G19" s="3"/>
      <c r="H19" s="120"/>
      <c r="I19" s="120"/>
    </row>
    <row r="20" ht="14.25" customHeight="1">
      <c r="A20" s="175" t="s">
        <v>786</v>
      </c>
      <c r="B20" s="176"/>
      <c r="C20" s="176"/>
      <c r="D20" s="176"/>
      <c r="E20" s="176"/>
      <c r="F20" s="176"/>
      <c r="G20" s="177"/>
      <c r="H20" s="176"/>
      <c r="I20" s="178">
        <f>SUM(I7:I18)</f>
        <v>12311600</v>
      </c>
      <c r="J20" s="74"/>
      <c r="K20" s="74"/>
      <c r="L20" s="74"/>
    </row>
    <row r="21" ht="14.25" customHeight="1">
      <c r="A21" s="179" t="str">
        <f>$I$3</f>
        <v>m²</v>
      </c>
      <c r="B21" s="180"/>
      <c r="C21" s="180"/>
      <c r="D21" s="180"/>
      <c r="E21" s="180"/>
      <c r="F21" s="180"/>
      <c r="G21" s="5"/>
      <c r="H21" s="180"/>
      <c r="I21" s="172">
        <f>$H$3</f>
        <v>427</v>
      </c>
      <c r="J21" s="74"/>
      <c r="K21" s="74"/>
      <c r="L21" s="74"/>
    </row>
    <row r="22" ht="14.25" customHeight="1">
      <c r="A22" s="181" t="s">
        <v>787</v>
      </c>
      <c r="B22" s="179" t="str">
        <f>A21</f>
        <v>m²</v>
      </c>
      <c r="C22" s="180"/>
      <c r="D22" s="180"/>
      <c r="E22" s="180"/>
      <c r="F22" s="180"/>
      <c r="G22" s="5"/>
      <c r="H22" s="180"/>
      <c r="I22" s="182">
        <f>I20/I21</f>
        <v>28832.78689</v>
      </c>
      <c r="J22" s="74"/>
      <c r="K22" s="74"/>
      <c r="L22" s="74"/>
    </row>
    <row r="23" ht="14.25" customHeight="1">
      <c r="G23" s="3"/>
    </row>
    <row r="24" ht="14.25" customHeight="1">
      <c r="G24" s="3"/>
    </row>
    <row r="25" ht="14.25" customHeight="1">
      <c r="A25" s="168" t="s">
        <v>788</v>
      </c>
      <c r="B25" s="76"/>
      <c r="C25" s="76"/>
      <c r="D25" s="76"/>
      <c r="E25" s="76"/>
      <c r="F25" s="76"/>
      <c r="G25" s="2"/>
      <c r="H25" s="76"/>
      <c r="I25" s="76"/>
    </row>
    <row r="26" ht="14.25" customHeight="1">
      <c r="A26" s="169" t="s">
        <v>778</v>
      </c>
      <c r="B26" s="169" t="s">
        <v>779</v>
      </c>
      <c r="C26" s="169" t="s">
        <v>780</v>
      </c>
      <c r="D26" s="169" t="s">
        <v>781</v>
      </c>
      <c r="E26" s="169" t="s">
        <v>789</v>
      </c>
      <c r="F26" s="169" t="s">
        <v>782</v>
      </c>
      <c r="G26" s="4" t="s">
        <v>783</v>
      </c>
      <c r="H26" s="169" t="s">
        <v>784</v>
      </c>
      <c r="I26" s="169" t="s">
        <v>785</v>
      </c>
    </row>
    <row r="27" ht="14.25" customHeight="1">
      <c r="A27" s="183" t="s">
        <v>509</v>
      </c>
      <c r="B27" s="74" t="str">
        <f>IF($A27=0,"",VLOOKUP($A27,'00_MO'!$A$4:$D$7,2,FALSE))</f>
        <v>Capataz</v>
      </c>
      <c r="C27" s="74" t="str">
        <f>IF($A27=0,"",VLOOKUP($A27,'00_MO'!$A$4:$D$7,3,FALSE))</f>
        <v>u</v>
      </c>
      <c r="D27" s="171">
        <v>1.0</v>
      </c>
      <c r="E27" s="171">
        <f>$H$3/25</f>
        <v>17.08</v>
      </c>
      <c r="F27" s="173">
        <v>0.1</v>
      </c>
      <c r="G27" s="184">
        <f t="shared" ref="G27:G32" si="3">ROUNDUP(((D27*E27)*(1+F27)),0)</f>
        <v>19</v>
      </c>
      <c r="H27" s="120">
        <f>IF($A27=0,"",VLOOKUP($A27,'00_MO'!$A$4:$D$7,4,FALSE))</f>
        <v>50000</v>
      </c>
      <c r="I27" s="120">
        <f t="shared" ref="I27:I29" si="4">G27*H27</f>
        <v>950000</v>
      </c>
    </row>
    <row r="28" ht="14.25" customHeight="1">
      <c r="A28" s="183" t="s">
        <v>513</v>
      </c>
      <c r="B28" s="74" t="str">
        <f>IF($A28=0,"",VLOOKUP($A28,'00_MO'!$A$4:$D$7,2,FALSE))</f>
        <v>Oficial</v>
      </c>
      <c r="C28" s="74" t="str">
        <f>IF($A28=0,"",VLOOKUP($A28,'00_MO'!$A$4:$D$7,3,FALSE))</f>
        <v>u</v>
      </c>
      <c r="D28" s="171">
        <v>2.0</v>
      </c>
      <c r="E28" s="171">
        <f t="shared" ref="E28:E29" si="5">E27</f>
        <v>17.08</v>
      </c>
      <c r="F28" s="173">
        <v>0.1</v>
      </c>
      <c r="G28" s="184">
        <f t="shared" si="3"/>
        <v>38</v>
      </c>
      <c r="H28" s="120">
        <f>IF($A28=0,"",VLOOKUP($A28,'00_MO'!$A$4:$D$7,4,FALSE))</f>
        <v>40000</v>
      </c>
      <c r="I28" s="120">
        <f t="shared" si="4"/>
        <v>1520000</v>
      </c>
    </row>
    <row r="29" ht="14.25" customHeight="1">
      <c r="A29" s="183" t="s">
        <v>515</v>
      </c>
      <c r="B29" s="74" t="str">
        <f>IF($A29=0,"",VLOOKUP($A29,'00_MO'!$A$4:$D$7,2,FALSE))</f>
        <v>Ayudante</v>
      </c>
      <c r="C29" s="74" t="str">
        <f>IF($A29=0,"",VLOOKUP($A29,'00_MO'!$A$4:$D$7,3,FALSE))</f>
        <v>u</v>
      </c>
      <c r="D29" s="171">
        <v>2.0</v>
      </c>
      <c r="E29" s="171">
        <f t="shared" si="5"/>
        <v>17.08</v>
      </c>
      <c r="F29" s="173">
        <v>0.1</v>
      </c>
      <c r="G29" s="184">
        <f t="shared" si="3"/>
        <v>38</v>
      </c>
      <c r="H29" s="120">
        <f>IF($A29=0,"",VLOOKUP($A29,'00_MO'!$A$4:$D$7,4,FALSE))</f>
        <v>30000</v>
      </c>
      <c r="I29" s="120">
        <f t="shared" si="4"/>
        <v>1140000</v>
      </c>
    </row>
    <row r="30" ht="14.25" customHeight="1">
      <c r="A30" s="171"/>
      <c r="B30" s="74" t="str">
        <f>IF($A30=0,"",VLOOKUP($A30,'00_MO'!$A$4:$D$7,2,FALSE))</f>
        <v/>
      </c>
      <c r="C30" s="74" t="str">
        <f>IF($A30=0,"",VLOOKUP($A30,'00_MO'!$A$4:$D$7,3,FALSE))</f>
        <v/>
      </c>
      <c r="D30" s="171"/>
      <c r="E30" s="171"/>
      <c r="F30" s="173"/>
      <c r="G30" s="184">
        <f t="shared" si="3"/>
        <v>0</v>
      </c>
      <c r="H30" s="120" t="str">
        <f>IF($A30=0,"",VLOOKUP($A30,'00_MO'!$A$4:$D$7,4,FALSE))</f>
        <v/>
      </c>
      <c r="I30" s="120"/>
    </row>
    <row r="31" ht="14.25" customHeight="1">
      <c r="A31" s="171"/>
      <c r="B31" s="74" t="str">
        <f>IF($A31=0,"",VLOOKUP($A31,'00_MO'!$A$4:$D$7,2,FALSE))</f>
        <v/>
      </c>
      <c r="C31" s="74" t="str">
        <f>IF($A31=0,"",VLOOKUP($A31,'00_MO'!$A$4:$D$7,3,FALSE))</f>
        <v/>
      </c>
      <c r="D31" s="171"/>
      <c r="E31" s="171"/>
      <c r="F31" s="173"/>
      <c r="G31" s="184">
        <f t="shared" si="3"/>
        <v>0</v>
      </c>
      <c r="H31" s="120" t="str">
        <f>IF($A31=0,"",VLOOKUP($A31,'00_MO'!$A$4:$D$7,4,FALSE))</f>
        <v/>
      </c>
      <c r="I31" s="120"/>
    </row>
    <row r="32" ht="14.25" customHeight="1">
      <c r="A32" s="171"/>
      <c r="B32" s="74" t="str">
        <f>IF($A32=0,"",VLOOKUP($A32,'00_MO'!$A$4:$D$7,2,FALSE))</f>
        <v/>
      </c>
      <c r="C32" s="74" t="str">
        <f>IF($A32=0,"",VLOOKUP($A32,'00_MO'!$A$4:$D$7,3,FALSE))</f>
        <v/>
      </c>
      <c r="D32" s="171"/>
      <c r="E32" s="171"/>
      <c r="F32" s="173"/>
      <c r="G32" s="184">
        <f t="shared" si="3"/>
        <v>0</v>
      </c>
      <c r="H32" s="120" t="str">
        <f>IF($A32=0,"",VLOOKUP($A32,'00_MO'!$A$4:$D$7,4,FALSE))</f>
        <v/>
      </c>
      <c r="I32" s="120"/>
    </row>
    <row r="33" ht="14.25" customHeight="1">
      <c r="F33" s="126"/>
      <c r="G33" s="3"/>
      <c r="H33" s="120"/>
      <c r="I33" s="120"/>
    </row>
    <row r="34" ht="14.25" customHeight="1">
      <c r="A34" s="175" t="s">
        <v>717</v>
      </c>
      <c r="B34" s="176"/>
      <c r="C34" s="176"/>
      <c r="D34" s="176"/>
      <c r="E34" s="176"/>
      <c r="F34" s="176"/>
      <c r="G34" s="177"/>
      <c r="H34" s="176"/>
      <c r="I34" s="178">
        <f>SUM(I27:I32)</f>
        <v>3610000</v>
      </c>
    </row>
    <row r="35" ht="14.25" customHeight="1">
      <c r="A35" s="179" t="str">
        <f>$I$3</f>
        <v>m²</v>
      </c>
      <c r="B35" s="180"/>
      <c r="C35" s="180"/>
      <c r="D35" s="180"/>
      <c r="E35" s="180"/>
      <c r="F35" s="180"/>
      <c r="G35" s="5"/>
      <c r="H35" s="180"/>
      <c r="I35" s="172">
        <f>$H$3</f>
        <v>427</v>
      </c>
      <c r="J35" s="74"/>
      <c r="K35" s="74"/>
      <c r="L35" s="74"/>
    </row>
    <row r="36" ht="14.25" customHeight="1">
      <c r="A36" s="181" t="s">
        <v>787</v>
      </c>
      <c r="B36" s="179" t="str">
        <f>A35</f>
        <v>m²</v>
      </c>
      <c r="C36" s="180"/>
      <c r="D36" s="180"/>
      <c r="E36" s="180"/>
      <c r="F36" s="180"/>
      <c r="G36" s="5"/>
      <c r="H36" s="180"/>
      <c r="I36" s="182">
        <f>I34/I35</f>
        <v>8454.332553</v>
      </c>
      <c r="J36" s="74"/>
      <c r="K36" s="74"/>
      <c r="L36" s="74"/>
    </row>
    <row r="37" ht="14.25" customHeight="1">
      <c r="G37" s="3"/>
    </row>
    <row r="38" ht="14.25" customHeight="1">
      <c r="G38" s="3"/>
    </row>
    <row r="39" ht="14.25" customHeight="1">
      <c r="A39" s="168" t="s">
        <v>790</v>
      </c>
      <c r="B39" s="76"/>
      <c r="C39" s="76"/>
      <c r="D39" s="76"/>
      <c r="E39" s="76"/>
      <c r="F39" s="76"/>
      <c r="G39" s="2"/>
      <c r="H39" s="76"/>
      <c r="I39" s="76"/>
    </row>
    <row r="40" ht="14.25" customHeight="1">
      <c r="A40" s="169" t="s">
        <v>778</v>
      </c>
      <c r="B40" s="169" t="s">
        <v>779</v>
      </c>
      <c r="C40" s="169" t="s">
        <v>780</v>
      </c>
      <c r="D40" s="169" t="s">
        <v>781</v>
      </c>
      <c r="E40" s="169" t="s">
        <v>789</v>
      </c>
      <c r="F40" s="169" t="s">
        <v>782</v>
      </c>
      <c r="G40" s="4" t="s">
        <v>783</v>
      </c>
      <c r="H40" s="169" t="s">
        <v>784</v>
      </c>
      <c r="I40" s="169" t="s">
        <v>785</v>
      </c>
    </row>
    <row r="41" ht="14.25" customHeight="1">
      <c r="A41" s="171"/>
      <c r="B41" s="74" t="str">
        <f>IF($A41=0,"",VLOOKUP($A41,'00_Eq'!$A$4:$D$101,2,FALSE))</f>
        <v/>
      </c>
      <c r="C41" s="74" t="str">
        <f>IF($A41=0,"",VLOOKUP($A41,'00_Eq'!$A$4:$D$101,3,FALSE))</f>
        <v/>
      </c>
      <c r="D41" s="171"/>
      <c r="E41" s="171"/>
      <c r="F41" s="173"/>
      <c r="G41" s="184">
        <f t="shared" ref="G41:G46" si="6">ROUNDUP(((D41*E41)*(1+F41)),0)</f>
        <v>0</v>
      </c>
      <c r="H41" s="120" t="str">
        <f>IF($A41=0,"",VLOOKUP($A41,'00_Eq'!$A$4:$D$101,4,FALSE))</f>
        <v/>
      </c>
      <c r="I41" s="120">
        <f>G41*H41</f>
        <v>0</v>
      </c>
    </row>
    <row r="42" ht="14.25" customHeight="1">
      <c r="A42" s="171"/>
      <c r="B42" s="74" t="str">
        <f>IF($A42=0,"",VLOOKUP($A42,'00_Eq'!$A$4:$D$101,2,FALSE))</f>
        <v/>
      </c>
      <c r="C42" s="74" t="str">
        <f>IF($A42=0,"",VLOOKUP($A42,'00_Eq'!$A$4:$D$101,3,FALSE))</f>
        <v/>
      </c>
      <c r="D42" s="171"/>
      <c r="E42" s="171"/>
      <c r="F42" s="173"/>
      <c r="G42" s="184">
        <f t="shared" si="6"/>
        <v>0</v>
      </c>
      <c r="H42" s="120" t="str">
        <f>IF($A42=0,"",VLOOKUP($A42,'00_Eq'!$A$4:$D$101,4,FALSE))</f>
        <v/>
      </c>
      <c r="I42" s="120"/>
    </row>
    <row r="43" ht="14.25" customHeight="1">
      <c r="A43" s="171"/>
      <c r="B43" s="74" t="str">
        <f>IF($A43=0,"",VLOOKUP($A43,'00_Eq'!$A$4:$D$101,2,FALSE))</f>
        <v/>
      </c>
      <c r="C43" s="74" t="str">
        <f>IF($A43=0,"",VLOOKUP($A43,'00_Eq'!$A$4:$D$101,3,FALSE))</f>
        <v/>
      </c>
      <c r="D43" s="171"/>
      <c r="E43" s="171"/>
      <c r="F43" s="173"/>
      <c r="G43" s="184">
        <f t="shared" si="6"/>
        <v>0</v>
      </c>
      <c r="H43" s="120" t="str">
        <f>IF($A43=0,"",VLOOKUP($A43,'00_Eq'!$A$4:$D$101,4,FALSE))</f>
        <v/>
      </c>
      <c r="I43" s="120"/>
    </row>
    <row r="44" ht="14.25" customHeight="1">
      <c r="A44" s="171"/>
      <c r="B44" s="74" t="str">
        <f>IF($A44=0,"",VLOOKUP($A44,'00_Eq'!$A$4:$D$101,2,FALSE))</f>
        <v/>
      </c>
      <c r="C44" s="74" t="str">
        <f>IF($A44=0,"",VLOOKUP($A44,'00_Eq'!$A$4:$D$101,3,FALSE))</f>
        <v/>
      </c>
      <c r="D44" s="171"/>
      <c r="E44" s="171"/>
      <c r="F44" s="173"/>
      <c r="G44" s="184">
        <f t="shared" si="6"/>
        <v>0</v>
      </c>
      <c r="H44" s="120" t="str">
        <f>IF($A44=0,"",VLOOKUP($A44,'00_Eq'!$A$4:$D$101,4,FALSE))</f>
        <v/>
      </c>
      <c r="I44" s="120"/>
    </row>
    <row r="45" ht="14.25" customHeight="1">
      <c r="A45" s="171"/>
      <c r="B45" s="74" t="str">
        <f>IF($A45=0,"",VLOOKUP($A45,'00_Eq'!$A$4:$D$101,2,FALSE))</f>
        <v/>
      </c>
      <c r="C45" s="74" t="str">
        <f>IF($A45=0,"",VLOOKUP($A45,'00_Eq'!$A$4:$D$101,3,FALSE))</f>
        <v/>
      </c>
      <c r="D45" s="171"/>
      <c r="E45" s="171"/>
      <c r="F45" s="173"/>
      <c r="G45" s="184">
        <f t="shared" si="6"/>
        <v>0</v>
      </c>
      <c r="H45" s="120" t="str">
        <f>IF($A45=0,"",VLOOKUP($A45,'00_Eq'!$A$4:$D$101,4,FALSE))</f>
        <v/>
      </c>
      <c r="I45" s="120"/>
    </row>
    <row r="46" ht="14.25" customHeight="1">
      <c r="A46" s="171"/>
      <c r="B46" s="74" t="str">
        <f>IF($A46=0,"",VLOOKUP($A46,'00_Eq'!$A$4:$D$101,2,FALSE))</f>
        <v/>
      </c>
      <c r="C46" s="74" t="str">
        <f>IF($A46=0,"",VLOOKUP($A46,'00_Eq'!$A$4:$D$101,3,FALSE))</f>
        <v/>
      </c>
      <c r="D46" s="171"/>
      <c r="E46" s="171"/>
      <c r="F46" s="173"/>
      <c r="G46" s="184">
        <f t="shared" si="6"/>
        <v>0</v>
      </c>
      <c r="H46" s="120" t="str">
        <f>IF($A46=0,"",VLOOKUP($A46,'00_Eq'!$A$4:$D$101,4,FALSE))</f>
        <v/>
      </c>
      <c r="I46" s="120"/>
    </row>
    <row r="47" ht="14.25" customHeight="1">
      <c r="F47" s="126"/>
      <c r="G47" s="3"/>
      <c r="H47" s="120"/>
      <c r="I47" s="120"/>
    </row>
    <row r="48" ht="14.25" customHeight="1">
      <c r="A48" s="175" t="s">
        <v>717</v>
      </c>
      <c r="B48" s="176"/>
      <c r="C48" s="176"/>
      <c r="D48" s="176"/>
      <c r="E48" s="176"/>
      <c r="F48" s="176"/>
      <c r="G48" s="177"/>
      <c r="H48" s="176"/>
      <c r="I48" s="178">
        <f>SUM(I41:I46)</f>
        <v>0</v>
      </c>
    </row>
    <row r="49" ht="14.25" customHeight="1">
      <c r="A49" s="179" t="str">
        <f>$I$3</f>
        <v>m²</v>
      </c>
      <c r="B49" s="180"/>
      <c r="C49" s="180"/>
      <c r="D49" s="180"/>
      <c r="E49" s="180"/>
      <c r="F49" s="180"/>
      <c r="G49" s="5"/>
      <c r="H49" s="180"/>
      <c r="I49" s="172">
        <f>$H$3</f>
        <v>427</v>
      </c>
      <c r="J49" s="74"/>
      <c r="K49" s="74"/>
      <c r="L49" s="74"/>
    </row>
    <row r="50" ht="14.25" customHeight="1">
      <c r="A50" s="181" t="s">
        <v>787</v>
      </c>
      <c r="B50" s="179" t="str">
        <f>A49</f>
        <v>m²</v>
      </c>
      <c r="C50" s="180"/>
      <c r="D50" s="180"/>
      <c r="E50" s="180"/>
      <c r="F50" s="180"/>
      <c r="G50" s="5"/>
      <c r="H50" s="180"/>
      <c r="I50" s="182">
        <f>I48/I49</f>
        <v>0</v>
      </c>
      <c r="J50" s="74"/>
      <c r="K50" s="74"/>
      <c r="L50" s="74"/>
    </row>
    <row r="51" ht="14.25" customHeight="1">
      <c r="G51" s="3"/>
    </row>
    <row r="52" ht="14.25" customHeight="1">
      <c r="G52" s="3"/>
    </row>
    <row r="53" ht="14.25" customHeight="1">
      <c r="A53" s="168" t="s">
        <v>791</v>
      </c>
      <c r="B53" s="76"/>
      <c r="C53" s="76"/>
      <c r="D53" s="76"/>
      <c r="E53" s="76"/>
      <c r="F53" s="76"/>
      <c r="G53" s="2"/>
      <c r="H53" s="76"/>
      <c r="I53" s="76"/>
    </row>
    <row r="54" ht="14.25" customHeight="1">
      <c r="A54" s="169" t="s">
        <v>778</v>
      </c>
      <c r="B54" s="169" t="s">
        <v>779</v>
      </c>
      <c r="C54" s="169" t="s">
        <v>780</v>
      </c>
      <c r="D54" s="169" t="s">
        <v>781</v>
      </c>
      <c r="E54" s="169"/>
      <c r="F54" s="169" t="s">
        <v>782</v>
      </c>
      <c r="G54" s="4" t="s">
        <v>783</v>
      </c>
      <c r="H54" s="169" t="s">
        <v>784</v>
      </c>
      <c r="I54" s="169" t="s">
        <v>785</v>
      </c>
    </row>
    <row r="55" ht="14.25" customHeight="1">
      <c r="A55" s="171"/>
      <c r="B55" s="74" t="str">
        <f>IF($A55=0,"",VLOOKUP($A55,'00_Mat'!$A$4:$J$1136,2,FALSE))</f>
        <v/>
      </c>
      <c r="C55" s="74" t="str">
        <f>IF($A55=0,"",VLOOKUP($A55,'00_Mat'!$A$4:$J$1136,3,FALSE))</f>
        <v/>
      </c>
      <c r="D55" s="172"/>
      <c r="E55" s="171"/>
      <c r="F55" s="173"/>
      <c r="G55" s="174">
        <f t="shared" ref="G55:G60" si="7">ROUNDUP((D55+(D55*F55)),0)</f>
        <v>0</v>
      </c>
      <c r="H55" s="120" t="str">
        <f>IF($A55=0,"",VLOOKUP($A55,'00_Mat'!$A$4:$J$1136,5,FALSE))</f>
        <v/>
      </c>
      <c r="I55" s="120">
        <f t="shared" ref="I55:I56" si="8">G55*H55</f>
        <v>0</v>
      </c>
    </row>
    <row r="56" ht="14.25" customHeight="1">
      <c r="A56" s="171"/>
      <c r="B56" s="74" t="str">
        <f>IF($A56=0,"",VLOOKUP($A56,'00_Mat'!$A$4:$J$1136,2,FALSE))</f>
        <v/>
      </c>
      <c r="C56" s="74" t="str">
        <f>IF($A56=0,"",VLOOKUP($A56,'00_Mat'!$A$4:$J$1136,3,FALSE))</f>
        <v/>
      </c>
      <c r="D56" s="172"/>
      <c r="E56" s="171"/>
      <c r="F56" s="173"/>
      <c r="G56" s="174">
        <f t="shared" si="7"/>
        <v>0</v>
      </c>
      <c r="H56" s="120" t="str">
        <f>IF($A56=0,"",VLOOKUP($A56,'00_Mat'!$A$4:$J$1136,5,FALSE))</f>
        <v/>
      </c>
      <c r="I56" s="120">
        <f t="shared" si="8"/>
        <v>0</v>
      </c>
    </row>
    <row r="57" ht="14.25" customHeight="1">
      <c r="A57" s="171"/>
      <c r="B57" s="74" t="str">
        <f>IF($A57=0,"",VLOOKUP($A57,'00_Mat'!$A$4:$J$1136,2,FALSE))</f>
        <v/>
      </c>
      <c r="C57" s="74" t="str">
        <f>IF($A57=0,"",VLOOKUP($A57,'00_Mat'!$A$4:$J$1136,3,FALSE))</f>
        <v/>
      </c>
      <c r="D57" s="172"/>
      <c r="E57" s="171"/>
      <c r="F57" s="173"/>
      <c r="G57" s="174">
        <f t="shared" si="7"/>
        <v>0</v>
      </c>
      <c r="H57" s="120" t="str">
        <f>IF($A57=0,"",VLOOKUP($A57,'00_Mat'!$A$4:$J$1136,5,FALSE))</f>
        <v/>
      </c>
      <c r="I57" s="120"/>
    </row>
    <row r="58" ht="14.25" customHeight="1">
      <c r="A58" s="171"/>
      <c r="B58" s="74" t="str">
        <f>IF($A58=0,"",VLOOKUP($A58,'00_Mat'!$A$4:$J$1136,2,FALSE))</f>
        <v/>
      </c>
      <c r="C58" s="74" t="str">
        <f>IF($A58=0,"",VLOOKUP($A58,'00_Mat'!$A$4:$J$1136,3,FALSE))</f>
        <v/>
      </c>
      <c r="D58" s="172"/>
      <c r="E58" s="171"/>
      <c r="F58" s="173"/>
      <c r="G58" s="174">
        <f t="shared" si="7"/>
        <v>0</v>
      </c>
      <c r="H58" s="120" t="str">
        <f>IF($A58=0,"",VLOOKUP($A58,'00_Mat'!$A$4:$J$1136,5,FALSE))</f>
        <v/>
      </c>
      <c r="I58" s="120"/>
    </row>
    <row r="59" ht="14.25" customHeight="1">
      <c r="A59" s="171"/>
      <c r="B59" s="74" t="str">
        <f>IF($A59=0,"",VLOOKUP($A59,'00_Mat'!$A$4:$J$1136,2,FALSE))</f>
        <v/>
      </c>
      <c r="C59" s="74" t="str">
        <f>IF($A59=0,"",VLOOKUP($A59,'00_Mat'!$A$4:$J$1136,3,FALSE))</f>
        <v/>
      </c>
      <c r="D59" s="172"/>
      <c r="E59" s="171"/>
      <c r="F59" s="173"/>
      <c r="G59" s="174">
        <f t="shared" si="7"/>
        <v>0</v>
      </c>
      <c r="H59" s="120" t="str">
        <f>IF($A59=0,"",VLOOKUP($A59,'00_Mat'!$A$4:$J$1136,5,FALSE))</f>
        <v/>
      </c>
      <c r="I59" s="120"/>
    </row>
    <row r="60" ht="14.25" customHeight="1">
      <c r="A60" s="171"/>
      <c r="B60" s="74" t="str">
        <f>IF($A60=0,"",VLOOKUP($A60,'00_Mat'!$A$4:$J$1136,2,FALSE))</f>
        <v/>
      </c>
      <c r="C60" s="74" t="str">
        <f>IF($A60=0,"",VLOOKUP($A60,'00_Mat'!$A$4:$J$1136,3,FALSE))</f>
        <v/>
      </c>
      <c r="D60" s="172"/>
      <c r="E60" s="171"/>
      <c r="F60" s="173"/>
      <c r="G60" s="174">
        <f t="shared" si="7"/>
        <v>0</v>
      </c>
      <c r="H60" s="120" t="str">
        <f>IF($A60=0,"",VLOOKUP($A60,'00_Mat'!$A$4:$J$1136,5,FALSE))</f>
        <v/>
      </c>
      <c r="I60" s="120"/>
    </row>
    <row r="61" ht="14.25" customHeight="1">
      <c r="F61" s="126"/>
      <c r="G61" s="3"/>
      <c r="H61" s="120"/>
      <c r="I61" s="120"/>
    </row>
    <row r="62" ht="14.25" customHeight="1">
      <c r="A62" s="175" t="s">
        <v>717</v>
      </c>
      <c r="B62" s="176"/>
      <c r="C62" s="176"/>
      <c r="D62" s="176"/>
      <c r="E62" s="176"/>
      <c r="F62" s="176"/>
      <c r="G62" s="177"/>
      <c r="H62" s="176"/>
      <c r="I62" s="178">
        <f>SUM(I55:I60)</f>
        <v>0</v>
      </c>
    </row>
    <row r="63" ht="14.25" customHeight="1">
      <c r="A63" s="179" t="str">
        <f>$I$3</f>
        <v>m²</v>
      </c>
      <c r="B63" s="180"/>
      <c r="C63" s="180"/>
      <c r="D63" s="180"/>
      <c r="E63" s="180"/>
      <c r="F63" s="180"/>
      <c r="G63" s="5"/>
      <c r="H63" s="180"/>
      <c r="I63" s="172">
        <f>$H$3</f>
        <v>427</v>
      </c>
      <c r="J63" s="74"/>
      <c r="K63" s="74"/>
      <c r="L63" s="74"/>
    </row>
    <row r="64" ht="14.25" customHeight="1">
      <c r="A64" s="181" t="s">
        <v>787</v>
      </c>
      <c r="B64" s="179" t="str">
        <f>A63</f>
        <v>m²</v>
      </c>
      <c r="C64" s="180"/>
      <c r="D64" s="180"/>
      <c r="E64" s="180"/>
      <c r="F64" s="180"/>
      <c r="G64" s="5"/>
      <c r="H64" s="180"/>
      <c r="I64" s="182">
        <f>I62/I63</f>
        <v>0</v>
      </c>
      <c r="J64" s="74"/>
      <c r="K64" s="74"/>
      <c r="L64" s="74"/>
    </row>
    <row r="65" ht="14.25" customHeight="1">
      <c r="G65" s="3"/>
    </row>
    <row r="66" ht="14.25" customHeight="1">
      <c r="G66" s="3"/>
    </row>
    <row r="67" ht="14.25" customHeight="1">
      <c r="A67" s="168" t="s">
        <v>792</v>
      </c>
      <c r="B67" s="76"/>
      <c r="C67" s="76"/>
      <c r="D67" s="76"/>
      <c r="E67" s="76"/>
      <c r="F67" s="76"/>
      <c r="G67" s="2"/>
      <c r="H67" s="76"/>
      <c r="I67" s="76"/>
    </row>
    <row r="68" ht="14.25" customHeight="1">
      <c r="A68" s="169" t="s">
        <v>778</v>
      </c>
      <c r="B68" s="169" t="s">
        <v>779</v>
      </c>
      <c r="C68" s="169" t="s">
        <v>780</v>
      </c>
      <c r="D68" s="169" t="s">
        <v>781</v>
      </c>
      <c r="E68" s="169" t="s">
        <v>789</v>
      </c>
      <c r="F68" s="169" t="s">
        <v>782</v>
      </c>
      <c r="G68" s="4" t="s">
        <v>783</v>
      </c>
      <c r="H68" s="169" t="s">
        <v>784</v>
      </c>
      <c r="I68" s="169" t="s">
        <v>785</v>
      </c>
    </row>
    <row r="69" ht="14.25" customHeight="1">
      <c r="A69" s="171"/>
      <c r="B69" s="74" t="str">
        <f>IF($A69=0,"",VLOOKUP($A69,'00_Sub'!$A$4:$D$1001,2,FALSE))</f>
        <v/>
      </c>
      <c r="C69" s="74" t="str">
        <f>IF($A69=0,"",VLOOKUP($A69,'00_Sub'!$A$4:$D$1001,3,FALSE))</f>
        <v/>
      </c>
      <c r="D69" s="171"/>
      <c r="E69" s="171"/>
      <c r="F69" s="173"/>
      <c r="G69" s="174">
        <f t="shared" ref="G69:G74" si="9">ROUNDUP((D69+(D69*F69)),0)</f>
        <v>0</v>
      </c>
      <c r="H69" s="120" t="str">
        <f>IF($A69=0,"",VLOOKUP($A69,'00_Sub'!$A$4:$D$1001,4,FALSE))</f>
        <v/>
      </c>
      <c r="I69" s="120"/>
    </row>
    <row r="70" ht="14.25" customHeight="1">
      <c r="A70" s="171"/>
      <c r="B70" s="74" t="str">
        <f>IF($A70=0,"",VLOOKUP($A70,'00_Sub'!$A$4:$D$1001,2,FALSE))</f>
        <v/>
      </c>
      <c r="C70" s="74" t="str">
        <f>IF($A70=0,"",VLOOKUP($A70,'00_Sub'!$A$4:$D$1001,3,FALSE))</f>
        <v/>
      </c>
      <c r="D70" s="171"/>
      <c r="E70" s="171"/>
      <c r="F70" s="173"/>
      <c r="G70" s="174">
        <f t="shared" si="9"/>
        <v>0</v>
      </c>
      <c r="H70" s="120" t="str">
        <f>IF($A70=0,"",VLOOKUP($A70,'00_Sub'!$A$4:$D$1001,4,FALSE))</f>
        <v/>
      </c>
      <c r="I70" s="120"/>
    </row>
    <row r="71" ht="14.25" customHeight="1">
      <c r="A71" s="171"/>
      <c r="B71" s="74" t="str">
        <f>IF($A71=0,"",VLOOKUP($A71,'00_Sub'!$A$4:$D$1001,2,FALSE))</f>
        <v/>
      </c>
      <c r="C71" s="74" t="str">
        <f>IF($A71=0,"",VLOOKUP($A71,'00_Sub'!$A$4:$D$1001,3,FALSE))</f>
        <v/>
      </c>
      <c r="D71" s="171"/>
      <c r="E71" s="171"/>
      <c r="F71" s="173"/>
      <c r="G71" s="174">
        <f t="shared" si="9"/>
        <v>0</v>
      </c>
      <c r="H71" s="120" t="str">
        <f>IF($A71=0,"",VLOOKUP($A71,'00_Sub'!$A$4:$D$1001,4,FALSE))</f>
        <v/>
      </c>
      <c r="I71" s="120"/>
    </row>
    <row r="72" ht="14.25" customHeight="1">
      <c r="A72" s="171"/>
      <c r="B72" s="74" t="str">
        <f>IF($A72=0,"",VLOOKUP($A72,'00_Sub'!$A$4:$D$1001,2,FALSE))</f>
        <v/>
      </c>
      <c r="C72" s="74" t="str">
        <f>IF($A72=0,"",VLOOKUP($A72,'00_Sub'!$A$4:$D$1001,3,FALSE))</f>
        <v/>
      </c>
      <c r="D72" s="171"/>
      <c r="E72" s="171"/>
      <c r="F72" s="173"/>
      <c r="G72" s="174">
        <f t="shared" si="9"/>
        <v>0</v>
      </c>
      <c r="H72" s="120" t="str">
        <f>IF($A72=0,"",VLOOKUP($A72,'00_Sub'!$A$4:$D$1001,4,FALSE))</f>
        <v/>
      </c>
      <c r="I72" s="120"/>
    </row>
    <row r="73" ht="14.25" customHeight="1">
      <c r="A73" s="171"/>
      <c r="B73" s="74" t="str">
        <f>IF($A73=0,"",VLOOKUP($A73,'00_Sub'!$A$4:$D$1001,2,FALSE))</f>
        <v/>
      </c>
      <c r="C73" s="74" t="str">
        <f>IF($A73=0,"",VLOOKUP($A73,'00_Sub'!$A$4:$D$1001,3,FALSE))</f>
        <v/>
      </c>
      <c r="D73" s="171"/>
      <c r="E73" s="171"/>
      <c r="F73" s="173"/>
      <c r="G73" s="174">
        <f t="shared" si="9"/>
        <v>0</v>
      </c>
      <c r="H73" s="120" t="str">
        <f>IF($A73=0,"",VLOOKUP($A73,'00_Sub'!$A$4:$D$1001,4,FALSE))</f>
        <v/>
      </c>
      <c r="I73" s="120"/>
    </row>
    <row r="74" ht="14.25" customHeight="1">
      <c r="A74" s="171"/>
      <c r="B74" s="74" t="str">
        <f>IF($A74=0,"",VLOOKUP($A74,'00_Sub'!$A$4:$D$1001,2,FALSE))</f>
        <v/>
      </c>
      <c r="C74" s="74" t="str">
        <f>IF($A74=0,"",VLOOKUP($A74,'00_Sub'!$A$4:$D$1001,3,FALSE))</f>
        <v/>
      </c>
      <c r="D74" s="171"/>
      <c r="E74" s="171"/>
      <c r="F74" s="173"/>
      <c r="G74" s="174">
        <f t="shared" si="9"/>
        <v>0</v>
      </c>
      <c r="H74" s="120" t="str">
        <f>IF($A74=0,"",VLOOKUP($A74,'00_Sub'!$A$4:$D$1001,4,FALSE))</f>
        <v/>
      </c>
      <c r="I74" s="120"/>
    </row>
    <row r="75" ht="14.25" customHeight="1">
      <c r="F75" s="126"/>
      <c r="G75" s="3"/>
      <c r="H75" s="120"/>
      <c r="I75" s="120"/>
    </row>
    <row r="76" ht="14.25" customHeight="1">
      <c r="A76" s="175" t="s">
        <v>717</v>
      </c>
      <c r="B76" s="176"/>
      <c r="C76" s="176"/>
      <c r="D76" s="176"/>
      <c r="E76" s="176"/>
      <c r="F76" s="176"/>
      <c r="G76" s="177"/>
      <c r="H76" s="176"/>
      <c r="I76" s="178">
        <f>SUM(I69:I74)</f>
        <v>0</v>
      </c>
    </row>
    <row r="77" ht="14.25" customHeight="1">
      <c r="A77" s="179" t="str">
        <f>$I$3</f>
        <v>m²</v>
      </c>
      <c r="B77" s="180"/>
      <c r="C77" s="180"/>
      <c r="D77" s="180"/>
      <c r="E77" s="180"/>
      <c r="F77" s="180"/>
      <c r="G77" s="5"/>
      <c r="H77" s="180"/>
      <c r="I77" s="172">
        <f>$H$3</f>
        <v>427</v>
      </c>
      <c r="J77" s="74"/>
      <c r="K77" s="74"/>
      <c r="L77" s="74"/>
    </row>
    <row r="78" ht="14.25" customHeight="1">
      <c r="A78" s="181" t="s">
        <v>787</v>
      </c>
      <c r="B78" s="179" t="str">
        <f>A77</f>
        <v>m²</v>
      </c>
      <c r="C78" s="180"/>
      <c r="D78" s="180"/>
      <c r="E78" s="180"/>
      <c r="F78" s="180"/>
      <c r="G78" s="5"/>
      <c r="H78" s="180"/>
      <c r="I78" s="182">
        <f>I76/I77</f>
        <v>0</v>
      </c>
      <c r="J78" s="74"/>
      <c r="K78" s="74"/>
      <c r="L78" s="74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8.43"/>
    <col customWidth="1" min="3" max="3" width="8.14"/>
    <col customWidth="1" min="4" max="4" width="8.71"/>
    <col customWidth="1" min="5" max="5" width="12.86"/>
    <col customWidth="1" min="6" max="6" width="10.57"/>
    <col customWidth="1" min="7" max="7" width="12.71"/>
    <col customWidth="1" min="8" max="8" width="16.0"/>
    <col customWidth="1" min="9" max="9" width="15.86"/>
    <col customWidth="1" min="10" max="12" width="8.71"/>
  </cols>
  <sheetData>
    <row r="1" ht="33.75" customHeight="1">
      <c r="A1" s="73" t="str">
        <f>'01_C&amp;P'!A1</f>
        <v>NOMBRE DE LA OBRA</v>
      </c>
      <c r="B1" s="73"/>
      <c r="C1" s="73"/>
      <c r="G1" s="3"/>
    </row>
    <row r="2" ht="14.25" customHeight="1">
      <c r="G2" s="3"/>
    </row>
    <row r="3" ht="23.25" customHeight="1">
      <c r="A3" s="162">
        <f>'01_C&amp;P'!A26</f>
        <v>45811</v>
      </c>
      <c r="B3" s="163" t="str">
        <f>IF($A3=0,"",VLOOKUP($A3,'01_C&amp;P'!$A$9:$D$91,2,FALSE))</f>
        <v>COLOCACION DE BLOQUES INTERTRABADO DE CEMENTO</v>
      </c>
      <c r="C3" s="164"/>
      <c r="D3" s="164"/>
      <c r="E3" s="164"/>
      <c r="F3" s="164"/>
      <c r="G3" s="165"/>
      <c r="H3" s="166">
        <f>IF($A3=0,"",VLOOKUP($A3,'01_C&amp;P'!$A$9:$D$91,4,FALSE))</f>
        <v>1006</v>
      </c>
      <c r="I3" s="167" t="str">
        <f>IF($A3=0,"",VLOOKUP($A3,'01_C&amp;P'!$A$9:$D$91,3,FALSE))</f>
        <v>m²</v>
      </c>
    </row>
    <row r="4" ht="14.25" customHeight="1">
      <c r="G4" s="3"/>
    </row>
    <row r="5" ht="14.25" customHeight="1">
      <c r="A5" s="168" t="s">
        <v>0</v>
      </c>
      <c r="B5" s="76"/>
      <c r="C5" s="76"/>
      <c r="D5" s="76"/>
      <c r="E5" s="76"/>
      <c r="F5" s="76"/>
      <c r="G5" s="2"/>
      <c r="H5" s="76"/>
      <c r="I5" s="76"/>
    </row>
    <row r="6" ht="14.25" customHeight="1">
      <c r="A6" s="169" t="s">
        <v>778</v>
      </c>
      <c r="B6" s="169" t="s">
        <v>779</v>
      </c>
      <c r="C6" s="169" t="s">
        <v>780</v>
      </c>
      <c r="D6" s="170" t="s">
        <v>781</v>
      </c>
      <c r="E6" s="164"/>
      <c r="F6" s="169" t="s">
        <v>782</v>
      </c>
      <c r="G6" s="4" t="s">
        <v>783</v>
      </c>
      <c r="H6" s="169" t="s">
        <v>784</v>
      </c>
      <c r="I6" s="169" t="s">
        <v>785</v>
      </c>
    </row>
    <row r="7" ht="14.25" customHeight="1">
      <c r="A7" s="171" t="s">
        <v>804</v>
      </c>
      <c r="B7" s="74" t="str">
        <f>IF($A7=0,"",VLOOKUP($A7,'00_Mat'!$A$4:$J$1136,2,FALSE))</f>
        <v>Bolson de Arena (1m3) </v>
      </c>
      <c r="C7" s="74" t="str">
        <f>IF($A7=0,"",VLOOKUP($A7,'00_Mat'!$A$4:$J$1136,3,FALSE))</f>
        <v>m3</v>
      </c>
      <c r="D7" s="172">
        <f>H3*0.02</f>
        <v>20.12</v>
      </c>
      <c r="E7" s="171"/>
      <c r="F7" s="173">
        <v>0.1</v>
      </c>
      <c r="G7" s="174">
        <f t="shared" ref="G7:G18" si="1">ROUNDUP((D7+(D7*F7)),0)</f>
        <v>23</v>
      </c>
      <c r="H7" s="120">
        <f>IF($A7=0,"",VLOOKUP($A7,'00_Mat'!$A$4:$J$1136,5,FALSE))</f>
        <v>31040</v>
      </c>
      <c r="I7" s="120">
        <f t="shared" ref="I7:I11" si="2">G7*H7</f>
        <v>713920</v>
      </c>
      <c r="J7" s="127" t="s">
        <v>807</v>
      </c>
    </row>
    <row r="8" ht="14.25" customHeight="1">
      <c r="A8" s="171" t="s">
        <v>808</v>
      </c>
      <c r="B8" s="74" t="str">
        <f>IF($A8=0,"",VLOOKUP($A8,'00_Mat'!$A$4:$J$1136,2,FALSE))</f>
        <v>Pavimento Intertrabado</v>
      </c>
      <c r="C8" s="74" t="str">
        <f>IF($A8=0,"",VLOOKUP($A8,'00_Mat'!$A$4:$J$1136,3,FALSE))</f>
        <v>m2</v>
      </c>
      <c r="D8" s="172">
        <f>H3</f>
        <v>1006</v>
      </c>
      <c r="E8" s="171"/>
      <c r="F8" s="173">
        <v>0.2</v>
      </c>
      <c r="G8" s="174">
        <f t="shared" si="1"/>
        <v>1208</v>
      </c>
      <c r="H8" s="120">
        <f>IF($A8=0,"",VLOOKUP($A8,'00_Mat'!$A$4:$J$1136,5,FALSE))</f>
        <v>37600</v>
      </c>
      <c r="I8" s="120">
        <f t="shared" si="2"/>
        <v>45420800</v>
      </c>
      <c r="J8" s="127" t="s">
        <v>809</v>
      </c>
    </row>
    <row r="9" ht="14.25" customHeight="1">
      <c r="A9" s="171" t="s">
        <v>804</v>
      </c>
      <c r="B9" s="74" t="str">
        <f>IF($A9=0,"",VLOOKUP($A9,'00_Mat'!$A$4:$J$1136,2,FALSE))</f>
        <v>Bolson de Arena (1m3) </v>
      </c>
      <c r="C9" s="74" t="str">
        <f>IF($A9=0,"",VLOOKUP($A9,'00_Mat'!$A$4:$J$1136,3,FALSE))</f>
        <v>m3</v>
      </c>
      <c r="D9" s="172">
        <f>D10/7</f>
        <v>14.37142857</v>
      </c>
      <c r="E9" s="171"/>
      <c r="F9" s="173">
        <v>0.1</v>
      </c>
      <c r="G9" s="174">
        <f t="shared" si="1"/>
        <v>16</v>
      </c>
      <c r="H9" s="120">
        <f>IF($A9=0,"",VLOOKUP($A9,'00_Mat'!$A$4:$J$1136,5,FALSE))</f>
        <v>31040</v>
      </c>
      <c r="I9" s="120">
        <f t="shared" si="2"/>
        <v>496640</v>
      </c>
      <c r="J9" s="128" t="s">
        <v>810</v>
      </c>
    </row>
    <row r="10" ht="14.25" customHeight="1">
      <c r="A10" s="171" t="s">
        <v>805</v>
      </c>
      <c r="B10" s="74" t="str">
        <f>IF($A10=0,"",VLOOKUP($A10,'00_Mat'!$A$4:$J$1136,2,FALSE))</f>
        <v>Bolsa Cemento "Loma Negra" 50 k (u)</v>
      </c>
      <c r="C10" s="74" t="str">
        <f>IF($A10=0,"",VLOOKUP($A10,'00_Mat'!$A$4:$J$1136,3,FALSE))</f>
        <v>u</v>
      </c>
      <c r="D10" s="172">
        <f>H3/10</f>
        <v>100.6</v>
      </c>
      <c r="E10" s="171"/>
      <c r="F10" s="173">
        <v>0.1</v>
      </c>
      <c r="G10" s="174">
        <f t="shared" si="1"/>
        <v>111</v>
      </c>
      <c r="H10" s="120">
        <f>IF($A10=0,"",VLOOKUP($A10,'00_Mat'!$A$4:$J$1136,5,FALSE))</f>
        <v>10675</v>
      </c>
      <c r="I10" s="120">
        <f t="shared" si="2"/>
        <v>1184925</v>
      </c>
    </row>
    <row r="11" ht="14.25" customHeight="1">
      <c r="A11" s="171"/>
      <c r="B11" s="74" t="str">
        <f>IF($A11=0,"",VLOOKUP($A11,'00_Mat'!$A$4:$J$1136,2,FALSE))</f>
        <v/>
      </c>
      <c r="C11" s="74" t="str">
        <f>IF($A11=0,"",VLOOKUP($A11,'00_Mat'!$A$4:$J$1136,3,FALSE))</f>
        <v/>
      </c>
      <c r="D11" s="172"/>
      <c r="E11" s="171"/>
      <c r="F11" s="173"/>
      <c r="G11" s="174">
        <f t="shared" si="1"/>
        <v>0</v>
      </c>
      <c r="H11" s="120" t="str">
        <f>IF($A11=0,"",VLOOKUP($A11,'00_Mat'!$A$4:$J$1136,5,FALSE))</f>
        <v/>
      </c>
      <c r="I11" s="120">
        <f t="shared" si="2"/>
        <v>0</v>
      </c>
    </row>
    <row r="12" ht="14.25" customHeight="1">
      <c r="A12" s="171"/>
      <c r="B12" s="74" t="str">
        <f>IF($A12=0,"",VLOOKUP($A12,'00_Mat'!$A$4:$J$1136,2,FALSE))</f>
        <v/>
      </c>
      <c r="C12" s="74" t="str">
        <f>IF($A12=0,"",VLOOKUP($A12,'00_Mat'!$A$4:$J$1136,3,FALSE))</f>
        <v/>
      </c>
      <c r="D12" s="171"/>
      <c r="E12" s="171"/>
      <c r="F12" s="173"/>
      <c r="G12" s="174">
        <f t="shared" si="1"/>
        <v>0</v>
      </c>
      <c r="H12" s="120" t="str">
        <f>IF($A12=0,"",VLOOKUP($A12,'00_Mat'!$A$4:$J$1136,5,FALSE))</f>
        <v/>
      </c>
      <c r="I12" s="120"/>
    </row>
    <row r="13" ht="14.25" customHeight="1">
      <c r="A13" s="171"/>
      <c r="B13" s="74" t="str">
        <f>IF($A13=0,"",VLOOKUP($A13,'00_Mat'!$A$4:$J$1136,2,FALSE))</f>
        <v/>
      </c>
      <c r="C13" s="74" t="str">
        <f>IF($A13=0,"",VLOOKUP($A13,'00_Mat'!$A$4:$J$1136,3,FALSE))</f>
        <v/>
      </c>
      <c r="D13" s="171"/>
      <c r="E13" s="171"/>
      <c r="F13" s="173"/>
      <c r="G13" s="174">
        <f t="shared" si="1"/>
        <v>0</v>
      </c>
      <c r="H13" s="120" t="str">
        <f>IF($A13=0,"",VLOOKUP($A13,'00_Mat'!$A$4:$J$1136,5,FALSE))</f>
        <v/>
      </c>
      <c r="I13" s="120"/>
    </row>
    <row r="14" ht="14.25" customHeight="1">
      <c r="A14" s="171"/>
      <c r="B14" s="74" t="str">
        <f>IF($A14=0,"",VLOOKUP($A14,'00_Mat'!$A$4:$J$1136,2,FALSE))</f>
        <v/>
      </c>
      <c r="C14" s="74" t="str">
        <f>IF($A14=0,"",VLOOKUP($A14,'00_Mat'!$A$4:$J$1136,3,FALSE))</f>
        <v/>
      </c>
      <c r="D14" s="171"/>
      <c r="E14" s="171"/>
      <c r="F14" s="173"/>
      <c r="G14" s="174">
        <f t="shared" si="1"/>
        <v>0</v>
      </c>
      <c r="H14" s="120" t="str">
        <f>IF($A14=0,"",VLOOKUP($A14,'00_Mat'!$A$4:$J$1136,5,FALSE))</f>
        <v/>
      </c>
      <c r="I14" s="120"/>
    </row>
    <row r="15" ht="14.25" customHeight="1">
      <c r="A15" s="171"/>
      <c r="B15" s="74" t="str">
        <f>IF($A15=0,"",VLOOKUP($A15,'00_Mat'!$A$4:$J$1136,2,FALSE))</f>
        <v/>
      </c>
      <c r="C15" s="74" t="str">
        <f>IF($A15=0,"",VLOOKUP($A15,'00_Mat'!$A$4:$J$1136,3,FALSE))</f>
        <v/>
      </c>
      <c r="D15" s="171"/>
      <c r="E15" s="171"/>
      <c r="F15" s="173"/>
      <c r="G15" s="174">
        <f t="shared" si="1"/>
        <v>0</v>
      </c>
      <c r="H15" s="120" t="str">
        <f>IF($A15=0,"",VLOOKUP($A15,'00_Mat'!$A$4:$J$1136,5,FALSE))</f>
        <v/>
      </c>
      <c r="I15" s="120"/>
    </row>
    <row r="16" ht="14.25" customHeight="1">
      <c r="A16" s="171"/>
      <c r="B16" s="74" t="str">
        <f>IF($A16=0,"",VLOOKUP($A16,'00_Mat'!$A$4:$J$1136,2,FALSE))</f>
        <v/>
      </c>
      <c r="C16" s="74" t="str">
        <f>IF($A16=0,"",VLOOKUP($A16,'00_Mat'!$A$4:$J$1136,3,FALSE))</f>
        <v/>
      </c>
      <c r="D16" s="171"/>
      <c r="E16" s="171"/>
      <c r="F16" s="173"/>
      <c r="G16" s="174">
        <f t="shared" si="1"/>
        <v>0</v>
      </c>
      <c r="H16" s="120" t="str">
        <f>IF($A16=0,"",VLOOKUP($A16,'00_Mat'!$A$4:$J$1136,5,FALSE))</f>
        <v/>
      </c>
      <c r="I16" s="120"/>
    </row>
    <row r="17" ht="14.25" customHeight="1">
      <c r="A17" s="171"/>
      <c r="B17" s="74" t="str">
        <f>IF($A17=0,"",VLOOKUP($A17,'00_Mat'!$A$4:$J$1136,2,FALSE))</f>
        <v/>
      </c>
      <c r="C17" s="74" t="str">
        <f>IF($A17=0,"",VLOOKUP($A17,'00_Mat'!$A$4:$J$1136,3,FALSE))</f>
        <v/>
      </c>
      <c r="D17" s="171"/>
      <c r="E17" s="171"/>
      <c r="F17" s="173"/>
      <c r="G17" s="174">
        <f t="shared" si="1"/>
        <v>0</v>
      </c>
      <c r="H17" s="120" t="str">
        <f>IF($A17=0,"",VLOOKUP($A17,'00_Mat'!$A$4:$J$1136,5,FALSE))</f>
        <v/>
      </c>
      <c r="I17" s="120"/>
    </row>
    <row r="18" ht="14.25" customHeight="1">
      <c r="A18" s="171"/>
      <c r="B18" s="74" t="str">
        <f>IF($A18=0,"",VLOOKUP($A18,'00_Mat'!$A$4:$J$1136,2,FALSE))</f>
        <v/>
      </c>
      <c r="C18" s="74" t="str">
        <f>IF($A18=0,"",VLOOKUP($A18,'00_Mat'!$A$4:$J$1136,3,FALSE))</f>
        <v/>
      </c>
      <c r="D18" s="171"/>
      <c r="E18" s="171"/>
      <c r="F18" s="173"/>
      <c r="G18" s="174">
        <f t="shared" si="1"/>
        <v>0</v>
      </c>
      <c r="H18" s="120" t="str">
        <f>IF($A18=0,"",VLOOKUP($A18,'00_Mat'!$A$4:$J$1136,5,FALSE))</f>
        <v/>
      </c>
      <c r="I18" s="120"/>
    </row>
    <row r="19" ht="14.25" customHeight="1">
      <c r="F19" s="126"/>
      <c r="G19" s="3"/>
      <c r="H19" s="120"/>
      <c r="I19" s="120"/>
    </row>
    <row r="20" ht="14.25" customHeight="1">
      <c r="A20" s="175" t="s">
        <v>786</v>
      </c>
      <c r="B20" s="176"/>
      <c r="C20" s="176"/>
      <c r="D20" s="176"/>
      <c r="E20" s="176"/>
      <c r="F20" s="176"/>
      <c r="G20" s="177"/>
      <c r="H20" s="176"/>
      <c r="I20" s="178">
        <f>SUM(I7:I18)</f>
        <v>47816285</v>
      </c>
      <c r="J20" s="74"/>
      <c r="K20" s="74"/>
      <c r="L20" s="74"/>
    </row>
    <row r="21" ht="14.25" customHeight="1">
      <c r="A21" s="179" t="str">
        <f>$I$3</f>
        <v>m²</v>
      </c>
      <c r="B21" s="180"/>
      <c r="C21" s="180"/>
      <c r="D21" s="180"/>
      <c r="E21" s="180"/>
      <c r="F21" s="180"/>
      <c r="G21" s="5"/>
      <c r="H21" s="180"/>
      <c r="I21" s="172">
        <f>$H$3</f>
        <v>1006</v>
      </c>
      <c r="J21" s="74"/>
      <c r="K21" s="74"/>
      <c r="L21" s="74"/>
    </row>
    <row r="22" ht="14.25" customHeight="1">
      <c r="A22" s="181" t="s">
        <v>787</v>
      </c>
      <c r="B22" s="179" t="str">
        <f>A21</f>
        <v>m²</v>
      </c>
      <c r="C22" s="180"/>
      <c r="D22" s="180"/>
      <c r="E22" s="180"/>
      <c r="F22" s="180"/>
      <c r="G22" s="5"/>
      <c r="H22" s="180"/>
      <c r="I22" s="182">
        <f>I20/I21</f>
        <v>47531.09841</v>
      </c>
      <c r="J22" s="74"/>
      <c r="K22" s="74"/>
      <c r="L22" s="74"/>
    </row>
    <row r="23" ht="14.25" customHeight="1">
      <c r="G23" s="3"/>
    </row>
    <row r="24" ht="14.25" customHeight="1">
      <c r="G24" s="3"/>
    </row>
    <row r="25" ht="14.25" customHeight="1">
      <c r="A25" s="168" t="s">
        <v>788</v>
      </c>
      <c r="B25" s="76"/>
      <c r="C25" s="76"/>
      <c r="D25" s="76"/>
      <c r="E25" s="76"/>
      <c r="F25" s="76"/>
      <c r="G25" s="2"/>
      <c r="H25" s="76"/>
      <c r="I25" s="76"/>
    </row>
    <row r="26" ht="14.25" customHeight="1">
      <c r="A26" s="169" t="s">
        <v>778</v>
      </c>
      <c r="B26" s="169" t="s">
        <v>779</v>
      </c>
      <c r="C26" s="169" t="s">
        <v>780</v>
      </c>
      <c r="D26" s="169" t="s">
        <v>781</v>
      </c>
      <c r="E26" s="169" t="s">
        <v>789</v>
      </c>
      <c r="F26" s="169" t="s">
        <v>782</v>
      </c>
      <c r="G26" s="4" t="s">
        <v>783</v>
      </c>
      <c r="H26" s="169" t="s">
        <v>784</v>
      </c>
      <c r="I26" s="169" t="s">
        <v>785</v>
      </c>
    </row>
    <row r="27" ht="14.25" customHeight="1">
      <c r="A27" s="183" t="s">
        <v>509</v>
      </c>
      <c r="B27" s="74" t="str">
        <f>IF($A27=0,"",VLOOKUP($A27,'00_MO'!$A$4:$D$7,2,FALSE))</f>
        <v>Capataz</v>
      </c>
      <c r="C27" s="74" t="str">
        <f>IF($A27=0,"",VLOOKUP($A27,'00_MO'!$A$4:$D$7,3,FALSE))</f>
        <v>u</v>
      </c>
      <c r="D27" s="171">
        <v>1.0</v>
      </c>
      <c r="E27" s="171">
        <f t="shared" ref="E27:E29" si="3">$H$3/30</f>
        <v>33.53333333</v>
      </c>
      <c r="F27" s="173">
        <v>0.25</v>
      </c>
      <c r="G27" s="184">
        <f t="shared" ref="G27:G32" si="4">ROUNDUP(((D27*E27)*(1+F27)),0)</f>
        <v>42</v>
      </c>
      <c r="H27" s="120">
        <f>IF($A27=0,"",VLOOKUP($A27,'00_MO'!$A$4:$D$7,4,FALSE))</f>
        <v>50000</v>
      </c>
      <c r="I27" s="120">
        <f t="shared" ref="I27:I32" si="5">H27*G27</f>
        <v>2100000</v>
      </c>
      <c r="K27" s="127" t="s">
        <v>811</v>
      </c>
    </row>
    <row r="28" ht="14.25" customHeight="1">
      <c r="A28" s="183" t="s">
        <v>513</v>
      </c>
      <c r="B28" s="74" t="str">
        <f>IF($A28=0,"",VLOOKUP($A28,'00_MO'!$A$4:$D$7,2,FALSE))</f>
        <v>Oficial</v>
      </c>
      <c r="C28" s="74" t="str">
        <f>IF($A28=0,"",VLOOKUP($A28,'00_MO'!$A$4:$D$7,3,FALSE))</f>
        <v>u</v>
      </c>
      <c r="D28" s="171">
        <v>2.0</v>
      </c>
      <c r="E28" s="171">
        <f t="shared" si="3"/>
        <v>33.53333333</v>
      </c>
      <c r="F28" s="173">
        <v>0.25</v>
      </c>
      <c r="G28" s="184">
        <f t="shared" si="4"/>
        <v>84</v>
      </c>
      <c r="H28" s="120">
        <f>IF($A28=0,"",VLOOKUP($A28,'00_MO'!$A$4:$D$7,4,FALSE))</f>
        <v>40000</v>
      </c>
      <c r="I28" s="120">
        <f t="shared" si="5"/>
        <v>3360000</v>
      </c>
      <c r="K28" s="127" t="s">
        <v>812</v>
      </c>
    </row>
    <row r="29" ht="14.25" customHeight="1">
      <c r="A29" s="183" t="s">
        <v>515</v>
      </c>
      <c r="B29" s="74" t="str">
        <f>IF($A29=0,"",VLOOKUP($A29,'00_MO'!$A$4:$D$7,2,FALSE))</f>
        <v>Ayudante</v>
      </c>
      <c r="C29" s="74" t="str">
        <f>IF($A29=0,"",VLOOKUP($A29,'00_MO'!$A$4:$D$7,3,FALSE))</f>
        <v>u</v>
      </c>
      <c r="D29" s="171">
        <v>2.0</v>
      </c>
      <c r="E29" s="171">
        <f t="shared" si="3"/>
        <v>33.53333333</v>
      </c>
      <c r="F29" s="173">
        <v>0.25</v>
      </c>
      <c r="G29" s="184">
        <f t="shared" si="4"/>
        <v>84</v>
      </c>
      <c r="H29" s="120">
        <f>IF($A29=0,"",VLOOKUP($A29,'00_MO'!$A$4:$D$7,4,FALSE))</f>
        <v>30000</v>
      </c>
      <c r="I29" s="120">
        <f t="shared" si="5"/>
        <v>2520000</v>
      </c>
    </row>
    <row r="30" ht="14.25" customHeight="1">
      <c r="A30" s="171"/>
      <c r="B30" s="74" t="str">
        <f>IF($A30=0,"",VLOOKUP($A30,'00_MO'!$A$4:$D$7,2,FALSE))</f>
        <v/>
      </c>
      <c r="C30" s="74" t="str">
        <f>IF($A30=0,"",VLOOKUP($A30,'00_MO'!$A$4:$D$7,3,FALSE))</f>
        <v/>
      </c>
      <c r="D30" s="171"/>
      <c r="E30" s="171"/>
      <c r="F30" s="173"/>
      <c r="G30" s="184">
        <f t="shared" si="4"/>
        <v>0</v>
      </c>
      <c r="H30" s="120" t="str">
        <f>IF($A30=0,"",VLOOKUP($A30,'00_MO'!$A$4:$D$7,4,FALSE))</f>
        <v/>
      </c>
      <c r="I30" s="120">
        <f t="shared" si="5"/>
        <v>0</v>
      </c>
    </row>
    <row r="31" ht="14.25" customHeight="1">
      <c r="A31" s="171"/>
      <c r="B31" s="74" t="str">
        <f>IF($A31=0,"",VLOOKUP($A31,'00_MO'!$A$4:$D$7,2,FALSE))</f>
        <v/>
      </c>
      <c r="C31" s="74" t="str">
        <f>IF($A31=0,"",VLOOKUP($A31,'00_MO'!$A$4:$D$7,3,FALSE))</f>
        <v/>
      </c>
      <c r="D31" s="171"/>
      <c r="E31" s="171"/>
      <c r="F31" s="173"/>
      <c r="G31" s="184">
        <f t="shared" si="4"/>
        <v>0</v>
      </c>
      <c r="H31" s="120" t="str">
        <f>IF($A31=0,"",VLOOKUP($A31,'00_MO'!$A$4:$D$7,4,FALSE))</f>
        <v/>
      </c>
      <c r="I31" s="120">
        <f t="shared" si="5"/>
        <v>0</v>
      </c>
    </row>
    <row r="32" ht="14.25" customHeight="1">
      <c r="A32" s="171"/>
      <c r="B32" s="74" t="str">
        <f>IF($A32=0,"",VLOOKUP($A32,'00_MO'!$A$4:$D$7,2,FALSE))</f>
        <v/>
      </c>
      <c r="C32" s="74" t="str">
        <f>IF($A32=0,"",VLOOKUP($A32,'00_MO'!$A$4:$D$7,3,FALSE))</f>
        <v/>
      </c>
      <c r="D32" s="171"/>
      <c r="E32" s="171"/>
      <c r="F32" s="173"/>
      <c r="G32" s="184">
        <f t="shared" si="4"/>
        <v>0</v>
      </c>
      <c r="H32" s="120" t="str">
        <f>IF($A32=0,"",VLOOKUP($A32,'00_MO'!$A$4:$D$7,4,FALSE))</f>
        <v/>
      </c>
      <c r="I32" s="120">
        <f t="shared" si="5"/>
        <v>0</v>
      </c>
    </row>
    <row r="33" ht="14.25" customHeight="1">
      <c r="F33" s="126"/>
      <c r="G33" s="3"/>
      <c r="H33" s="120"/>
      <c r="I33" s="120"/>
    </row>
    <row r="34" ht="14.25" customHeight="1">
      <c r="A34" s="175" t="s">
        <v>717</v>
      </c>
      <c r="B34" s="176"/>
      <c r="C34" s="176"/>
      <c r="D34" s="176"/>
      <c r="E34" s="176"/>
      <c r="F34" s="176"/>
      <c r="G34" s="177"/>
      <c r="H34" s="176"/>
      <c r="I34" s="178">
        <f>SUM(I27:I32)</f>
        <v>7980000</v>
      </c>
    </row>
    <row r="35" ht="14.25" customHeight="1">
      <c r="A35" s="179" t="str">
        <f>$I$3</f>
        <v>m²</v>
      </c>
      <c r="B35" s="180"/>
      <c r="C35" s="180"/>
      <c r="D35" s="180"/>
      <c r="E35" s="180"/>
      <c r="F35" s="180"/>
      <c r="G35" s="5"/>
      <c r="H35" s="180"/>
      <c r="I35" s="172">
        <f>$H$3</f>
        <v>1006</v>
      </c>
      <c r="J35" s="74"/>
      <c r="K35" s="74"/>
      <c r="L35" s="74"/>
    </row>
    <row r="36" ht="14.25" customHeight="1">
      <c r="A36" s="181" t="s">
        <v>787</v>
      </c>
      <c r="B36" s="179" t="str">
        <f>A35</f>
        <v>m²</v>
      </c>
      <c r="C36" s="180"/>
      <c r="D36" s="180"/>
      <c r="E36" s="180"/>
      <c r="F36" s="180"/>
      <c r="G36" s="5"/>
      <c r="H36" s="180"/>
      <c r="I36" s="182">
        <f>I34/I35</f>
        <v>7932.405567</v>
      </c>
      <c r="J36" s="74"/>
      <c r="K36" s="74"/>
      <c r="L36" s="74"/>
    </row>
    <row r="37" ht="14.25" customHeight="1">
      <c r="G37" s="3"/>
    </row>
    <row r="38" ht="14.25" customHeight="1">
      <c r="G38" s="3"/>
    </row>
    <row r="39" ht="14.25" customHeight="1">
      <c r="A39" s="168" t="s">
        <v>790</v>
      </c>
      <c r="B39" s="76"/>
      <c r="C39" s="76"/>
      <c r="D39" s="76"/>
      <c r="E39" s="76"/>
      <c r="F39" s="76"/>
      <c r="G39" s="2"/>
      <c r="H39" s="76"/>
      <c r="I39" s="76"/>
    </row>
    <row r="40" ht="14.25" customHeight="1">
      <c r="A40" s="169" t="s">
        <v>778</v>
      </c>
      <c r="B40" s="169" t="s">
        <v>779</v>
      </c>
      <c r="C40" s="169" t="s">
        <v>780</v>
      </c>
      <c r="D40" s="169" t="s">
        <v>781</v>
      </c>
      <c r="E40" s="169" t="s">
        <v>789</v>
      </c>
      <c r="F40" s="169" t="s">
        <v>782</v>
      </c>
      <c r="G40" s="4" t="s">
        <v>783</v>
      </c>
      <c r="H40" s="169" t="s">
        <v>784</v>
      </c>
      <c r="I40" s="169" t="s">
        <v>785</v>
      </c>
    </row>
    <row r="41" ht="14.25" customHeight="1">
      <c r="A41" s="171"/>
      <c r="B41" s="74" t="str">
        <f>IF($A41=0,"",VLOOKUP($A41,'00_Eq'!$A$4:$D$101,2,FALSE))</f>
        <v/>
      </c>
      <c r="C41" s="74" t="str">
        <f>IF($A41=0,"",VLOOKUP($A41,'00_Eq'!$A$4:$D$101,3,FALSE))</f>
        <v/>
      </c>
      <c r="D41" s="171"/>
      <c r="E41" s="171"/>
      <c r="F41" s="173"/>
      <c r="G41" s="184">
        <f t="shared" ref="G41:G46" si="6">ROUNDUP(((D41*E41)*(1+F41)),0)</f>
        <v>0</v>
      </c>
      <c r="H41" s="120" t="str">
        <f>IF($A41=0,"",VLOOKUP($A41,'00_Eq'!$A$4:$D$101,4,FALSE))</f>
        <v/>
      </c>
      <c r="I41" s="120"/>
    </row>
    <row r="42" ht="14.25" customHeight="1">
      <c r="A42" s="171"/>
      <c r="B42" s="74" t="str">
        <f>IF($A42=0,"",VLOOKUP($A42,'00_Eq'!$A$4:$D$101,2,FALSE))</f>
        <v/>
      </c>
      <c r="C42" s="74" t="str">
        <f>IF($A42=0,"",VLOOKUP($A42,'00_Eq'!$A$4:$D$101,3,FALSE))</f>
        <v/>
      </c>
      <c r="D42" s="171"/>
      <c r="E42" s="171"/>
      <c r="F42" s="173"/>
      <c r="G42" s="184">
        <f t="shared" si="6"/>
        <v>0</v>
      </c>
      <c r="H42" s="120" t="str">
        <f>IF($A42=0,"",VLOOKUP($A42,'00_Eq'!$A$4:$D$101,4,FALSE))</f>
        <v/>
      </c>
      <c r="I42" s="120"/>
    </row>
    <row r="43" ht="14.25" customHeight="1">
      <c r="A43" s="171"/>
      <c r="B43" s="74" t="str">
        <f>IF($A43=0,"",VLOOKUP($A43,'00_Eq'!$A$4:$D$101,2,FALSE))</f>
        <v/>
      </c>
      <c r="C43" s="74" t="str">
        <f>IF($A43=0,"",VLOOKUP($A43,'00_Eq'!$A$4:$D$101,3,FALSE))</f>
        <v/>
      </c>
      <c r="D43" s="171"/>
      <c r="E43" s="171"/>
      <c r="F43" s="173"/>
      <c r="G43" s="184">
        <f t="shared" si="6"/>
        <v>0</v>
      </c>
      <c r="H43" s="120" t="str">
        <f>IF($A43=0,"",VLOOKUP($A43,'00_Eq'!$A$4:$D$101,4,FALSE))</f>
        <v/>
      </c>
      <c r="I43" s="120"/>
    </row>
    <row r="44" ht="14.25" customHeight="1">
      <c r="A44" s="171"/>
      <c r="B44" s="74" t="str">
        <f>IF($A44=0,"",VLOOKUP($A44,'00_Eq'!$A$4:$D$101,2,FALSE))</f>
        <v/>
      </c>
      <c r="C44" s="74" t="str">
        <f>IF($A44=0,"",VLOOKUP($A44,'00_Eq'!$A$4:$D$101,3,FALSE))</f>
        <v/>
      </c>
      <c r="D44" s="171"/>
      <c r="E44" s="171"/>
      <c r="F44" s="173"/>
      <c r="G44" s="184">
        <f t="shared" si="6"/>
        <v>0</v>
      </c>
      <c r="H44" s="120" t="str">
        <f>IF($A44=0,"",VLOOKUP($A44,'00_Eq'!$A$4:$D$101,4,FALSE))</f>
        <v/>
      </c>
      <c r="I44" s="120"/>
    </row>
    <row r="45" ht="14.25" customHeight="1">
      <c r="A45" s="171"/>
      <c r="B45" s="74" t="str">
        <f>IF($A45=0,"",VLOOKUP($A45,'00_Eq'!$A$4:$D$101,2,FALSE))</f>
        <v/>
      </c>
      <c r="C45" s="74" t="str">
        <f>IF($A45=0,"",VLOOKUP($A45,'00_Eq'!$A$4:$D$101,3,FALSE))</f>
        <v/>
      </c>
      <c r="D45" s="171"/>
      <c r="E45" s="171"/>
      <c r="F45" s="173"/>
      <c r="G45" s="184">
        <f t="shared" si="6"/>
        <v>0</v>
      </c>
      <c r="H45" s="120" t="str">
        <f>IF($A45=0,"",VLOOKUP($A45,'00_Eq'!$A$4:$D$101,4,FALSE))</f>
        <v/>
      </c>
      <c r="I45" s="120"/>
    </row>
    <row r="46" ht="14.25" customHeight="1">
      <c r="A46" s="171"/>
      <c r="B46" s="74" t="str">
        <f>IF($A46=0,"",VLOOKUP($A46,'00_Eq'!$A$4:$D$101,2,FALSE))</f>
        <v/>
      </c>
      <c r="C46" s="74" t="str">
        <f>IF($A46=0,"",VLOOKUP($A46,'00_Eq'!$A$4:$D$101,3,FALSE))</f>
        <v/>
      </c>
      <c r="D46" s="171"/>
      <c r="E46" s="171"/>
      <c r="F46" s="173"/>
      <c r="G46" s="184">
        <f t="shared" si="6"/>
        <v>0</v>
      </c>
      <c r="H46" s="120" t="str">
        <f>IF($A46=0,"",VLOOKUP($A46,'00_Eq'!$A$4:$D$101,4,FALSE))</f>
        <v/>
      </c>
      <c r="I46" s="120"/>
    </row>
    <row r="47" ht="14.25" customHeight="1">
      <c r="F47" s="126"/>
      <c r="G47" s="3"/>
      <c r="H47" s="120"/>
      <c r="I47" s="120"/>
    </row>
    <row r="48" ht="14.25" customHeight="1">
      <c r="A48" s="175" t="s">
        <v>717</v>
      </c>
      <c r="B48" s="176"/>
      <c r="C48" s="176"/>
      <c r="D48" s="176"/>
      <c r="E48" s="176"/>
      <c r="F48" s="176"/>
      <c r="G48" s="177"/>
      <c r="H48" s="176"/>
      <c r="I48" s="178">
        <f>SUM(I41:I46)</f>
        <v>0</v>
      </c>
    </row>
    <row r="49" ht="14.25" customHeight="1">
      <c r="A49" s="179" t="str">
        <f>$I$3</f>
        <v>m²</v>
      </c>
      <c r="B49" s="180"/>
      <c r="C49" s="180"/>
      <c r="D49" s="180"/>
      <c r="E49" s="180"/>
      <c r="F49" s="180"/>
      <c r="G49" s="5"/>
      <c r="H49" s="180"/>
      <c r="I49" s="172">
        <f>$H$3</f>
        <v>1006</v>
      </c>
      <c r="J49" s="74"/>
      <c r="K49" s="74"/>
      <c r="L49" s="74"/>
    </row>
    <row r="50" ht="14.25" customHeight="1">
      <c r="A50" s="181" t="s">
        <v>787</v>
      </c>
      <c r="B50" s="179" t="str">
        <f>A49</f>
        <v>m²</v>
      </c>
      <c r="C50" s="180"/>
      <c r="D50" s="180"/>
      <c r="E50" s="180"/>
      <c r="F50" s="180"/>
      <c r="G50" s="5"/>
      <c r="H50" s="180"/>
      <c r="I50" s="182">
        <f>I48/I49</f>
        <v>0</v>
      </c>
      <c r="J50" s="74"/>
      <c r="K50" s="74"/>
      <c r="L50" s="74"/>
    </row>
    <row r="51" ht="14.25" customHeight="1">
      <c r="G51" s="3"/>
    </row>
    <row r="52" ht="14.25" customHeight="1">
      <c r="G52" s="3"/>
    </row>
    <row r="53" ht="14.25" customHeight="1">
      <c r="A53" s="168" t="s">
        <v>791</v>
      </c>
      <c r="B53" s="76"/>
      <c r="C53" s="76"/>
      <c r="D53" s="76"/>
      <c r="E53" s="76"/>
      <c r="F53" s="76"/>
      <c r="G53" s="2"/>
      <c r="H53" s="76"/>
      <c r="I53" s="76"/>
    </row>
    <row r="54" ht="14.25" customHeight="1">
      <c r="A54" s="169" t="s">
        <v>778</v>
      </c>
      <c r="B54" s="169" t="s">
        <v>779</v>
      </c>
      <c r="C54" s="169" t="s">
        <v>780</v>
      </c>
      <c r="D54" s="169" t="s">
        <v>781</v>
      </c>
      <c r="E54" s="169"/>
      <c r="F54" s="169" t="s">
        <v>782</v>
      </c>
      <c r="G54" s="4" t="s">
        <v>783</v>
      </c>
      <c r="H54" s="169" t="s">
        <v>784</v>
      </c>
      <c r="I54" s="169" t="s">
        <v>785</v>
      </c>
    </row>
    <row r="55" ht="14.25" customHeight="1">
      <c r="A55" s="171"/>
      <c r="B55" s="74" t="str">
        <f>IF($A55=0,"",VLOOKUP($A55,'00_Mat'!$A$4:$J$1136,2,FALSE))</f>
        <v/>
      </c>
      <c r="C55" s="74" t="str">
        <f>IF($A55=0,"",VLOOKUP($A55,'00_Mat'!$A$4:$J$1136,3,FALSE))</f>
        <v/>
      </c>
      <c r="D55" s="172"/>
      <c r="E55" s="171"/>
      <c r="F55" s="173"/>
      <c r="G55" s="174">
        <f t="shared" ref="G55:G60" si="7">ROUNDUP((D55+(D55*F55)),0)</f>
        <v>0</v>
      </c>
      <c r="H55" s="120" t="str">
        <f>IF($A55=0,"",VLOOKUP($A55,'00_Mat'!$A$4:$J$1136,5,FALSE))</f>
        <v/>
      </c>
      <c r="I55" s="120"/>
    </row>
    <row r="56" ht="14.25" customHeight="1">
      <c r="A56" s="171"/>
      <c r="B56" s="74" t="str">
        <f>IF($A56=0,"",VLOOKUP($A56,'00_Mat'!$A$4:$J$1136,2,FALSE))</f>
        <v/>
      </c>
      <c r="C56" s="74" t="str">
        <f>IF($A56=0,"",VLOOKUP($A56,'00_Mat'!$A$4:$J$1136,3,FALSE))</f>
        <v/>
      </c>
      <c r="D56" s="172"/>
      <c r="E56" s="171"/>
      <c r="F56" s="173"/>
      <c r="G56" s="174">
        <f t="shared" si="7"/>
        <v>0</v>
      </c>
      <c r="H56" s="120" t="str">
        <f>IF($A56=0,"",VLOOKUP($A56,'00_Mat'!$A$4:$J$1136,5,FALSE))</f>
        <v/>
      </c>
      <c r="I56" s="120"/>
    </row>
    <row r="57" ht="14.25" customHeight="1">
      <c r="A57" s="171"/>
      <c r="B57" s="74" t="str">
        <f>IF($A57=0,"",VLOOKUP($A57,'00_Mat'!$A$4:$J$1136,2,FALSE))</f>
        <v/>
      </c>
      <c r="C57" s="74" t="str">
        <f>IF($A57=0,"",VLOOKUP($A57,'00_Mat'!$A$4:$J$1136,3,FALSE))</f>
        <v/>
      </c>
      <c r="D57" s="172"/>
      <c r="E57" s="171"/>
      <c r="F57" s="173"/>
      <c r="G57" s="174">
        <f t="shared" si="7"/>
        <v>0</v>
      </c>
      <c r="H57" s="120" t="str">
        <f>IF($A57=0,"",VLOOKUP($A57,'00_Mat'!$A$4:$J$1136,5,FALSE))</f>
        <v/>
      </c>
      <c r="I57" s="120"/>
    </row>
    <row r="58" ht="14.25" customHeight="1">
      <c r="A58" s="171"/>
      <c r="B58" s="74" t="str">
        <f>IF($A58=0,"",VLOOKUP($A58,'00_Mat'!$A$4:$J$1136,2,FALSE))</f>
        <v/>
      </c>
      <c r="C58" s="74" t="str">
        <f>IF($A58=0,"",VLOOKUP($A58,'00_Mat'!$A$4:$J$1136,3,FALSE))</f>
        <v/>
      </c>
      <c r="D58" s="172"/>
      <c r="E58" s="171"/>
      <c r="F58" s="173"/>
      <c r="G58" s="174">
        <f t="shared" si="7"/>
        <v>0</v>
      </c>
      <c r="H58" s="120" t="str">
        <f>IF($A58=0,"",VLOOKUP($A58,'00_Mat'!$A$4:$J$1136,5,FALSE))</f>
        <v/>
      </c>
      <c r="I58" s="120"/>
    </row>
    <row r="59" ht="14.25" customHeight="1">
      <c r="A59" s="171"/>
      <c r="B59" s="74" t="str">
        <f>IF($A59=0,"",VLOOKUP($A59,'00_Mat'!$A$4:$J$1136,2,FALSE))</f>
        <v/>
      </c>
      <c r="C59" s="74" t="str">
        <f>IF($A59=0,"",VLOOKUP($A59,'00_Mat'!$A$4:$J$1136,3,FALSE))</f>
        <v/>
      </c>
      <c r="D59" s="172"/>
      <c r="E59" s="171"/>
      <c r="F59" s="173"/>
      <c r="G59" s="174">
        <f t="shared" si="7"/>
        <v>0</v>
      </c>
      <c r="H59" s="120" t="str">
        <f>IF($A59=0,"",VLOOKUP($A59,'00_Mat'!$A$4:$J$1136,5,FALSE))</f>
        <v/>
      </c>
      <c r="I59" s="120"/>
    </row>
    <row r="60" ht="14.25" customHeight="1">
      <c r="A60" s="171"/>
      <c r="B60" s="74" t="str">
        <f>IF($A60=0,"",VLOOKUP($A60,'00_Mat'!$A$4:$J$1136,2,FALSE))</f>
        <v/>
      </c>
      <c r="C60" s="74" t="str">
        <f>IF($A60=0,"",VLOOKUP($A60,'00_Mat'!$A$4:$J$1136,3,FALSE))</f>
        <v/>
      </c>
      <c r="D60" s="172"/>
      <c r="E60" s="171"/>
      <c r="F60" s="173"/>
      <c r="G60" s="174">
        <f t="shared" si="7"/>
        <v>0</v>
      </c>
      <c r="H60" s="120" t="str">
        <f>IF($A60=0,"",VLOOKUP($A60,'00_Mat'!$A$4:$J$1136,5,FALSE))</f>
        <v/>
      </c>
      <c r="I60" s="120"/>
    </row>
    <row r="61" ht="14.25" customHeight="1">
      <c r="F61" s="126"/>
      <c r="G61" s="3"/>
      <c r="H61" s="120"/>
      <c r="I61" s="120"/>
    </row>
    <row r="62" ht="14.25" customHeight="1">
      <c r="A62" s="175" t="s">
        <v>717</v>
      </c>
      <c r="B62" s="176"/>
      <c r="C62" s="176"/>
      <c r="D62" s="176"/>
      <c r="E62" s="176"/>
      <c r="F62" s="176"/>
      <c r="G62" s="177"/>
      <c r="H62" s="176"/>
      <c r="I62" s="178">
        <f>SUM(I55:I60)</f>
        <v>0</v>
      </c>
    </row>
    <row r="63" ht="14.25" customHeight="1">
      <c r="A63" s="179" t="str">
        <f>$I$3</f>
        <v>m²</v>
      </c>
      <c r="B63" s="180"/>
      <c r="C63" s="180"/>
      <c r="D63" s="180"/>
      <c r="E63" s="180"/>
      <c r="F63" s="180"/>
      <c r="G63" s="5"/>
      <c r="H63" s="180"/>
      <c r="I63" s="172">
        <f>$H$3</f>
        <v>1006</v>
      </c>
      <c r="J63" s="74"/>
      <c r="K63" s="74"/>
      <c r="L63" s="74"/>
    </row>
    <row r="64" ht="14.25" customHeight="1">
      <c r="A64" s="181" t="s">
        <v>787</v>
      </c>
      <c r="B64" s="179" t="str">
        <f>A63</f>
        <v>m²</v>
      </c>
      <c r="C64" s="180"/>
      <c r="D64" s="180"/>
      <c r="E64" s="180"/>
      <c r="F64" s="180"/>
      <c r="G64" s="5"/>
      <c r="H64" s="180"/>
      <c r="I64" s="182">
        <f>I62/I63</f>
        <v>0</v>
      </c>
      <c r="J64" s="74"/>
      <c r="K64" s="74"/>
      <c r="L64" s="74"/>
    </row>
    <row r="65" ht="14.25" customHeight="1">
      <c r="G65" s="3"/>
    </row>
    <row r="66" ht="14.25" customHeight="1">
      <c r="G66" s="3"/>
    </row>
    <row r="67" ht="14.25" customHeight="1">
      <c r="A67" s="168" t="s">
        <v>792</v>
      </c>
      <c r="B67" s="76"/>
      <c r="C67" s="76"/>
      <c r="D67" s="76"/>
      <c r="E67" s="76"/>
      <c r="F67" s="76"/>
      <c r="G67" s="2"/>
      <c r="H67" s="76"/>
      <c r="I67" s="76"/>
    </row>
    <row r="68" ht="14.25" customHeight="1">
      <c r="A68" s="169" t="s">
        <v>778</v>
      </c>
      <c r="B68" s="169" t="s">
        <v>779</v>
      </c>
      <c r="C68" s="169" t="s">
        <v>780</v>
      </c>
      <c r="D68" s="169" t="s">
        <v>781</v>
      </c>
      <c r="E68" s="169" t="s">
        <v>789</v>
      </c>
      <c r="F68" s="169" t="s">
        <v>782</v>
      </c>
      <c r="G68" s="4" t="s">
        <v>783</v>
      </c>
      <c r="H68" s="169" t="s">
        <v>784</v>
      </c>
      <c r="I68" s="169" t="s">
        <v>785</v>
      </c>
    </row>
    <row r="69" ht="14.25" customHeight="1">
      <c r="A69" s="171"/>
      <c r="B69" s="74" t="str">
        <f>IF($A69=0,"",VLOOKUP($A69,'00_Sub'!$A$4:$D$1001,2,FALSE))</f>
        <v/>
      </c>
      <c r="C69" s="74" t="str">
        <f>IF($A69=0,"",VLOOKUP($A69,'00_Sub'!$A$4:$D$1001,3,FALSE))</f>
        <v/>
      </c>
      <c r="D69" s="171"/>
      <c r="E69" s="171"/>
      <c r="F69" s="173"/>
      <c r="G69" s="174">
        <f t="shared" ref="G69:G74" si="8">ROUNDUP((D69+(D69*F69)),0)</f>
        <v>0</v>
      </c>
      <c r="H69" s="120" t="str">
        <f>IF($A69=0,"",VLOOKUP($A69,'00_Sub'!$A$4:$D$1001,4,FALSE))</f>
        <v/>
      </c>
      <c r="I69" s="120"/>
    </row>
    <row r="70" ht="14.25" customHeight="1">
      <c r="A70" s="171"/>
      <c r="B70" s="74" t="str">
        <f>IF($A70=0,"",VLOOKUP($A70,'00_Sub'!$A$4:$D$1001,2,FALSE))</f>
        <v/>
      </c>
      <c r="C70" s="74" t="str">
        <f>IF($A70=0,"",VLOOKUP($A70,'00_Sub'!$A$4:$D$1001,3,FALSE))</f>
        <v/>
      </c>
      <c r="D70" s="171"/>
      <c r="E70" s="171"/>
      <c r="F70" s="173"/>
      <c r="G70" s="174">
        <f t="shared" si="8"/>
        <v>0</v>
      </c>
      <c r="H70" s="120" t="str">
        <f>IF($A70=0,"",VLOOKUP($A70,'00_Sub'!$A$4:$D$1001,4,FALSE))</f>
        <v/>
      </c>
      <c r="I70" s="120"/>
    </row>
    <row r="71" ht="14.25" customHeight="1">
      <c r="A71" s="171"/>
      <c r="B71" s="74" t="str">
        <f>IF($A71=0,"",VLOOKUP($A71,'00_Sub'!$A$4:$D$1001,2,FALSE))</f>
        <v/>
      </c>
      <c r="C71" s="74" t="str">
        <f>IF($A71=0,"",VLOOKUP($A71,'00_Sub'!$A$4:$D$1001,3,FALSE))</f>
        <v/>
      </c>
      <c r="D71" s="171"/>
      <c r="E71" s="171"/>
      <c r="F71" s="173"/>
      <c r="G71" s="174">
        <f t="shared" si="8"/>
        <v>0</v>
      </c>
      <c r="H71" s="120" t="str">
        <f>IF($A71=0,"",VLOOKUP($A71,'00_Sub'!$A$4:$D$1001,4,FALSE))</f>
        <v/>
      </c>
      <c r="I71" s="120"/>
    </row>
    <row r="72" ht="14.25" customHeight="1">
      <c r="A72" s="171"/>
      <c r="B72" s="74" t="str">
        <f>IF($A72=0,"",VLOOKUP($A72,'00_Sub'!$A$4:$D$1001,2,FALSE))</f>
        <v/>
      </c>
      <c r="C72" s="74" t="str">
        <f>IF($A72=0,"",VLOOKUP($A72,'00_Sub'!$A$4:$D$1001,3,FALSE))</f>
        <v/>
      </c>
      <c r="D72" s="171"/>
      <c r="E72" s="171"/>
      <c r="F72" s="173"/>
      <c r="G72" s="174">
        <f t="shared" si="8"/>
        <v>0</v>
      </c>
      <c r="H72" s="120" t="str">
        <f>IF($A72=0,"",VLOOKUP($A72,'00_Sub'!$A$4:$D$1001,4,FALSE))</f>
        <v/>
      </c>
      <c r="I72" s="120"/>
    </row>
    <row r="73" ht="14.25" customHeight="1">
      <c r="A73" s="171"/>
      <c r="B73" s="74" t="str">
        <f>IF($A73=0,"",VLOOKUP($A73,'00_Sub'!$A$4:$D$1001,2,FALSE))</f>
        <v/>
      </c>
      <c r="C73" s="74" t="str">
        <f>IF($A73=0,"",VLOOKUP($A73,'00_Sub'!$A$4:$D$1001,3,FALSE))</f>
        <v/>
      </c>
      <c r="D73" s="171"/>
      <c r="E73" s="171"/>
      <c r="F73" s="173"/>
      <c r="G73" s="174">
        <f t="shared" si="8"/>
        <v>0</v>
      </c>
      <c r="H73" s="120" t="str">
        <f>IF($A73=0,"",VLOOKUP($A73,'00_Sub'!$A$4:$D$1001,4,FALSE))</f>
        <v/>
      </c>
      <c r="I73" s="120"/>
    </row>
    <row r="74" ht="14.25" customHeight="1">
      <c r="A74" s="171"/>
      <c r="B74" s="74" t="str">
        <f>IF($A74=0,"",VLOOKUP($A74,'00_Sub'!$A$4:$D$1001,2,FALSE))</f>
        <v/>
      </c>
      <c r="C74" s="74" t="str">
        <f>IF($A74=0,"",VLOOKUP($A74,'00_Sub'!$A$4:$D$1001,3,FALSE))</f>
        <v/>
      </c>
      <c r="D74" s="171"/>
      <c r="E74" s="171"/>
      <c r="F74" s="173"/>
      <c r="G74" s="174">
        <f t="shared" si="8"/>
        <v>0</v>
      </c>
      <c r="H74" s="120" t="str">
        <f>IF($A74=0,"",VLOOKUP($A74,'00_Sub'!$A$4:$D$1001,4,FALSE))</f>
        <v/>
      </c>
      <c r="I74" s="120"/>
    </row>
    <row r="75" ht="14.25" customHeight="1">
      <c r="F75" s="126"/>
      <c r="G75" s="3"/>
      <c r="H75" s="120"/>
      <c r="I75" s="120"/>
    </row>
    <row r="76" ht="14.25" customHeight="1">
      <c r="A76" s="175" t="s">
        <v>717</v>
      </c>
      <c r="B76" s="176"/>
      <c r="C76" s="176"/>
      <c r="D76" s="176"/>
      <c r="E76" s="176"/>
      <c r="F76" s="176"/>
      <c r="G76" s="177"/>
      <c r="H76" s="176"/>
      <c r="I76" s="178">
        <f>SUM(I69:I74)</f>
        <v>0</v>
      </c>
    </row>
    <row r="77" ht="14.25" customHeight="1">
      <c r="A77" s="179" t="str">
        <f>$I$3</f>
        <v>m²</v>
      </c>
      <c r="B77" s="180"/>
      <c r="C77" s="180"/>
      <c r="D77" s="180"/>
      <c r="E77" s="180"/>
      <c r="F77" s="180"/>
      <c r="G77" s="5"/>
      <c r="H77" s="180"/>
      <c r="I77" s="172">
        <f>$H$3</f>
        <v>1006</v>
      </c>
      <c r="J77" s="74"/>
      <c r="K77" s="74"/>
      <c r="L77" s="74"/>
    </row>
    <row r="78" ht="14.25" customHeight="1">
      <c r="A78" s="181" t="s">
        <v>787</v>
      </c>
      <c r="B78" s="179" t="str">
        <f>A77</f>
        <v>m²</v>
      </c>
      <c r="C78" s="180"/>
      <c r="D78" s="180"/>
      <c r="E78" s="180"/>
      <c r="F78" s="180"/>
      <c r="G78" s="5"/>
      <c r="H78" s="180"/>
      <c r="I78" s="182">
        <f>I76/I77</f>
        <v>0</v>
      </c>
      <c r="J78" s="74"/>
      <c r="K78" s="74"/>
      <c r="L78" s="74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J9:J10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73" t="str">
        <f>'01_C&amp;P'!A1</f>
        <v>NOMBRE DE LA OBRA</v>
      </c>
      <c r="B1" s="73"/>
      <c r="C1" s="73"/>
      <c r="G1" s="3"/>
    </row>
    <row r="2" ht="14.25" customHeight="1">
      <c r="G2" s="3"/>
    </row>
    <row r="3" ht="23.25" customHeight="1">
      <c r="A3" s="162">
        <f>'01_C&amp;P'!A27</f>
        <v>45841</v>
      </c>
      <c r="B3" s="163" t="str">
        <f>IF($A3=0,"",VLOOKUP($A3,'01_C&amp;P'!$A$9:$D$91,2,FALSE))</f>
        <v>COLOCACION DE PISO DECK DE CEMENTO</v>
      </c>
      <c r="C3" s="164"/>
      <c r="D3" s="164"/>
      <c r="E3" s="164"/>
      <c r="F3" s="164"/>
      <c r="G3" s="165"/>
      <c r="H3" s="166">
        <f>IF($A3=0,"",VLOOKUP($A3,'01_C&amp;P'!$A$9:$D$91,4,FALSE))</f>
        <v>27.3</v>
      </c>
      <c r="I3" s="167" t="str">
        <f>IF($A3=0,"",VLOOKUP($A3,'01_C&amp;P'!$A$9:$D$91,3,FALSE))</f>
        <v>m²</v>
      </c>
    </row>
    <row r="4" ht="14.25" customHeight="1">
      <c r="G4" s="3"/>
    </row>
    <row r="5" ht="14.25" customHeight="1">
      <c r="A5" s="168" t="s">
        <v>0</v>
      </c>
      <c r="B5" s="76"/>
      <c r="C5" s="76"/>
      <c r="D5" s="76"/>
      <c r="E5" s="76"/>
      <c r="F5" s="76"/>
      <c r="G5" s="2"/>
      <c r="H5" s="76"/>
      <c r="I5" s="76"/>
    </row>
    <row r="6" ht="14.25" customHeight="1">
      <c r="A6" s="169" t="s">
        <v>778</v>
      </c>
      <c r="B6" s="169" t="s">
        <v>779</v>
      </c>
      <c r="C6" s="169" t="s">
        <v>780</v>
      </c>
      <c r="D6" s="170" t="s">
        <v>781</v>
      </c>
      <c r="E6" s="164"/>
      <c r="F6" s="169" t="s">
        <v>782</v>
      </c>
      <c r="G6" s="4" t="s">
        <v>783</v>
      </c>
      <c r="H6" s="169" t="s">
        <v>784</v>
      </c>
      <c r="I6" s="169" t="s">
        <v>785</v>
      </c>
    </row>
    <row r="7" ht="14.25" customHeight="1">
      <c r="A7" s="171" t="s">
        <v>52</v>
      </c>
      <c r="B7" s="74" t="str">
        <f>IF($A7=0,"",VLOOKUP($A7,'00_Mat'!$A$4:$J$1136,2,FALSE))</f>
        <v>Deck Liston Hormigon Cemento Piso Durmiente 100 X 12 Cms (1m2)</v>
      </c>
      <c r="C7" s="74" t="str">
        <f>IF($A7=0,"",VLOOKUP($A7,'00_Mat'!$A$4:$J$1136,3,FALSE))</f>
        <v/>
      </c>
      <c r="D7" s="172">
        <f>H3</f>
        <v>27.3</v>
      </c>
      <c r="E7" s="171"/>
      <c r="F7" s="173">
        <v>0.15</v>
      </c>
      <c r="G7" s="174">
        <f t="shared" ref="G7:G18" si="1">ROUNDUP((D7+(D7*F7)),0)</f>
        <v>32</v>
      </c>
      <c r="H7" s="120">
        <f>IF($A7=0,"",VLOOKUP($A7,'00_Mat'!$A$4:$J$1136,5,FALSE))</f>
        <v>41000</v>
      </c>
      <c r="I7" s="120">
        <f t="shared" ref="I7:I8" si="2">G7*H7</f>
        <v>1312000</v>
      </c>
    </row>
    <row r="8" ht="14.25" customHeight="1">
      <c r="A8" s="171"/>
      <c r="B8" s="74" t="str">
        <f>IF($A8=0,"",VLOOKUP($A8,'00_Mat'!$A$4:$J$1136,2,FALSE))</f>
        <v/>
      </c>
      <c r="C8" s="74" t="str">
        <f>IF($A8=0,"",VLOOKUP($A8,'00_Mat'!$A$4:$J$1136,3,FALSE))</f>
        <v/>
      </c>
      <c r="D8" s="171"/>
      <c r="E8" s="171"/>
      <c r="F8" s="173"/>
      <c r="G8" s="174">
        <f t="shared" si="1"/>
        <v>0</v>
      </c>
      <c r="H8" s="120" t="str">
        <f>IF($A8=0,"",VLOOKUP($A8,'00_Mat'!$A$4:$J$1136,5,FALSE))</f>
        <v/>
      </c>
      <c r="I8" s="120">
        <f t="shared" si="2"/>
        <v>0</v>
      </c>
    </row>
    <row r="9" ht="14.25" customHeight="1">
      <c r="A9" s="171"/>
      <c r="B9" s="74" t="str">
        <f>IF($A9=0,"",VLOOKUP($A9,'00_Mat'!$A$4:$J$1136,2,FALSE))</f>
        <v/>
      </c>
      <c r="C9" s="74" t="str">
        <f>IF($A9=0,"",VLOOKUP($A9,'00_Mat'!$A$4:$J$1136,3,FALSE))</f>
        <v/>
      </c>
      <c r="D9" s="171"/>
      <c r="E9" s="171"/>
      <c r="F9" s="173"/>
      <c r="G9" s="174">
        <f t="shared" si="1"/>
        <v>0</v>
      </c>
      <c r="H9" s="120" t="str">
        <f>IF($A9=0,"",VLOOKUP($A9,'00_Mat'!$A$4:$J$1136,5,FALSE))</f>
        <v/>
      </c>
      <c r="I9" s="120"/>
    </row>
    <row r="10" ht="14.25" customHeight="1">
      <c r="A10" s="171"/>
      <c r="B10" s="74" t="str">
        <f>IF($A10=0,"",VLOOKUP($A10,'00_Mat'!$A$4:$J$1136,2,FALSE))</f>
        <v/>
      </c>
      <c r="C10" s="74" t="str">
        <f>IF($A10=0,"",VLOOKUP($A10,'00_Mat'!$A$4:$J$1136,3,FALSE))</f>
        <v/>
      </c>
      <c r="D10" s="171"/>
      <c r="E10" s="171"/>
      <c r="F10" s="173"/>
      <c r="G10" s="174">
        <f t="shared" si="1"/>
        <v>0</v>
      </c>
      <c r="H10" s="120" t="str">
        <f>IF($A10=0,"",VLOOKUP($A10,'00_Mat'!$A$4:$J$1136,5,FALSE))</f>
        <v/>
      </c>
      <c r="I10" s="120"/>
    </row>
    <row r="11" ht="14.25" customHeight="1">
      <c r="A11" s="171"/>
      <c r="B11" s="74" t="str">
        <f>IF($A11=0,"",VLOOKUP($A11,'00_Mat'!$A$4:$J$1136,2,FALSE))</f>
        <v/>
      </c>
      <c r="C11" s="74" t="str">
        <f>IF($A11=0,"",VLOOKUP($A11,'00_Mat'!$A$4:$J$1136,3,FALSE))</f>
        <v/>
      </c>
      <c r="D11" s="171"/>
      <c r="E11" s="171"/>
      <c r="F11" s="173"/>
      <c r="G11" s="174">
        <f t="shared" si="1"/>
        <v>0</v>
      </c>
      <c r="H11" s="120" t="str">
        <f>IF($A11=0,"",VLOOKUP($A11,'00_Mat'!$A$4:$J$1136,5,FALSE))</f>
        <v/>
      </c>
      <c r="I11" s="120"/>
    </row>
    <row r="12" ht="14.25" customHeight="1">
      <c r="A12" s="171"/>
      <c r="B12" s="74" t="str">
        <f>IF($A12=0,"",VLOOKUP($A12,'00_Mat'!$A$4:$J$1136,2,FALSE))</f>
        <v/>
      </c>
      <c r="C12" s="74" t="str">
        <f>IF($A12=0,"",VLOOKUP($A12,'00_Mat'!$A$4:$J$1136,3,FALSE))</f>
        <v/>
      </c>
      <c r="D12" s="171"/>
      <c r="E12" s="171"/>
      <c r="F12" s="173"/>
      <c r="G12" s="174">
        <f t="shared" si="1"/>
        <v>0</v>
      </c>
      <c r="H12" s="120" t="str">
        <f>IF($A12=0,"",VLOOKUP($A12,'00_Mat'!$A$4:$J$1136,5,FALSE))</f>
        <v/>
      </c>
      <c r="I12" s="120"/>
    </row>
    <row r="13" ht="14.25" customHeight="1">
      <c r="A13" s="171"/>
      <c r="B13" s="74" t="str">
        <f>IF($A13=0,"",VLOOKUP($A13,'00_Mat'!$A$4:$J$1136,2,FALSE))</f>
        <v/>
      </c>
      <c r="C13" s="74" t="str">
        <f>IF($A13=0,"",VLOOKUP($A13,'00_Mat'!$A$4:$J$1136,3,FALSE))</f>
        <v/>
      </c>
      <c r="D13" s="171"/>
      <c r="E13" s="171"/>
      <c r="F13" s="173"/>
      <c r="G13" s="174">
        <f t="shared" si="1"/>
        <v>0</v>
      </c>
      <c r="H13" s="120" t="str">
        <f>IF($A13=0,"",VLOOKUP($A13,'00_Mat'!$A$4:$J$1136,5,FALSE))</f>
        <v/>
      </c>
      <c r="I13" s="120"/>
    </row>
    <row r="14" ht="14.25" customHeight="1">
      <c r="A14" s="171"/>
      <c r="B14" s="74" t="str">
        <f>IF($A14=0,"",VLOOKUP($A14,'00_Mat'!$A$4:$J$1136,2,FALSE))</f>
        <v/>
      </c>
      <c r="C14" s="74" t="str">
        <f>IF($A14=0,"",VLOOKUP($A14,'00_Mat'!$A$4:$J$1136,3,FALSE))</f>
        <v/>
      </c>
      <c r="D14" s="171"/>
      <c r="E14" s="171"/>
      <c r="F14" s="173"/>
      <c r="G14" s="174">
        <f t="shared" si="1"/>
        <v>0</v>
      </c>
      <c r="H14" s="120" t="str">
        <f>IF($A14=0,"",VLOOKUP($A14,'00_Mat'!$A$4:$J$1136,5,FALSE))</f>
        <v/>
      </c>
      <c r="I14" s="120"/>
    </row>
    <row r="15" ht="14.25" customHeight="1">
      <c r="A15" s="171"/>
      <c r="B15" s="74" t="str">
        <f>IF($A15=0,"",VLOOKUP($A15,'00_Mat'!$A$4:$J$1136,2,FALSE))</f>
        <v/>
      </c>
      <c r="C15" s="74" t="str">
        <f>IF($A15=0,"",VLOOKUP($A15,'00_Mat'!$A$4:$J$1136,3,FALSE))</f>
        <v/>
      </c>
      <c r="D15" s="171"/>
      <c r="E15" s="171"/>
      <c r="F15" s="173"/>
      <c r="G15" s="174">
        <f t="shared" si="1"/>
        <v>0</v>
      </c>
      <c r="H15" s="120" t="str">
        <f>IF($A15=0,"",VLOOKUP($A15,'00_Mat'!$A$4:$J$1136,5,FALSE))</f>
        <v/>
      </c>
      <c r="I15" s="120"/>
    </row>
    <row r="16" ht="14.25" customHeight="1">
      <c r="A16" s="171"/>
      <c r="B16" s="74" t="str">
        <f>IF($A16=0,"",VLOOKUP($A16,'00_Mat'!$A$4:$J$1136,2,FALSE))</f>
        <v/>
      </c>
      <c r="C16" s="74" t="str">
        <f>IF($A16=0,"",VLOOKUP($A16,'00_Mat'!$A$4:$J$1136,3,FALSE))</f>
        <v/>
      </c>
      <c r="D16" s="171"/>
      <c r="E16" s="171"/>
      <c r="F16" s="173"/>
      <c r="G16" s="174">
        <f t="shared" si="1"/>
        <v>0</v>
      </c>
      <c r="H16" s="120" t="str">
        <f>IF($A16=0,"",VLOOKUP($A16,'00_Mat'!$A$4:$J$1136,5,FALSE))</f>
        <v/>
      </c>
      <c r="I16" s="120"/>
    </row>
    <row r="17" ht="14.25" customHeight="1">
      <c r="A17" s="171"/>
      <c r="B17" s="74" t="str">
        <f>IF($A17=0,"",VLOOKUP($A17,'00_Mat'!$A$4:$J$1136,2,FALSE))</f>
        <v/>
      </c>
      <c r="C17" s="74" t="str">
        <f>IF($A17=0,"",VLOOKUP($A17,'00_Mat'!$A$4:$J$1136,3,FALSE))</f>
        <v/>
      </c>
      <c r="D17" s="171"/>
      <c r="E17" s="171"/>
      <c r="F17" s="173"/>
      <c r="G17" s="174">
        <f t="shared" si="1"/>
        <v>0</v>
      </c>
      <c r="H17" s="120" t="str">
        <f>IF($A17=0,"",VLOOKUP($A17,'00_Mat'!$A$4:$J$1136,5,FALSE))</f>
        <v/>
      </c>
      <c r="I17" s="120"/>
    </row>
    <row r="18" ht="14.25" customHeight="1">
      <c r="A18" s="171"/>
      <c r="B18" s="74" t="str">
        <f>IF($A18=0,"",VLOOKUP($A18,'00_Mat'!$A$4:$J$1136,2,FALSE))</f>
        <v/>
      </c>
      <c r="C18" s="74" t="str">
        <f>IF($A18=0,"",VLOOKUP($A18,'00_Mat'!$A$4:$J$1136,3,FALSE))</f>
        <v/>
      </c>
      <c r="D18" s="171"/>
      <c r="E18" s="171"/>
      <c r="F18" s="173"/>
      <c r="G18" s="174">
        <f t="shared" si="1"/>
        <v>0</v>
      </c>
      <c r="H18" s="120" t="str">
        <f>IF($A18=0,"",VLOOKUP($A18,'00_Mat'!$A$4:$J$1136,5,FALSE))</f>
        <v/>
      </c>
      <c r="I18" s="120"/>
    </row>
    <row r="19" ht="14.25" customHeight="1">
      <c r="F19" s="126"/>
      <c r="G19" s="3"/>
      <c r="H19" s="120"/>
      <c r="I19" s="120"/>
    </row>
    <row r="20" ht="14.25" customHeight="1">
      <c r="A20" s="175" t="s">
        <v>786</v>
      </c>
      <c r="B20" s="176"/>
      <c r="C20" s="176"/>
      <c r="D20" s="176"/>
      <c r="E20" s="176"/>
      <c r="F20" s="176"/>
      <c r="G20" s="177"/>
      <c r="H20" s="176"/>
      <c r="I20" s="178">
        <f>SUM(I7:I18)</f>
        <v>1312000</v>
      </c>
      <c r="J20" s="74"/>
      <c r="K20" s="74"/>
      <c r="L20" s="74"/>
    </row>
    <row r="21" ht="14.25" customHeight="1">
      <c r="A21" s="179" t="str">
        <f>$I$3</f>
        <v>m²</v>
      </c>
      <c r="B21" s="180"/>
      <c r="C21" s="180"/>
      <c r="D21" s="180"/>
      <c r="E21" s="180"/>
      <c r="F21" s="180"/>
      <c r="G21" s="5"/>
      <c r="H21" s="180"/>
      <c r="I21" s="172">
        <f>$H$3</f>
        <v>27.3</v>
      </c>
      <c r="J21" s="74"/>
      <c r="K21" s="74"/>
      <c r="L21" s="74"/>
    </row>
    <row r="22" ht="14.25" customHeight="1">
      <c r="A22" s="181" t="s">
        <v>787</v>
      </c>
      <c r="B22" s="179" t="str">
        <f>A21</f>
        <v>m²</v>
      </c>
      <c r="C22" s="180"/>
      <c r="D22" s="180"/>
      <c r="E22" s="180"/>
      <c r="F22" s="180"/>
      <c r="G22" s="5"/>
      <c r="H22" s="180"/>
      <c r="I22" s="182">
        <f>I20/I21</f>
        <v>48058.60806</v>
      </c>
      <c r="J22" s="74"/>
      <c r="K22" s="74"/>
      <c r="L22" s="74"/>
    </row>
    <row r="23" ht="14.25" customHeight="1">
      <c r="G23" s="3"/>
    </row>
    <row r="24" ht="14.25" customHeight="1">
      <c r="G24" s="3"/>
    </row>
    <row r="25" ht="14.25" customHeight="1">
      <c r="A25" s="168" t="s">
        <v>788</v>
      </c>
      <c r="B25" s="76"/>
      <c r="C25" s="76"/>
      <c r="D25" s="76"/>
      <c r="E25" s="76"/>
      <c r="F25" s="76"/>
      <c r="G25" s="2"/>
      <c r="H25" s="76"/>
      <c r="I25" s="76"/>
    </row>
    <row r="26" ht="14.25" customHeight="1">
      <c r="A26" s="169" t="s">
        <v>778</v>
      </c>
      <c r="B26" s="169" t="s">
        <v>779</v>
      </c>
      <c r="C26" s="169" t="s">
        <v>780</v>
      </c>
      <c r="D26" s="169" t="s">
        <v>781</v>
      </c>
      <c r="E26" s="169" t="s">
        <v>789</v>
      </c>
      <c r="F26" s="169" t="s">
        <v>782</v>
      </c>
      <c r="G26" s="4" t="s">
        <v>783</v>
      </c>
      <c r="H26" s="169" t="s">
        <v>784</v>
      </c>
      <c r="I26" s="169" t="s">
        <v>785</v>
      </c>
    </row>
    <row r="27" ht="14.25" customHeight="1">
      <c r="A27" s="183" t="s">
        <v>509</v>
      </c>
      <c r="B27" s="74" t="str">
        <f>IF($A27=0,"",VLOOKUP($A27,'00_MO'!$A$4:$D$7,2,FALSE))</f>
        <v>Capataz</v>
      </c>
      <c r="C27" s="74" t="str">
        <f>IF($A27=0,"",VLOOKUP($A27,'00_MO'!$A$4:$D$7,3,FALSE))</f>
        <v>u</v>
      </c>
      <c r="D27" s="171">
        <v>1.0</v>
      </c>
      <c r="E27" s="171">
        <v>1.0</v>
      </c>
      <c r="F27" s="173">
        <v>0.0</v>
      </c>
      <c r="G27" s="184">
        <f t="shared" ref="G27:G32" si="3">ROUNDUP(((D27*E27)*(1+F27)),0)</f>
        <v>1</v>
      </c>
      <c r="H27" s="120">
        <f>IF($A27=0,"",VLOOKUP($A27,'00_MO'!$A$4:$D$7,4,FALSE))</f>
        <v>50000</v>
      </c>
      <c r="I27" s="120">
        <f t="shared" ref="I27:I29" si="4">G27*H27</f>
        <v>50000</v>
      </c>
    </row>
    <row r="28" ht="14.25" customHeight="1">
      <c r="A28" s="183" t="s">
        <v>513</v>
      </c>
      <c r="B28" s="74" t="str">
        <f>IF($A28=0,"",VLOOKUP($A28,'00_MO'!$A$4:$D$7,2,FALSE))</f>
        <v>Oficial</v>
      </c>
      <c r="C28" s="74" t="str">
        <f>IF($A28=0,"",VLOOKUP($A28,'00_MO'!$A$4:$D$7,3,FALSE))</f>
        <v>u</v>
      </c>
      <c r="D28" s="171">
        <v>2.0</v>
      </c>
      <c r="E28" s="171">
        <v>1.0</v>
      </c>
      <c r="F28" s="173">
        <v>0.0</v>
      </c>
      <c r="G28" s="184">
        <f t="shared" si="3"/>
        <v>2</v>
      </c>
      <c r="H28" s="120">
        <f>IF($A28=0,"",VLOOKUP($A28,'00_MO'!$A$4:$D$7,4,FALSE))</f>
        <v>40000</v>
      </c>
      <c r="I28" s="120">
        <f t="shared" si="4"/>
        <v>80000</v>
      </c>
    </row>
    <row r="29" ht="14.25" customHeight="1">
      <c r="A29" s="183" t="s">
        <v>515</v>
      </c>
      <c r="B29" s="74" t="str">
        <f>IF($A29=0,"",VLOOKUP($A29,'00_MO'!$A$4:$D$7,2,FALSE))</f>
        <v>Ayudante</v>
      </c>
      <c r="C29" s="74" t="str">
        <f>IF($A29=0,"",VLOOKUP($A29,'00_MO'!$A$4:$D$7,3,FALSE))</f>
        <v>u</v>
      </c>
      <c r="D29" s="171">
        <v>2.0</v>
      </c>
      <c r="E29" s="171">
        <v>1.0</v>
      </c>
      <c r="F29" s="173">
        <v>0.0</v>
      </c>
      <c r="G29" s="184">
        <f t="shared" si="3"/>
        <v>2</v>
      </c>
      <c r="H29" s="120">
        <f>IF($A29=0,"",VLOOKUP($A29,'00_MO'!$A$4:$D$7,4,FALSE))</f>
        <v>30000</v>
      </c>
      <c r="I29" s="120">
        <f t="shared" si="4"/>
        <v>60000</v>
      </c>
    </row>
    <row r="30" ht="14.25" customHeight="1">
      <c r="A30" s="171"/>
      <c r="B30" s="74" t="str">
        <f>IF($A30=0,"",VLOOKUP($A30,'00_MO'!$A$4:$D$7,2,FALSE))</f>
        <v/>
      </c>
      <c r="C30" s="74" t="str">
        <f>IF($A30=0,"",VLOOKUP($A30,'00_MO'!$A$4:$D$7,3,FALSE))</f>
        <v/>
      </c>
      <c r="D30" s="171"/>
      <c r="E30" s="171"/>
      <c r="F30" s="173"/>
      <c r="G30" s="184">
        <f t="shared" si="3"/>
        <v>0</v>
      </c>
      <c r="H30" s="120" t="str">
        <f>IF($A30=0,"",VLOOKUP($A30,'00_MO'!$A$4:$D$7,4,FALSE))</f>
        <v/>
      </c>
      <c r="I30" s="120"/>
    </row>
    <row r="31" ht="14.25" customHeight="1">
      <c r="A31" s="171"/>
      <c r="B31" s="74" t="str">
        <f>IF($A31=0,"",VLOOKUP($A31,'00_MO'!$A$4:$D$7,2,FALSE))</f>
        <v/>
      </c>
      <c r="C31" s="74" t="str">
        <f>IF($A31=0,"",VLOOKUP($A31,'00_MO'!$A$4:$D$7,3,FALSE))</f>
        <v/>
      </c>
      <c r="D31" s="171"/>
      <c r="E31" s="171"/>
      <c r="F31" s="173"/>
      <c r="G31" s="184">
        <f t="shared" si="3"/>
        <v>0</v>
      </c>
      <c r="H31" s="120" t="str">
        <f>IF($A31=0,"",VLOOKUP($A31,'00_MO'!$A$4:$D$7,4,FALSE))</f>
        <v/>
      </c>
      <c r="I31" s="120"/>
    </row>
    <row r="32" ht="14.25" customHeight="1">
      <c r="A32" s="171"/>
      <c r="B32" s="74" t="str">
        <f>IF($A32=0,"",VLOOKUP($A32,'00_MO'!$A$4:$D$7,2,FALSE))</f>
        <v/>
      </c>
      <c r="C32" s="74" t="str">
        <f>IF($A32=0,"",VLOOKUP($A32,'00_MO'!$A$4:$D$7,3,FALSE))</f>
        <v/>
      </c>
      <c r="D32" s="171"/>
      <c r="E32" s="171"/>
      <c r="F32" s="173"/>
      <c r="G32" s="184">
        <f t="shared" si="3"/>
        <v>0</v>
      </c>
      <c r="H32" s="120" t="str">
        <f>IF($A32=0,"",VLOOKUP($A32,'00_MO'!$A$4:$D$7,4,FALSE))</f>
        <v/>
      </c>
      <c r="I32" s="120"/>
    </row>
    <row r="33" ht="14.25" customHeight="1">
      <c r="F33" s="126"/>
      <c r="G33" s="3"/>
      <c r="H33" s="120"/>
      <c r="I33" s="120"/>
    </row>
    <row r="34" ht="14.25" customHeight="1">
      <c r="A34" s="175" t="s">
        <v>717</v>
      </c>
      <c r="B34" s="176"/>
      <c r="C34" s="176"/>
      <c r="D34" s="176"/>
      <c r="E34" s="176"/>
      <c r="F34" s="176"/>
      <c r="G34" s="177"/>
      <c r="H34" s="176"/>
      <c r="I34" s="178">
        <f>SUM(I27:I32)</f>
        <v>190000</v>
      </c>
    </row>
    <row r="35" ht="14.25" customHeight="1">
      <c r="A35" s="179" t="str">
        <f>$I$3</f>
        <v>m²</v>
      </c>
      <c r="B35" s="180"/>
      <c r="C35" s="180"/>
      <c r="D35" s="180"/>
      <c r="E35" s="180"/>
      <c r="F35" s="180"/>
      <c r="G35" s="5"/>
      <c r="H35" s="180"/>
      <c r="I35" s="172">
        <f>$H$3</f>
        <v>27.3</v>
      </c>
      <c r="J35" s="74"/>
      <c r="K35" s="74"/>
      <c r="L35" s="74"/>
    </row>
    <row r="36" ht="14.25" customHeight="1">
      <c r="A36" s="181" t="s">
        <v>787</v>
      </c>
      <c r="B36" s="179" t="str">
        <f>A35</f>
        <v>m²</v>
      </c>
      <c r="C36" s="180"/>
      <c r="D36" s="180"/>
      <c r="E36" s="180"/>
      <c r="F36" s="180"/>
      <c r="G36" s="5"/>
      <c r="H36" s="180"/>
      <c r="I36" s="182">
        <f>I34/I35</f>
        <v>6959.70696</v>
      </c>
      <c r="J36" s="74"/>
      <c r="K36" s="74"/>
      <c r="L36" s="74"/>
    </row>
    <row r="37" ht="14.25" customHeight="1">
      <c r="G37" s="3"/>
    </row>
    <row r="38" ht="14.25" customHeight="1">
      <c r="G38" s="3"/>
    </row>
    <row r="39" ht="14.25" customHeight="1">
      <c r="A39" s="168" t="s">
        <v>790</v>
      </c>
      <c r="B39" s="76"/>
      <c r="C39" s="76"/>
      <c r="D39" s="76"/>
      <c r="E39" s="76"/>
      <c r="F39" s="76"/>
      <c r="G39" s="2"/>
      <c r="H39" s="76"/>
      <c r="I39" s="76"/>
    </row>
    <row r="40" ht="14.25" customHeight="1">
      <c r="A40" s="169" t="s">
        <v>778</v>
      </c>
      <c r="B40" s="169" t="s">
        <v>779</v>
      </c>
      <c r="C40" s="169" t="s">
        <v>780</v>
      </c>
      <c r="D40" s="169" t="s">
        <v>781</v>
      </c>
      <c r="E40" s="169" t="s">
        <v>789</v>
      </c>
      <c r="F40" s="169" t="s">
        <v>782</v>
      </c>
      <c r="G40" s="4" t="s">
        <v>783</v>
      </c>
      <c r="H40" s="169" t="s">
        <v>784</v>
      </c>
      <c r="I40" s="169" t="s">
        <v>785</v>
      </c>
    </row>
    <row r="41" ht="14.25" customHeight="1">
      <c r="A41" s="171"/>
      <c r="B41" s="74" t="str">
        <f>IF($A41=0,"",VLOOKUP($A41,'00_Eq'!$A$4:$D$101,2,FALSE))</f>
        <v/>
      </c>
      <c r="C41" s="74" t="str">
        <f>IF($A41=0,"",VLOOKUP($A41,'00_Eq'!$A$4:$D$101,3,FALSE))</f>
        <v/>
      </c>
      <c r="D41" s="171"/>
      <c r="E41" s="171"/>
      <c r="F41" s="173"/>
      <c r="G41" s="184">
        <f t="shared" ref="G41:G46" si="5">ROUNDUP(((D41*E41)*(1+F41)),0)</f>
        <v>0</v>
      </c>
      <c r="H41" s="120" t="str">
        <f>IF($A41=0,"",VLOOKUP($A41,'00_Eq'!$A$4:$D$101,4,FALSE))</f>
        <v/>
      </c>
      <c r="I41" s="120"/>
    </row>
    <row r="42" ht="14.25" customHeight="1">
      <c r="A42" s="171"/>
      <c r="B42" s="74" t="str">
        <f>IF($A42=0,"",VLOOKUP($A42,'00_Eq'!$A$4:$D$101,2,FALSE))</f>
        <v/>
      </c>
      <c r="C42" s="74" t="str">
        <f>IF($A42=0,"",VLOOKUP($A42,'00_Eq'!$A$4:$D$101,3,FALSE))</f>
        <v/>
      </c>
      <c r="D42" s="171"/>
      <c r="E42" s="171"/>
      <c r="F42" s="173"/>
      <c r="G42" s="184">
        <f t="shared" si="5"/>
        <v>0</v>
      </c>
      <c r="H42" s="120" t="str">
        <f>IF($A42=0,"",VLOOKUP($A42,'00_Eq'!$A$4:$D$101,4,FALSE))</f>
        <v/>
      </c>
      <c r="I42" s="120"/>
    </row>
    <row r="43" ht="14.25" customHeight="1">
      <c r="A43" s="171"/>
      <c r="B43" s="74" t="str">
        <f>IF($A43=0,"",VLOOKUP($A43,'00_Eq'!$A$4:$D$101,2,FALSE))</f>
        <v/>
      </c>
      <c r="C43" s="74" t="str">
        <f>IF($A43=0,"",VLOOKUP($A43,'00_Eq'!$A$4:$D$101,3,FALSE))</f>
        <v/>
      </c>
      <c r="D43" s="171"/>
      <c r="E43" s="171"/>
      <c r="F43" s="173"/>
      <c r="G43" s="184">
        <f t="shared" si="5"/>
        <v>0</v>
      </c>
      <c r="H43" s="120" t="str">
        <f>IF($A43=0,"",VLOOKUP($A43,'00_Eq'!$A$4:$D$101,4,FALSE))</f>
        <v/>
      </c>
      <c r="I43" s="120"/>
    </row>
    <row r="44" ht="14.25" customHeight="1">
      <c r="A44" s="171"/>
      <c r="B44" s="74" t="str">
        <f>IF($A44=0,"",VLOOKUP($A44,'00_Eq'!$A$4:$D$101,2,FALSE))</f>
        <v/>
      </c>
      <c r="C44" s="74" t="str">
        <f>IF($A44=0,"",VLOOKUP($A44,'00_Eq'!$A$4:$D$101,3,FALSE))</f>
        <v/>
      </c>
      <c r="D44" s="171"/>
      <c r="E44" s="171"/>
      <c r="F44" s="173"/>
      <c r="G44" s="184">
        <f t="shared" si="5"/>
        <v>0</v>
      </c>
      <c r="H44" s="120" t="str">
        <f>IF($A44=0,"",VLOOKUP($A44,'00_Eq'!$A$4:$D$101,4,FALSE))</f>
        <v/>
      </c>
      <c r="I44" s="120"/>
    </row>
    <row r="45" ht="14.25" customHeight="1">
      <c r="A45" s="171"/>
      <c r="B45" s="74" t="str">
        <f>IF($A45=0,"",VLOOKUP($A45,'00_Eq'!$A$4:$D$101,2,FALSE))</f>
        <v/>
      </c>
      <c r="C45" s="74" t="str">
        <f>IF($A45=0,"",VLOOKUP($A45,'00_Eq'!$A$4:$D$101,3,FALSE))</f>
        <v/>
      </c>
      <c r="D45" s="171"/>
      <c r="E45" s="171"/>
      <c r="F45" s="173"/>
      <c r="G45" s="184">
        <f t="shared" si="5"/>
        <v>0</v>
      </c>
      <c r="H45" s="120" t="str">
        <f>IF($A45=0,"",VLOOKUP($A45,'00_Eq'!$A$4:$D$101,4,FALSE))</f>
        <v/>
      </c>
      <c r="I45" s="120"/>
    </row>
    <row r="46" ht="14.25" customHeight="1">
      <c r="A46" s="171"/>
      <c r="B46" s="74" t="str">
        <f>IF($A46=0,"",VLOOKUP($A46,'00_Eq'!$A$4:$D$101,2,FALSE))</f>
        <v/>
      </c>
      <c r="C46" s="74" t="str">
        <f>IF($A46=0,"",VLOOKUP($A46,'00_Eq'!$A$4:$D$101,3,FALSE))</f>
        <v/>
      </c>
      <c r="D46" s="171"/>
      <c r="E46" s="171"/>
      <c r="F46" s="173"/>
      <c r="G46" s="184">
        <f t="shared" si="5"/>
        <v>0</v>
      </c>
      <c r="H46" s="120" t="str">
        <f>IF($A46=0,"",VLOOKUP($A46,'00_Eq'!$A$4:$D$101,4,FALSE))</f>
        <v/>
      </c>
      <c r="I46" s="120"/>
    </row>
    <row r="47" ht="14.25" customHeight="1">
      <c r="F47" s="126"/>
      <c r="G47" s="3"/>
      <c r="H47" s="120"/>
      <c r="I47" s="120"/>
    </row>
    <row r="48" ht="14.25" customHeight="1">
      <c r="A48" s="175" t="s">
        <v>717</v>
      </c>
      <c r="B48" s="176"/>
      <c r="C48" s="176"/>
      <c r="D48" s="176"/>
      <c r="E48" s="176"/>
      <c r="F48" s="176"/>
      <c r="G48" s="177"/>
      <c r="H48" s="176"/>
      <c r="I48" s="178">
        <f>SUM(I41:I46)</f>
        <v>0</v>
      </c>
    </row>
    <row r="49" ht="14.25" customHeight="1">
      <c r="A49" s="179" t="str">
        <f>$I$3</f>
        <v>m²</v>
      </c>
      <c r="B49" s="180"/>
      <c r="C49" s="180"/>
      <c r="D49" s="180"/>
      <c r="E49" s="180"/>
      <c r="F49" s="180"/>
      <c r="G49" s="5"/>
      <c r="H49" s="180"/>
      <c r="I49" s="172">
        <f>$H$3</f>
        <v>27.3</v>
      </c>
      <c r="J49" s="74"/>
      <c r="K49" s="74"/>
      <c r="L49" s="74"/>
    </row>
    <row r="50" ht="14.25" customHeight="1">
      <c r="A50" s="181" t="s">
        <v>787</v>
      </c>
      <c r="B50" s="179" t="str">
        <f>A49</f>
        <v>m²</v>
      </c>
      <c r="C50" s="180"/>
      <c r="D50" s="180"/>
      <c r="E50" s="180"/>
      <c r="F50" s="180"/>
      <c r="G50" s="5"/>
      <c r="H50" s="180"/>
      <c r="I50" s="182">
        <f>I48/I49</f>
        <v>0</v>
      </c>
      <c r="J50" s="74"/>
      <c r="K50" s="74"/>
      <c r="L50" s="74"/>
    </row>
    <row r="51" ht="14.25" customHeight="1">
      <c r="G51" s="3"/>
    </row>
    <row r="52" ht="14.25" customHeight="1">
      <c r="G52" s="3"/>
    </row>
    <row r="53" ht="14.25" customHeight="1">
      <c r="A53" s="168" t="s">
        <v>791</v>
      </c>
      <c r="B53" s="76"/>
      <c r="C53" s="76"/>
      <c r="D53" s="76"/>
      <c r="E53" s="76"/>
      <c r="F53" s="76"/>
      <c r="G53" s="2"/>
      <c r="H53" s="76"/>
      <c r="I53" s="76"/>
    </row>
    <row r="54" ht="14.25" customHeight="1">
      <c r="A54" s="169" t="s">
        <v>778</v>
      </c>
      <c r="B54" s="169" t="s">
        <v>779</v>
      </c>
      <c r="C54" s="169" t="s">
        <v>780</v>
      </c>
      <c r="D54" s="169" t="s">
        <v>781</v>
      </c>
      <c r="E54" s="169"/>
      <c r="F54" s="169" t="s">
        <v>782</v>
      </c>
      <c r="G54" s="4" t="s">
        <v>783</v>
      </c>
      <c r="H54" s="169" t="s">
        <v>784</v>
      </c>
      <c r="I54" s="169" t="s">
        <v>785</v>
      </c>
    </row>
    <row r="55" ht="14.25" customHeight="1">
      <c r="A55" s="171"/>
      <c r="B55" s="74" t="str">
        <f>IF($A55=0,"",VLOOKUP($A55,'00_Mat'!$A$4:$J$1136,2,FALSE))</f>
        <v/>
      </c>
      <c r="C55" s="74" t="str">
        <f>IF($A55=0,"",VLOOKUP($A55,'00_Mat'!$A$4:$J$1136,3,FALSE))</f>
        <v/>
      </c>
      <c r="D55" s="172"/>
      <c r="E55" s="171"/>
      <c r="F55" s="173"/>
      <c r="G55" s="174">
        <f t="shared" ref="G55:G60" si="6">ROUNDUP((D55+(D55*F55)),0)</f>
        <v>0</v>
      </c>
      <c r="H55" s="120" t="str">
        <f>IF($A55=0,"",VLOOKUP($A55,'00_Mat'!$A$4:$J$1136,5,FALSE))</f>
        <v/>
      </c>
      <c r="I55" s="120">
        <f>G55*H55</f>
        <v>0</v>
      </c>
    </row>
    <row r="56" ht="14.25" customHeight="1">
      <c r="A56" s="171"/>
      <c r="B56" s="74" t="str">
        <f>IF($A56=0,"",VLOOKUP($A56,'00_Mat'!$A$4:$J$1136,2,FALSE))</f>
        <v/>
      </c>
      <c r="C56" s="74" t="str">
        <f>IF($A56=0,"",VLOOKUP($A56,'00_Mat'!$A$4:$J$1136,3,FALSE))</f>
        <v/>
      </c>
      <c r="D56" s="172"/>
      <c r="E56" s="171"/>
      <c r="F56" s="173"/>
      <c r="G56" s="174">
        <f t="shared" si="6"/>
        <v>0</v>
      </c>
      <c r="H56" s="120" t="str">
        <f>IF($A56=0,"",VLOOKUP($A56,'00_Mat'!$A$4:$J$1136,5,FALSE))</f>
        <v/>
      </c>
      <c r="I56" s="120"/>
    </row>
    <row r="57" ht="14.25" customHeight="1">
      <c r="A57" s="171"/>
      <c r="B57" s="74" t="str">
        <f>IF($A57=0,"",VLOOKUP($A57,'00_Mat'!$A$4:$J$1136,2,FALSE))</f>
        <v/>
      </c>
      <c r="C57" s="74" t="str">
        <f>IF($A57=0,"",VLOOKUP($A57,'00_Mat'!$A$4:$J$1136,3,FALSE))</f>
        <v/>
      </c>
      <c r="D57" s="172"/>
      <c r="E57" s="171"/>
      <c r="F57" s="173"/>
      <c r="G57" s="174">
        <f t="shared" si="6"/>
        <v>0</v>
      </c>
      <c r="H57" s="120" t="str">
        <f>IF($A57=0,"",VLOOKUP($A57,'00_Mat'!$A$4:$J$1136,5,FALSE))</f>
        <v/>
      </c>
      <c r="I57" s="120"/>
    </row>
    <row r="58" ht="14.25" customHeight="1">
      <c r="A58" s="171"/>
      <c r="B58" s="74" t="str">
        <f>IF($A58=0,"",VLOOKUP($A58,'00_Mat'!$A$4:$J$1136,2,FALSE))</f>
        <v/>
      </c>
      <c r="C58" s="74" t="str">
        <f>IF($A58=0,"",VLOOKUP($A58,'00_Mat'!$A$4:$J$1136,3,FALSE))</f>
        <v/>
      </c>
      <c r="D58" s="172"/>
      <c r="E58" s="171"/>
      <c r="F58" s="173"/>
      <c r="G58" s="174">
        <f t="shared" si="6"/>
        <v>0</v>
      </c>
      <c r="H58" s="120" t="str">
        <f>IF($A58=0,"",VLOOKUP($A58,'00_Mat'!$A$4:$J$1136,5,FALSE))</f>
        <v/>
      </c>
      <c r="I58" s="120"/>
    </row>
    <row r="59" ht="14.25" customHeight="1">
      <c r="A59" s="171"/>
      <c r="B59" s="74" t="str">
        <f>IF($A59=0,"",VLOOKUP($A59,'00_Mat'!$A$4:$J$1136,2,FALSE))</f>
        <v/>
      </c>
      <c r="C59" s="74" t="str">
        <f>IF($A59=0,"",VLOOKUP($A59,'00_Mat'!$A$4:$J$1136,3,FALSE))</f>
        <v/>
      </c>
      <c r="D59" s="172"/>
      <c r="E59" s="171"/>
      <c r="F59" s="173"/>
      <c r="G59" s="174">
        <f t="shared" si="6"/>
        <v>0</v>
      </c>
      <c r="H59" s="120" t="str">
        <f>IF($A59=0,"",VLOOKUP($A59,'00_Mat'!$A$4:$J$1136,5,FALSE))</f>
        <v/>
      </c>
      <c r="I59" s="120"/>
    </row>
    <row r="60" ht="14.25" customHeight="1">
      <c r="A60" s="171"/>
      <c r="B60" s="74" t="str">
        <f>IF($A60=0,"",VLOOKUP($A60,'00_Mat'!$A$4:$J$1136,2,FALSE))</f>
        <v/>
      </c>
      <c r="C60" s="74" t="str">
        <f>IF($A60=0,"",VLOOKUP($A60,'00_Mat'!$A$4:$J$1136,3,FALSE))</f>
        <v/>
      </c>
      <c r="D60" s="172"/>
      <c r="E60" s="171"/>
      <c r="F60" s="173"/>
      <c r="G60" s="174">
        <f t="shared" si="6"/>
        <v>0</v>
      </c>
      <c r="H60" s="120" t="str">
        <f>IF($A60=0,"",VLOOKUP($A60,'00_Mat'!$A$4:$J$1136,5,FALSE))</f>
        <v/>
      </c>
      <c r="I60" s="120"/>
    </row>
    <row r="61" ht="14.25" customHeight="1">
      <c r="F61" s="126"/>
      <c r="G61" s="3"/>
      <c r="H61" s="120"/>
      <c r="I61" s="120"/>
    </row>
    <row r="62" ht="14.25" customHeight="1">
      <c r="A62" s="175" t="s">
        <v>717</v>
      </c>
      <c r="B62" s="176"/>
      <c r="C62" s="176"/>
      <c r="D62" s="176"/>
      <c r="E62" s="176"/>
      <c r="F62" s="176"/>
      <c r="G62" s="177"/>
      <c r="H62" s="176"/>
      <c r="I62" s="178">
        <f>SUM(I55:I60)</f>
        <v>0</v>
      </c>
    </row>
    <row r="63" ht="14.25" customHeight="1">
      <c r="A63" s="179" t="str">
        <f>$I$3</f>
        <v>m²</v>
      </c>
      <c r="B63" s="180"/>
      <c r="C63" s="180"/>
      <c r="D63" s="180"/>
      <c r="E63" s="180"/>
      <c r="F63" s="180"/>
      <c r="G63" s="5"/>
      <c r="H63" s="180"/>
      <c r="I63" s="172">
        <f>$H$3</f>
        <v>27.3</v>
      </c>
      <c r="J63" s="74"/>
      <c r="K63" s="74"/>
      <c r="L63" s="74"/>
    </row>
    <row r="64" ht="14.25" customHeight="1">
      <c r="A64" s="181" t="s">
        <v>787</v>
      </c>
      <c r="B64" s="179" t="str">
        <f>A63</f>
        <v>m²</v>
      </c>
      <c r="C64" s="180"/>
      <c r="D64" s="180"/>
      <c r="E64" s="180"/>
      <c r="F64" s="180"/>
      <c r="G64" s="5"/>
      <c r="H64" s="180"/>
      <c r="I64" s="182">
        <f>I62/I63</f>
        <v>0</v>
      </c>
      <c r="J64" s="74"/>
      <c r="K64" s="74"/>
      <c r="L64" s="74"/>
    </row>
    <row r="65" ht="14.25" customHeight="1">
      <c r="G65" s="3"/>
    </row>
    <row r="66" ht="14.25" customHeight="1">
      <c r="G66" s="3"/>
    </row>
    <row r="67" ht="14.25" customHeight="1">
      <c r="A67" s="168" t="s">
        <v>792</v>
      </c>
      <c r="B67" s="76"/>
      <c r="C67" s="76"/>
      <c r="D67" s="76"/>
      <c r="E67" s="76"/>
      <c r="F67" s="76"/>
      <c r="G67" s="2"/>
      <c r="H67" s="76"/>
      <c r="I67" s="76"/>
    </row>
    <row r="68" ht="14.25" customHeight="1">
      <c r="A68" s="169" t="s">
        <v>778</v>
      </c>
      <c r="B68" s="169" t="s">
        <v>779</v>
      </c>
      <c r="C68" s="169" t="s">
        <v>780</v>
      </c>
      <c r="D68" s="169" t="s">
        <v>781</v>
      </c>
      <c r="E68" s="169" t="s">
        <v>789</v>
      </c>
      <c r="F68" s="169" t="s">
        <v>782</v>
      </c>
      <c r="G68" s="4" t="s">
        <v>783</v>
      </c>
      <c r="H68" s="169" t="s">
        <v>784</v>
      </c>
      <c r="I68" s="169" t="s">
        <v>785</v>
      </c>
    </row>
    <row r="69" ht="14.25" customHeight="1">
      <c r="A69" s="171"/>
      <c r="B69" s="74" t="str">
        <f>IF($A69=0,"",VLOOKUP($A69,'00_Sub'!$A$4:$D$1001,2,FALSE))</f>
        <v/>
      </c>
      <c r="C69" s="74" t="str">
        <f>IF($A69=0,"",VLOOKUP($A69,'00_Sub'!$A$4:$D$1001,3,FALSE))</f>
        <v/>
      </c>
      <c r="D69" s="171"/>
      <c r="E69" s="171"/>
      <c r="F69" s="173"/>
      <c r="G69" s="174">
        <f t="shared" ref="G69:G74" si="7">ROUNDUP((D69+(D69*F69)),0)</f>
        <v>0</v>
      </c>
      <c r="H69" s="120" t="str">
        <f>IF($A69=0,"",VLOOKUP($A69,'00_Sub'!$A$4:$D$1001,4,FALSE))</f>
        <v/>
      </c>
      <c r="I69" s="120"/>
    </row>
    <row r="70" ht="14.25" customHeight="1">
      <c r="A70" s="171"/>
      <c r="B70" s="74" t="str">
        <f>IF($A70=0,"",VLOOKUP($A70,'00_Sub'!$A$4:$D$1001,2,FALSE))</f>
        <v/>
      </c>
      <c r="C70" s="74" t="str">
        <f>IF($A70=0,"",VLOOKUP($A70,'00_Sub'!$A$4:$D$1001,3,FALSE))</f>
        <v/>
      </c>
      <c r="D70" s="171"/>
      <c r="E70" s="171"/>
      <c r="F70" s="173"/>
      <c r="G70" s="174">
        <f t="shared" si="7"/>
        <v>0</v>
      </c>
      <c r="H70" s="120" t="str">
        <f>IF($A70=0,"",VLOOKUP($A70,'00_Sub'!$A$4:$D$1001,4,FALSE))</f>
        <v/>
      </c>
      <c r="I70" s="120"/>
    </row>
    <row r="71" ht="14.25" customHeight="1">
      <c r="A71" s="171"/>
      <c r="B71" s="74" t="str">
        <f>IF($A71=0,"",VLOOKUP($A71,'00_Sub'!$A$4:$D$1001,2,FALSE))</f>
        <v/>
      </c>
      <c r="C71" s="74" t="str">
        <f>IF($A71=0,"",VLOOKUP($A71,'00_Sub'!$A$4:$D$1001,3,FALSE))</f>
        <v/>
      </c>
      <c r="D71" s="171"/>
      <c r="E71" s="171"/>
      <c r="F71" s="173"/>
      <c r="G71" s="174">
        <f t="shared" si="7"/>
        <v>0</v>
      </c>
      <c r="H71" s="120" t="str">
        <f>IF($A71=0,"",VLOOKUP($A71,'00_Sub'!$A$4:$D$1001,4,FALSE))</f>
        <v/>
      </c>
      <c r="I71" s="120"/>
    </row>
    <row r="72" ht="14.25" customHeight="1">
      <c r="A72" s="171"/>
      <c r="B72" s="74" t="str">
        <f>IF($A72=0,"",VLOOKUP($A72,'00_Sub'!$A$4:$D$1001,2,FALSE))</f>
        <v/>
      </c>
      <c r="C72" s="74" t="str">
        <f>IF($A72=0,"",VLOOKUP($A72,'00_Sub'!$A$4:$D$1001,3,FALSE))</f>
        <v/>
      </c>
      <c r="D72" s="171"/>
      <c r="E72" s="171"/>
      <c r="F72" s="173"/>
      <c r="G72" s="174">
        <f t="shared" si="7"/>
        <v>0</v>
      </c>
      <c r="H72" s="120" t="str">
        <f>IF($A72=0,"",VLOOKUP($A72,'00_Sub'!$A$4:$D$1001,4,FALSE))</f>
        <v/>
      </c>
      <c r="I72" s="120"/>
    </row>
    <row r="73" ht="14.25" customHeight="1">
      <c r="A73" s="171"/>
      <c r="B73" s="74" t="str">
        <f>IF($A73=0,"",VLOOKUP($A73,'00_Sub'!$A$4:$D$1001,2,FALSE))</f>
        <v/>
      </c>
      <c r="C73" s="74" t="str">
        <f>IF($A73=0,"",VLOOKUP($A73,'00_Sub'!$A$4:$D$1001,3,FALSE))</f>
        <v/>
      </c>
      <c r="D73" s="171"/>
      <c r="E73" s="171"/>
      <c r="F73" s="173"/>
      <c r="G73" s="174">
        <f t="shared" si="7"/>
        <v>0</v>
      </c>
      <c r="H73" s="120" t="str">
        <f>IF($A73=0,"",VLOOKUP($A73,'00_Sub'!$A$4:$D$1001,4,FALSE))</f>
        <v/>
      </c>
      <c r="I73" s="120"/>
    </row>
    <row r="74" ht="14.25" customHeight="1">
      <c r="A74" s="171"/>
      <c r="B74" s="74" t="str">
        <f>IF($A74=0,"",VLOOKUP($A74,'00_Sub'!$A$4:$D$1001,2,FALSE))</f>
        <v/>
      </c>
      <c r="C74" s="74" t="str">
        <f>IF($A74=0,"",VLOOKUP($A74,'00_Sub'!$A$4:$D$1001,3,FALSE))</f>
        <v/>
      </c>
      <c r="D74" s="171"/>
      <c r="E74" s="171"/>
      <c r="F74" s="173"/>
      <c r="G74" s="174">
        <f t="shared" si="7"/>
        <v>0</v>
      </c>
      <c r="H74" s="120" t="str">
        <f>IF($A74=0,"",VLOOKUP($A74,'00_Sub'!$A$4:$D$1001,4,FALSE))</f>
        <v/>
      </c>
      <c r="I74" s="120"/>
    </row>
    <row r="75" ht="14.25" customHeight="1">
      <c r="F75" s="126"/>
      <c r="G75" s="3"/>
      <c r="H75" s="120"/>
      <c r="I75" s="120"/>
    </row>
    <row r="76" ht="14.25" customHeight="1">
      <c r="A76" s="175" t="s">
        <v>717</v>
      </c>
      <c r="B76" s="176"/>
      <c r="C76" s="176"/>
      <c r="D76" s="176"/>
      <c r="E76" s="176"/>
      <c r="F76" s="176"/>
      <c r="G76" s="177"/>
      <c r="H76" s="176"/>
      <c r="I76" s="178">
        <f>SUM(I69:I74)</f>
        <v>0</v>
      </c>
    </row>
    <row r="77" ht="14.25" customHeight="1">
      <c r="A77" s="179" t="str">
        <f>$I$3</f>
        <v>m²</v>
      </c>
      <c r="B77" s="180"/>
      <c r="C77" s="180"/>
      <c r="D77" s="180"/>
      <c r="E77" s="180"/>
      <c r="F77" s="180"/>
      <c r="G77" s="5"/>
      <c r="H77" s="180"/>
      <c r="I77" s="172">
        <f>$H$3</f>
        <v>27.3</v>
      </c>
      <c r="J77" s="74"/>
      <c r="K77" s="74"/>
      <c r="L77" s="74"/>
    </row>
    <row r="78" ht="14.25" customHeight="1">
      <c r="A78" s="181" t="s">
        <v>787</v>
      </c>
      <c r="B78" s="179" t="str">
        <f>A77</f>
        <v>m²</v>
      </c>
      <c r="C78" s="180"/>
      <c r="D78" s="180"/>
      <c r="E78" s="180"/>
      <c r="F78" s="180"/>
      <c r="G78" s="5"/>
      <c r="H78" s="180"/>
      <c r="I78" s="182">
        <f>I76/I77</f>
        <v>0</v>
      </c>
      <c r="J78" s="74"/>
      <c r="K78" s="74"/>
      <c r="L78" s="74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5.43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73" t="str">
        <f>'01_C&amp;P'!A1</f>
        <v>NOMBRE DE LA OBRA</v>
      </c>
      <c r="B1" s="73"/>
      <c r="C1" s="73"/>
      <c r="G1" s="3"/>
    </row>
    <row r="2" ht="14.25" customHeight="1">
      <c r="G2" s="3"/>
    </row>
    <row r="3" ht="23.25" customHeight="1">
      <c r="A3" s="162">
        <f>'01_C&amp;P'!A29</f>
        <v>45661</v>
      </c>
      <c r="B3" s="163" t="str">
        <f>IF($A3=0,"",VLOOKUP($A3,'01_C&amp;P'!$A$9:$D$91,2,FALSE))</f>
        <v>INSTALACION DE RIEGO. (Incluye manguera, abrazaderas, aspesrores)</v>
      </c>
      <c r="C3" s="164"/>
      <c r="D3" s="164"/>
      <c r="E3" s="164"/>
      <c r="F3" s="164"/>
      <c r="G3" s="165"/>
      <c r="H3" s="166">
        <f>IF($A3=0,"",VLOOKUP($A3,'01_C&amp;P'!$A$9:$D$91,4,FALSE))</f>
        <v>2060</v>
      </c>
      <c r="I3" s="167" t="str">
        <f>IF($A3=0,"",VLOOKUP($A3,'01_C&amp;P'!$A$9:$D$91,3,FALSE))</f>
        <v>m²</v>
      </c>
    </row>
    <row r="4" ht="14.25" customHeight="1">
      <c r="G4" s="3"/>
    </row>
    <row r="5" ht="14.25" customHeight="1">
      <c r="A5" s="168" t="s">
        <v>0</v>
      </c>
      <c r="B5" s="76"/>
      <c r="C5" s="76"/>
      <c r="D5" s="76"/>
      <c r="E5" s="76"/>
      <c r="F5" s="76"/>
      <c r="G5" s="2"/>
      <c r="H5" s="76"/>
      <c r="I5" s="76"/>
    </row>
    <row r="6" ht="14.25" customHeight="1">
      <c r="A6" s="169" t="s">
        <v>778</v>
      </c>
      <c r="B6" s="169" t="s">
        <v>779</v>
      </c>
      <c r="C6" s="169" t="s">
        <v>780</v>
      </c>
      <c r="D6" s="170" t="s">
        <v>781</v>
      </c>
      <c r="E6" s="164"/>
      <c r="F6" s="169" t="s">
        <v>782</v>
      </c>
      <c r="G6" s="4" t="s">
        <v>783</v>
      </c>
      <c r="H6" s="169" t="s">
        <v>784</v>
      </c>
      <c r="I6" s="169" t="s">
        <v>785</v>
      </c>
    </row>
    <row r="7" ht="14.25" customHeight="1">
      <c r="A7" s="171"/>
      <c r="B7" s="74" t="s">
        <v>813</v>
      </c>
      <c r="C7" s="74" t="str">
        <f>IF($A7=0,"",VLOOKUP($A7,'00_Mat'!$A$4:$J$1136,3,FALSE))</f>
        <v/>
      </c>
      <c r="D7" s="172">
        <f>H3</f>
        <v>2060</v>
      </c>
      <c r="E7" s="171"/>
      <c r="F7" s="173">
        <v>0.05</v>
      </c>
      <c r="G7" s="174">
        <f t="shared" ref="G7:G18" si="1">ROUNDUP((D7+(D7*F7)),0)</f>
        <v>2163</v>
      </c>
      <c r="H7" s="120">
        <v>1100.0</v>
      </c>
      <c r="I7" s="120">
        <f>G7*H7</f>
        <v>2379300</v>
      </c>
    </row>
    <row r="8" ht="14.25" customHeight="1">
      <c r="A8" s="171"/>
      <c r="B8" s="74" t="str">
        <f>IF($A8=0,"",VLOOKUP($A8,'00_Mat'!$A$4:$J$1136,2,FALSE))</f>
        <v/>
      </c>
      <c r="C8" s="74" t="str">
        <f>IF($A8=0,"",VLOOKUP($A8,'00_Mat'!$A$4:$J$1136,3,FALSE))</f>
        <v/>
      </c>
      <c r="D8" s="171"/>
      <c r="E8" s="171"/>
      <c r="F8" s="173"/>
      <c r="G8" s="174">
        <f t="shared" si="1"/>
        <v>0</v>
      </c>
      <c r="H8" s="120" t="str">
        <f>IF($A8=0,"",VLOOKUP($A8,'00_Mat'!$A$4:$J$1136,5,FALSE))</f>
        <v/>
      </c>
      <c r="I8" s="120"/>
      <c r="J8" s="127" t="s">
        <v>814</v>
      </c>
      <c r="K8" s="185" t="s">
        <v>815</v>
      </c>
    </row>
    <row r="9" ht="14.25" customHeight="1">
      <c r="A9" s="171"/>
      <c r="D9" s="171"/>
      <c r="E9" s="171"/>
      <c r="F9" s="173"/>
      <c r="G9" s="174">
        <f t="shared" si="1"/>
        <v>0</v>
      </c>
      <c r="H9" s="120"/>
      <c r="I9" s="120"/>
    </row>
    <row r="10" ht="14.25" customHeight="1">
      <c r="A10" s="171"/>
      <c r="B10" s="74" t="str">
        <f>IF($A10=0,"",VLOOKUP($A10,'00_Mat'!$A$4:$J$1136,2,FALSE))</f>
        <v/>
      </c>
      <c r="C10" s="74" t="str">
        <f>IF($A10=0,"",VLOOKUP($A10,'00_Mat'!$A$4:$J$1136,3,FALSE))</f>
        <v/>
      </c>
      <c r="D10" s="171"/>
      <c r="E10" s="171"/>
      <c r="F10" s="173"/>
      <c r="G10" s="174">
        <f t="shared" si="1"/>
        <v>0</v>
      </c>
      <c r="H10" s="120" t="str">
        <f>IF($A10=0,"",VLOOKUP($A10,'00_Mat'!$A$4:$J$1136,5,FALSE))</f>
        <v/>
      </c>
      <c r="I10" s="120"/>
    </row>
    <row r="11" ht="14.25" customHeight="1">
      <c r="A11" s="171"/>
      <c r="B11" s="74" t="str">
        <f>IF($A11=0,"",VLOOKUP($A11,'00_Mat'!$A$4:$J$1136,2,FALSE))</f>
        <v/>
      </c>
      <c r="C11" s="74" t="str">
        <f>IF($A11=0,"",VLOOKUP($A11,'00_Mat'!$A$4:$J$1136,3,FALSE))</f>
        <v/>
      </c>
      <c r="D11" s="171"/>
      <c r="E11" s="171"/>
      <c r="F11" s="173"/>
      <c r="G11" s="174">
        <f t="shared" si="1"/>
        <v>0</v>
      </c>
      <c r="H11" s="120" t="str">
        <f>IF($A11=0,"",VLOOKUP($A11,'00_Mat'!$A$4:$J$1136,5,FALSE))</f>
        <v/>
      </c>
      <c r="I11" s="120"/>
    </row>
    <row r="12" ht="14.25" customHeight="1">
      <c r="A12" s="171"/>
      <c r="B12" s="74" t="str">
        <f>IF($A12=0,"",VLOOKUP($A12,'00_Mat'!$A$4:$J$1136,2,FALSE))</f>
        <v/>
      </c>
      <c r="C12" s="74" t="str">
        <f>IF($A12=0,"",VLOOKUP($A12,'00_Mat'!$A$4:$J$1136,3,FALSE))</f>
        <v/>
      </c>
      <c r="D12" s="171"/>
      <c r="E12" s="171"/>
      <c r="F12" s="173"/>
      <c r="G12" s="174">
        <f t="shared" si="1"/>
        <v>0</v>
      </c>
      <c r="H12" s="120" t="str">
        <f>IF($A12=0,"",VLOOKUP($A12,'00_Mat'!$A$4:$J$1136,5,FALSE))</f>
        <v/>
      </c>
      <c r="I12" s="120"/>
    </row>
    <row r="13" ht="14.25" customHeight="1">
      <c r="A13" s="171"/>
      <c r="B13" s="74" t="str">
        <f>IF($A13=0,"",VLOOKUP($A13,'00_Mat'!$A$4:$J$1136,2,FALSE))</f>
        <v/>
      </c>
      <c r="C13" s="74" t="str">
        <f>IF($A13=0,"",VLOOKUP($A13,'00_Mat'!$A$4:$J$1136,3,FALSE))</f>
        <v/>
      </c>
      <c r="D13" s="171"/>
      <c r="E13" s="171"/>
      <c r="F13" s="173"/>
      <c r="G13" s="174">
        <f t="shared" si="1"/>
        <v>0</v>
      </c>
      <c r="H13" s="120" t="str">
        <f>IF($A13=0,"",VLOOKUP($A13,'00_Mat'!$A$4:$J$1136,5,FALSE))</f>
        <v/>
      </c>
      <c r="I13" s="120"/>
    </row>
    <row r="14" ht="14.25" customHeight="1">
      <c r="A14" s="171"/>
      <c r="B14" s="74" t="str">
        <f>IF($A14=0,"",VLOOKUP($A14,'00_Mat'!$A$4:$J$1136,2,FALSE))</f>
        <v/>
      </c>
      <c r="C14" s="74" t="str">
        <f>IF($A14=0,"",VLOOKUP($A14,'00_Mat'!$A$4:$J$1136,3,FALSE))</f>
        <v/>
      </c>
      <c r="D14" s="171"/>
      <c r="E14" s="171"/>
      <c r="F14" s="173"/>
      <c r="G14" s="174">
        <f t="shared" si="1"/>
        <v>0</v>
      </c>
      <c r="H14" s="120" t="str">
        <f>IF($A14=0,"",VLOOKUP($A14,'00_Mat'!$A$4:$J$1136,5,FALSE))</f>
        <v/>
      </c>
      <c r="I14" s="120"/>
    </row>
    <row r="15" ht="14.25" customHeight="1">
      <c r="A15" s="171"/>
      <c r="B15" s="74" t="str">
        <f>IF($A15=0,"",VLOOKUP($A15,'00_Mat'!$A$4:$J$1136,2,FALSE))</f>
        <v/>
      </c>
      <c r="C15" s="74" t="str">
        <f>IF($A15=0,"",VLOOKUP($A15,'00_Mat'!$A$4:$J$1136,3,FALSE))</f>
        <v/>
      </c>
      <c r="D15" s="171"/>
      <c r="E15" s="171"/>
      <c r="F15" s="173"/>
      <c r="G15" s="174">
        <f t="shared" si="1"/>
        <v>0</v>
      </c>
      <c r="H15" s="120" t="str">
        <f>IF($A15=0,"",VLOOKUP($A15,'00_Mat'!$A$4:$J$1136,5,FALSE))</f>
        <v/>
      </c>
      <c r="I15" s="120"/>
    </row>
    <row r="16" ht="14.25" customHeight="1">
      <c r="A16" s="171"/>
      <c r="B16" s="74" t="str">
        <f>IF($A16=0,"",VLOOKUP($A16,'00_Mat'!$A$4:$J$1136,2,FALSE))</f>
        <v/>
      </c>
      <c r="C16" s="74" t="str">
        <f>IF($A16=0,"",VLOOKUP($A16,'00_Mat'!$A$4:$J$1136,3,FALSE))</f>
        <v/>
      </c>
      <c r="D16" s="171"/>
      <c r="E16" s="171"/>
      <c r="F16" s="173"/>
      <c r="G16" s="174">
        <f t="shared" si="1"/>
        <v>0</v>
      </c>
      <c r="H16" s="120" t="str">
        <f>IF($A16=0,"",VLOOKUP($A16,'00_Mat'!$A$4:$J$1136,5,FALSE))</f>
        <v/>
      </c>
      <c r="I16" s="120"/>
    </row>
    <row r="17" ht="14.25" customHeight="1">
      <c r="A17" s="171"/>
      <c r="B17" s="74" t="str">
        <f>IF($A17=0,"",VLOOKUP($A17,'00_Mat'!$A$4:$J$1136,2,FALSE))</f>
        <v/>
      </c>
      <c r="C17" s="74" t="str">
        <f>IF($A17=0,"",VLOOKUP($A17,'00_Mat'!$A$4:$J$1136,3,FALSE))</f>
        <v/>
      </c>
      <c r="D17" s="171"/>
      <c r="E17" s="171"/>
      <c r="F17" s="173"/>
      <c r="G17" s="174">
        <f t="shared" si="1"/>
        <v>0</v>
      </c>
      <c r="H17" s="120" t="str">
        <f>IF($A17=0,"",VLOOKUP($A17,'00_Mat'!$A$4:$J$1136,5,FALSE))</f>
        <v/>
      </c>
      <c r="I17" s="120"/>
    </row>
    <row r="18" ht="14.25" customHeight="1">
      <c r="A18" s="171"/>
      <c r="B18" s="74" t="str">
        <f>IF($A18=0,"",VLOOKUP($A18,'00_Mat'!$A$4:$J$1136,2,FALSE))</f>
        <v/>
      </c>
      <c r="C18" s="74" t="str">
        <f>IF($A18=0,"",VLOOKUP($A18,'00_Mat'!$A$4:$J$1136,3,FALSE))</f>
        <v/>
      </c>
      <c r="D18" s="171"/>
      <c r="E18" s="171"/>
      <c r="F18" s="173"/>
      <c r="G18" s="174">
        <f t="shared" si="1"/>
        <v>0</v>
      </c>
      <c r="H18" s="120" t="str">
        <f>IF($A18=0,"",VLOOKUP($A18,'00_Mat'!$A$4:$J$1136,5,FALSE))</f>
        <v/>
      </c>
      <c r="I18" s="120"/>
    </row>
    <row r="19" ht="14.25" customHeight="1">
      <c r="F19" s="126"/>
      <c r="G19" s="3"/>
      <c r="H19" s="120"/>
      <c r="I19" s="120"/>
    </row>
    <row r="20" ht="14.25" customHeight="1">
      <c r="A20" s="175" t="s">
        <v>786</v>
      </c>
      <c r="B20" s="176"/>
      <c r="C20" s="176"/>
      <c r="D20" s="176"/>
      <c r="E20" s="176"/>
      <c r="F20" s="176"/>
      <c r="G20" s="177"/>
      <c r="H20" s="176"/>
      <c r="I20" s="178">
        <f>SUM(I7:I18)</f>
        <v>2379300</v>
      </c>
      <c r="J20" s="74"/>
      <c r="K20" s="74"/>
      <c r="L20" s="74"/>
    </row>
    <row r="21" ht="14.25" customHeight="1">
      <c r="A21" s="179" t="str">
        <f>$I$3</f>
        <v>m²</v>
      </c>
      <c r="B21" s="180"/>
      <c r="C21" s="180"/>
      <c r="D21" s="180"/>
      <c r="E21" s="180"/>
      <c r="F21" s="180"/>
      <c r="G21" s="5"/>
      <c r="H21" s="180"/>
      <c r="I21" s="172">
        <f>$H$3</f>
        <v>2060</v>
      </c>
      <c r="J21" s="74"/>
      <c r="K21" s="74"/>
      <c r="L21" s="74"/>
    </row>
    <row r="22" ht="14.25" customHeight="1">
      <c r="A22" s="181" t="s">
        <v>787</v>
      </c>
      <c r="B22" s="179" t="str">
        <f>A21</f>
        <v>m²</v>
      </c>
      <c r="C22" s="180"/>
      <c r="D22" s="180"/>
      <c r="E22" s="180"/>
      <c r="F22" s="180"/>
      <c r="G22" s="5"/>
      <c r="H22" s="180"/>
      <c r="I22" s="182">
        <f>I20/I21</f>
        <v>1155</v>
      </c>
      <c r="J22" s="74"/>
      <c r="K22" s="74"/>
      <c r="L22" s="74"/>
    </row>
    <row r="23" ht="14.25" customHeight="1">
      <c r="G23" s="3"/>
    </row>
    <row r="24" ht="14.25" customHeight="1">
      <c r="G24" s="3"/>
    </row>
    <row r="25" ht="14.25" customHeight="1">
      <c r="A25" s="168" t="s">
        <v>788</v>
      </c>
      <c r="B25" s="76"/>
      <c r="C25" s="76"/>
      <c r="D25" s="76"/>
      <c r="E25" s="76"/>
      <c r="F25" s="76"/>
      <c r="G25" s="2"/>
      <c r="H25" s="76"/>
      <c r="I25" s="76"/>
    </row>
    <row r="26" ht="14.25" customHeight="1">
      <c r="A26" s="169" t="s">
        <v>778</v>
      </c>
      <c r="B26" s="169" t="s">
        <v>779</v>
      </c>
      <c r="C26" s="169" t="s">
        <v>780</v>
      </c>
      <c r="D26" s="169" t="s">
        <v>781</v>
      </c>
      <c r="E26" s="169" t="s">
        <v>789</v>
      </c>
      <c r="F26" s="169" t="s">
        <v>782</v>
      </c>
      <c r="G26" s="4" t="s">
        <v>783</v>
      </c>
      <c r="H26" s="169" t="s">
        <v>784</v>
      </c>
      <c r="I26" s="169" t="s">
        <v>785</v>
      </c>
    </row>
    <row r="27" ht="14.25" customHeight="1">
      <c r="A27" s="171"/>
      <c r="B27" s="74" t="str">
        <f>IF($A27=0,"",VLOOKUP($A27,'00_MO'!$A$4:$D$7,2,FALSE))</f>
        <v/>
      </c>
      <c r="C27" s="74" t="str">
        <f>IF($A27=0,"",VLOOKUP($A27,'00_MO'!$A$4:$D$7,3,FALSE))</f>
        <v/>
      </c>
      <c r="D27" s="171"/>
      <c r="E27" s="171"/>
      <c r="F27" s="173"/>
      <c r="G27" s="184">
        <f t="shared" ref="G27:G32" si="2">ROUNDUP(((D27*E27)*(1+F27)),0)</f>
        <v>0</v>
      </c>
      <c r="H27" s="120" t="str">
        <f>IF($A27=0,"",VLOOKUP($A27,'00_MO'!$A$4:$D$7,4,FALSE))</f>
        <v/>
      </c>
      <c r="I27" s="120"/>
    </row>
    <row r="28" ht="14.25" customHeight="1">
      <c r="A28" s="171"/>
      <c r="B28" s="74" t="str">
        <f>IF($A28=0,"",VLOOKUP($A28,'00_MO'!$A$4:$D$7,2,FALSE))</f>
        <v/>
      </c>
      <c r="C28" s="74" t="str">
        <f>IF($A28=0,"",VLOOKUP($A28,'00_MO'!$A$4:$D$7,3,FALSE))</f>
        <v/>
      </c>
      <c r="D28" s="171"/>
      <c r="E28" s="171"/>
      <c r="F28" s="173"/>
      <c r="G28" s="184">
        <f t="shared" si="2"/>
        <v>0</v>
      </c>
      <c r="H28" s="120" t="str">
        <f>IF($A28=0,"",VLOOKUP($A28,'00_MO'!$A$4:$D$7,4,FALSE))</f>
        <v/>
      </c>
      <c r="I28" s="120"/>
    </row>
    <row r="29" ht="14.25" customHeight="1">
      <c r="A29" s="171"/>
      <c r="B29" s="74" t="str">
        <f>IF($A29=0,"",VLOOKUP($A29,'00_MO'!$A$4:$D$7,2,FALSE))</f>
        <v/>
      </c>
      <c r="C29" s="74" t="str">
        <f>IF($A29=0,"",VLOOKUP($A29,'00_MO'!$A$4:$D$7,3,FALSE))</f>
        <v/>
      </c>
      <c r="D29" s="171"/>
      <c r="E29" s="171"/>
      <c r="F29" s="173"/>
      <c r="G29" s="184">
        <f t="shared" si="2"/>
        <v>0</v>
      </c>
      <c r="H29" s="120" t="str">
        <f>IF($A29=0,"",VLOOKUP($A29,'00_MO'!$A$4:$D$7,4,FALSE))</f>
        <v/>
      </c>
      <c r="I29" s="120"/>
    </row>
    <row r="30" ht="14.25" customHeight="1">
      <c r="A30" s="171"/>
      <c r="B30" s="74" t="str">
        <f>IF($A30=0,"",VLOOKUP($A30,'00_MO'!$A$4:$D$7,2,FALSE))</f>
        <v/>
      </c>
      <c r="C30" s="74" t="str">
        <f>IF($A30=0,"",VLOOKUP($A30,'00_MO'!$A$4:$D$7,3,FALSE))</f>
        <v/>
      </c>
      <c r="D30" s="171"/>
      <c r="E30" s="171"/>
      <c r="F30" s="173"/>
      <c r="G30" s="184">
        <f t="shared" si="2"/>
        <v>0</v>
      </c>
      <c r="H30" s="120" t="str">
        <f>IF($A30=0,"",VLOOKUP($A30,'00_MO'!$A$4:$D$7,4,FALSE))</f>
        <v/>
      </c>
      <c r="I30" s="120"/>
    </row>
    <row r="31" ht="14.25" customHeight="1">
      <c r="A31" s="171"/>
      <c r="B31" s="74" t="str">
        <f>IF($A31=0,"",VLOOKUP($A31,'00_MO'!$A$4:$D$7,2,FALSE))</f>
        <v/>
      </c>
      <c r="C31" s="74" t="str">
        <f>IF($A31=0,"",VLOOKUP($A31,'00_MO'!$A$4:$D$7,3,FALSE))</f>
        <v/>
      </c>
      <c r="D31" s="171"/>
      <c r="E31" s="171"/>
      <c r="F31" s="173"/>
      <c r="G31" s="184">
        <f t="shared" si="2"/>
        <v>0</v>
      </c>
      <c r="H31" s="120" t="str">
        <f>IF($A31=0,"",VLOOKUP($A31,'00_MO'!$A$4:$D$7,4,FALSE))</f>
        <v/>
      </c>
      <c r="I31" s="120"/>
    </row>
    <row r="32" ht="14.25" customHeight="1">
      <c r="A32" s="171"/>
      <c r="B32" s="74" t="str">
        <f>IF($A32=0,"",VLOOKUP($A32,'00_MO'!$A$4:$D$7,2,FALSE))</f>
        <v/>
      </c>
      <c r="C32" s="74" t="str">
        <f>IF($A32=0,"",VLOOKUP($A32,'00_MO'!$A$4:$D$7,3,FALSE))</f>
        <v/>
      </c>
      <c r="D32" s="171"/>
      <c r="E32" s="171"/>
      <c r="F32" s="173"/>
      <c r="G32" s="184">
        <f t="shared" si="2"/>
        <v>0</v>
      </c>
      <c r="H32" s="120" t="str">
        <f>IF($A32=0,"",VLOOKUP($A32,'00_MO'!$A$4:$D$7,4,FALSE))</f>
        <v/>
      </c>
      <c r="I32" s="120"/>
    </row>
    <row r="33" ht="14.25" customHeight="1">
      <c r="F33" s="126"/>
      <c r="G33" s="3"/>
      <c r="H33" s="120"/>
      <c r="I33" s="120"/>
    </row>
    <row r="34" ht="14.25" customHeight="1">
      <c r="A34" s="175" t="s">
        <v>717</v>
      </c>
      <c r="B34" s="176"/>
      <c r="C34" s="176"/>
      <c r="D34" s="176"/>
      <c r="E34" s="176"/>
      <c r="F34" s="176"/>
      <c r="G34" s="177"/>
      <c r="H34" s="176"/>
      <c r="I34" s="178">
        <f>SUM(I27:I32)</f>
        <v>0</v>
      </c>
    </row>
    <row r="35" ht="14.25" customHeight="1">
      <c r="A35" s="179" t="str">
        <f>$I$3</f>
        <v>m²</v>
      </c>
      <c r="B35" s="180"/>
      <c r="C35" s="180"/>
      <c r="D35" s="180"/>
      <c r="E35" s="180"/>
      <c r="F35" s="180"/>
      <c r="G35" s="5"/>
      <c r="H35" s="180"/>
      <c r="I35" s="172">
        <f>$H$3</f>
        <v>2060</v>
      </c>
      <c r="J35" s="74"/>
      <c r="K35" s="74"/>
      <c r="L35" s="74"/>
    </row>
    <row r="36" ht="14.25" customHeight="1">
      <c r="A36" s="181" t="s">
        <v>787</v>
      </c>
      <c r="B36" s="179" t="str">
        <f>A35</f>
        <v>m²</v>
      </c>
      <c r="C36" s="180"/>
      <c r="D36" s="180"/>
      <c r="E36" s="180"/>
      <c r="F36" s="180"/>
      <c r="G36" s="5"/>
      <c r="H36" s="180"/>
      <c r="I36" s="182">
        <f>I34/I35</f>
        <v>0</v>
      </c>
      <c r="J36" s="74"/>
      <c r="K36" s="74"/>
      <c r="L36" s="74"/>
    </row>
    <row r="37" ht="14.25" customHeight="1">
      <c r="G37" s="3"/>
    </row>
    <row r="38" ht="14.25" customHeight="1">
      <c r="G38" s="3"/>
    </row>
    <row r="39" ht="14.25" customHeight="1">
      <c r="A39" s="168" t="s">
        <v>790</v>
      </c>
      <c r="B39" s="76"/>
      <c r="C39" s="76"/>
      <c r="D39" s="76"/>
      <c r="E39" s="76"/>
      <c r="F39" s="76"/>
      <c r="G39" s="2"/>
      <c r="H39" s="76"/>
      <c r="I39" s="76"/>
    </row>
    <row r="40" ht="14.25" customHeight="1">
      <c r="A40" s="169" t="s">
        <v>778</v>
      </c>
      <c r="B40" s="169" t="s">
        <v>779</v>
      </c>
      <c r="C40" s="169" t="s">
        <v>780</v>
      </c>
      <c r="D40" s="169" t="s">
        <v>781</v>
      </c>
      <c r="E40" s="169" t="s">
        <v>789</v>
      </c>
      <c r="F40" s="169" t="s">
        <v>782</v>
      </c>
      <c r="G40" s="4" t="s">
        <v>783</v>
      </c>
      <c r="H40" s="169" t="s">
        <v>784</v>
      </c>
      <c r="I40" s="169" t="s">
        <v>785</v>
      </c>
    </row>
    <row r="41" ht="14.25" customHeight="1">
      <c r="A41" s="171" t="s">
        <v>816</v>
      </c>
      <c r="B41" s="74" t="str">
        <f>IF($A41=0,"",VLOOKUP($A41,'00_MO'!$A$4:$D$8,2,FALSE))</f>
        <v>Gervacio</v>
      </c>
      <c r="C41" s="74" t="str">
        <f>IF($A41=0,"",VLOOKUP($A41,'00_MO'!$A$4:$D$8,2,FALSE))</f>
        <v>Gervacio</v>
      </c>
      <c r="D41" s="171"/>
      <c r="E41" s="171">
        <v>10.0</v>
      </c>
      <c r="F41" s="173"/>
      <c r="G41" s="184">
        <f t="shared" ref="G41:G46" si="3">ROUNDUP(((D41*E41)*(1+F41)),0)</f>
        <v>0</v>
      </c>
      <c r="H41" s="120">
        <f>IF($A41=0,"",VLOOKUP($A41,'00_MO'!$A$4:$D$8,4,FALSE))</f>
        <v>80000</v>
      </c>
      <c r="I41" s="120">
        <f t="shared" ref="I41:I42" si="4">G41*H41</f>
        <v>0</v>
      </c>
    </row>
    <row r="42" ht="14.25" customHeight="1">
      <c r="A42" s="183" t="s">
        <v>515</v>
      </c>
      <c r="B42" s="74" t="str">
        <f>IF($A42=0,"",VLOOKUP($A42,'00_MO'!$A$4:$D$8,2,FALSE))</f>
        <v>Ayudante</v>
      </c>
      <c r="C42" s="74" t="str">
        <f>IF($A42=0,"",VLOOKUP($A42,'00_MO'!$A$4:$D$8,2,FALSE))</f>
        <v>Ayudante</v>
      </c>
      <c r="D42" s="171"/>
      <c r="E42" s="171">
        <v>10.0</v>
      </c>
      <c r="F42" s="173"/>
      <c r="G42" s="184">
        <f t="shared" si="3"/>
        <v>0</v>
      </c>
      <c r="H42" s="120">
        <f>IF($A42=0,"",VLOOKUP($A42,'00_MO'!$A$4:$D$8,4,FALSE))</f>
        <v>30000</v>
      </c>
      <c r="I42" s="120">
        <f t="shared" si="4"/>
        <v>0</v>
      </c>
    </row>
    <row r="43" ht="14.25" customHeight="1">
      <c r="A43" s="171"/>
      <c r="B43" s="74" t="str">
        <f>IF($A43=0,"",VLOOKUP($A43,'00_MO'!$A$4:$D$8,2,FALSE))</f>
        <v/>
      </c>
      <c r="C43" s="74" t="str">
        <f>IF($A43=0,"",VLOOKUP($A43,'00_MO'!$A$4:$D$8,2,FALSE))</f>
        <v/>
      </c>
      <c r="D43" s="171"/>
      <c r="E43" s="171"/>
      <c r="F43" s="173"/>
      <c r="G43" s="184">
        <f t="shared" si="3"/>
        <v>0</v>
      </c>
      <c r="H43" s="120" t="str">
        <f>IF($A43=0,"",VLOOKUP($A43,'00_Eq'!$A$4:$D$6,4,FALSE))</f>
        <v/>
      </c>
      <c r="I43" s="120"/>
    </row>
    <row r="44" ht="14.25" customHeight="1">
      <c r="A44" s="171"/>
      <c r="B44" s="74" t="str">
        <f>IF($A44=0,"",VLOOKUP($A44,'00_MO'!$A$4:$D$8,2,FALSE))</f>
        <v/>
      </c>
      <c r="C44" s="74" t="str">
        <f>IF($A44=0,"",VLOOKUP($A44,'00_MO'!$A$4:$D$8,2,FALSE))</f>
        <v/>
      </c>
      <c r="D44" s="171"/>
      <c r="E44" s="171"/>
      <c r="F44" s="173"/>
      <c r="G44" s="184">
        <f t="shared" si="3"/>
        <v>0</v>
      </c>
      <c r="H44" s="120" t="str">
        <f>IF($A44=0,"",VLOOKUP($A44,'00_Eq'!$A$4:$D$6,4,FALSE))</f>
        <v/>
      </c>
      <c r="I44" s="120"/>
    </row>
    <row r="45" ht="14.25" customHeight="1">
      <c r="A45" s="171"/>
      <c r="B45" s="74" t="str">
        <f>IF($A45=0,"",VLOOKUP($A45,'00_MO'!$A$4:$D$8,2,FALSE))</f>
        <v/>
      </c>
      <c r="C45" s="74" t="str">
        <f>IF($A45=0,"",VLOOKUP($A45,'00_MO'!$A$4:$D$8,2,FALSE))</f>
        <v/>
      </c>
      <c r="D45" s="171"/>
      <c r="E45" s="171"/>
      <c r="F45" s="173"/>
      <c r="G45" s="184">
        <f t="shared" si="3"/>
        <v>0</v>
      </c>
      <c r="H45" s="120" t="str">
        <f>IF($A45=0,"",VLOOKUP($A45,'00_Eq'!$A$4:$D$6,4,FALSE))</f>
        <v/>
      </c>
      <c r="I45" s="120"/>
    </row>
    <row r="46" ht="14.25" customHeight="1">
      <c r="A46" s="171"/>
      <c r="B46" s="74" t="str">
        <f>IF($A46=0,"",VLOOKUP($A46,'00_Eq'!$A$4:$D$6,2,FALSE))</f>
        <v/>
      </c>
      <c r="C46" s="74" t="str">
        <f>IF($A46=0,"",VLOOKUP($A46,'00_Eq'!$A$4:$D$51,3,FALSE))</f>
        <v/>
      </c>
      <c r="D46" s="171"/>
      <c r="E46" s="171"/>
      <c r="F46" s="173"/>
      <c r="G46" s="184">
        <f t="shared" si="3"/>
        <v>0</v>
      </c>
      <c r="H46" s="120" t="str">
        <f>IF($A46=0,"",VLOOKUP($A46,'00_Eq'!$A$4:$D$6,4,FALSE))</f>
        <v/>
      </c>
      <c r="I46" s="120"/>
    </row>
    <row r="47" ht="14.25" customHeight="1">
      <c r="F47" s="126"/>
      <c r="G47" s="3"/>
      <c r="H47" s="120"/>
      <c r="I47" s="120"/>
    </row>
    <row r="48" ht="14.25" customHeight="1">
      <c r="A48" s="175" t="s">
        <v>717</v>
      </c>
      <c r="B48" s="176"/>
      <c r="C48" s="176"/>
      <c r="D48" s="176"/>
      <c r="E48" s="176"/>
      <c r="F48" s="176"/>
      <c r="G48" s="177"/>
      <c r="H48" s="176"/>
      <c r="I48" s="178">
        <f>SUM(I41:I46)</f>
        <v>0</v>
      </c>
    </row>
    <row r="49" ht="14.25" customHeight="1">
      <c r="A49" s="179" t="str">
        <f>$I$3</f>
        <v>m²</v>
      </c>
      <c r="B49" s="180"/>
      <c r="C49" s="180"/>
      <c r="D49" s="180"/>
      <c r="E49" s="180"/>
      <c r="F49" s="180"/>
      <c r="G49" s="5"/>
      <c r="H49" s="180"/>
      <c r="I49" s="172">
        <f>$H$3</f>
        <v>2060</v>
      </c>
      <c r="J49" s="74"/>
      <c r="K49" s="74"/>
      <c r="L49" s="74"/>
    </row>
    <row r="50" ht="14.25" customHeight="1">
      <c r="A50" s="181" t="s">
        <v>787</v>
      </c>
      <c r="B50" s="179" t="str">
        <f>A49</f>
        <v>m²</v>
      </c>
      <c r="C50" s="180"/>
      <c r="D50" s="180"/>
      <c r="E50" s="180"/>
      <c r="F50" s="180"/>
      <c r="G50" s="5"/>
      <c r="H50" s="180"/>
      <c r="I50" s="182">
        <f>I48/I49</f>
        <v>0</v>
      </c>
      <c r="J50" s="74"/>
      <c r="K50" s="74"/>
      <c r="L50" s="74"/>
    </row>
    <row r="51" ht="14.25" customHeight="1">
      <c r="G51" s="3"/>
    </row>
    <row r="52" ht="14.25" customHeight="1">
      <c r="G52" s="3"/>
    </row>
    <row r="53" ht="14.25" customHeight="1">
      <c r="A53" s="168" t="s">
        <v>791</v>
      </c>
      <c r="B53" s="76"/>
      <c r="C53" s="76"/>
      <c r="D53" s="76"/>
      <c r="E53" s="76"/>
      <c r="F53" s="76"/>
      <c r="G53" s="2"/>
      <c r="H53" s="76"/>
      <c r="I53" s="76"/>
    </row>
    <row r="54" ht="14.25" customHeight="1">
      <c r="A54" s="169" t="s">
        <v>778</v>
      </c>
      <c r="B54" s="169" t="s">
        <v>779</v>
      </c>
      <c r="C54" s="169" t="s">
        <v>780</v>
      </c>
      <c r="D54" s="169" t="s">
        <v>781</v>
      </c>
      <c r="E54" s="169"/>
      <c r="F54" s="169" t="s">
        <v>782</v>
      </c>
      <c r="G54" s="4" t="s">
        <v>783</v>
      </c>
      <c r="H54" s="169" t="s">
        <v>784</v>
      </c>
      <c r="I54" s="169" t="s">
        <v>785</v>
      </c>
    </row>
    <row r="55" ht="14.25" customHeight="1">
      <c r="A55" s="171"/>
      <c r="B55" s="74" t="str">
        <f>IF($A55=0,"",VLOOKUP($A55,'00_Mat'!$A$4:$J$1136,2,FALSE))</f>
        <v/>
      </c>
      <c r="C55" s="74" t="str">
        <f>IF($A55=0,"",VLOOKUP($A55,'00_Mat'!$A$4:$J$1136,3,FALSE))</f>
        <v/>
      </c>
      <c r="D55" s="172"/>
      <c r="E55" s="171"/>
      <c r="F55" s="173"/>
      <c r="G55" s="174">
        <f t="shared" ref="G55:G60" si="5">ROUNDUP((D55+(D55*F55)),0)</f>
        <v>0</v>
      </c>
      <c r="H55" s="120" t="str">
        <f>IF($A55=0,"",VLOOKUP($A55,'00_Mat'!$A$4:$J$1136,5,FALSE))</f>
        <v/>
      </c>
      <c r="I55" s="120"/>
    </row>
    <row r="56" ht="14.25" customHeight="1">
      <c r="A56" s="171"/>
      <c r="B56" s="74" t="str">
        <f>IF($A56=0,"",VLOOKUP($A56,'00_Mat'!$A$4:$J$1136,2,FALSE))</f>
        <v/>
      </c>
      <c r="C56" s="74" t="str">
        <f>IF($A56=0,"",VLOOKUP($A56,'00_Mat'!$A$4:$J$1136,3,FALSE))</f>
        <v/>
      </c>
      <c r="D56" s="172"/>
      <c r="E56" s="171"/>
      <c r="F56" s="173"/>
      <c r="G56" s="174">
        <f t="shared" si="5"/>
        <v>0</v>
      </c>
      <c r="H56" s="120" t="str">
        <f>IF($A56=0,"",VLOOKUP($A56,'00_Mat'!$A$4:$J$1136,5,FALSE))</f>
        <v/>
      </c>
      <c r="I56" s="120"/>
    </row>
    <row r="57" ht="14.25" customHeight="1">
      <c r="A57" s="171"/>
      <c r="B57" s="74" t="str">
        <f>IF($A57=0,"",VLOOKUP($A57,'00_Mat'!$A$4:$J$1136,2,FALSE))</f>
        <v/>
      </c>
      <c r="C57" s="74" t="str">
        <f>IF($A57=0,"",VLOOKUP($A57,'00_Mat'!$A$4:$J$1136,3,FALSE))</f>
        <v/>
      </c>
      <c r="D57" s="172"/>
      <c r="E57" s="171"/>
      <c r="F57" s="173"/>
      <c r="G57" s="174">
        <f t="shared" si="5"/>
        <v>0</v>
      </c>
      <c r="H57" s="120" t="str">
        <f>IF($A57=0,"",VLOOKUP($A57,'00_Mat'!$A$4:$J$1136,5,FALSE))</f>
        <v/>
      </c>
      <c r="I57" s="120"/>
    </row>
    <row r="58" ht="14.25" customHeight="1">
      <c r="A58" s="171"/>
      <c r="B58" s="74" t="str">
        <f>IF($A58=0,"",VLOOKUP($A58,'00_Mat'!$A$4:$J$1136,2,FALSE))</f>
        <v/>
      </c>
      <c r="C58" s="74" t="str">
        <f>IF($A58=0,"",VLOOKUP($A58,'00_Mat'!$A$4:$J$1136,3,FALSE))</f>
        <v/>
      </c>
      <c r="D58" s="172"/>
      <c r="E58" s="171"/>
      <c r="F58" s="173"/>
      <c r="G58" s="174">
        <f t="shared" si="5"/>
        <v>0</v>
      </c>
      <c r="H58" s="120" t="str">
        <f>IF($A58=0,"",VLOOKUP($A58,'00_Mat'!$A$4:$J$1136,5,FALSE))</f>
        <v/>
      </c>
      <c r="I58" s="120"/>
    </row>
    <row r="59" ht="14.25" customHeight="1">
      <c r="A59" s="171"/>
      <c r="B59" s="74" t="str">
        <f>IF($A59=0,"",VLOOKUP($A59,'00_Mat'!$A$4:$J$1136,2,FALSE))</f>
        <v/>
      </c>
      <c r="C59" s="74" t="str">
        <f>IF($A59=0,"",VLOOKUP($A59,'00_Mat'!$A$4:$J$1136,3,FALSE))</f>
        <v/>
      </c>
      <c r="D59" s="172"/>
      <c r="E59" s="171"/>
      <c r="F59" s="173"/>
      <c r="G59" s="174">
        <f t="shared" si="5"/>
        <v>0</v>
      </c>
      <c r="H59" s="120" t="str">
        <f>IF($A59=0,"",VLOOKUP($A59,'00_Mat'!$A$4:$J$1136,5,FALSE))</f>
        <v/>
      </c>
      <c r="I59" s="120"/>
    </row>
    <row r="60" ht="14.25" customHeight="1">
      <c r="A60" s="171"/>
      <c r="B60" s="74" t="str">
        <f>IF($A60=0,"",VLOOKUP($A60,'00_Mat'!$A$4:$J$1136,2,FALSE))</f>
        <v/>
      </c>
      <c r="C60" s="74" t="str">
        <f>IF($A60=0,"",VLOOKUP($A60,'00_Mat'!$A$4:$J$1136,3,FALSE))</f>
        <v/>
      </c>
      <c r="D60" s="172"/>
      <c r="E60" s="171"/>
      <c r="F60" s="173"/>
      <c r="G60" s="174">
        <f t="shared" si="5"/>
        <v>0</v>
      </c>
      <c r="H60" s="120" t="str">
        <f>IF($A60=0,"",VLOOKUP($A60,'00_Mat'!$A$4:$J$1136,5,FALSE))</f>
        <v/>
      </c>
      <c r="I60" s="120"/>
    </row>
    <row r="61" ht="14.25" customHeight="1">
      <c r="F61" s="126"/>
      <c r="G61" s="3"/>
      <c r="H61" s="120"/>
      <c r="I61" s="120"/>
    </row>
    <row r="62" ht="14.25" customHeight="1">
      <c r="A62" s="175" t="s">
        <v>717</v>
      </c>
      <c r="B62" s="176"/>
      <c r="C62" s="176"/>
      <c r="D62" s="176"/>
      <c r="E62" s="176"/>
      <c r="F62" s="176"/>
      <c r="G62" s="177"/>
      <c r="H62" s="176"/>
      <c r="I62" s="178">
        <f>SUM(I55:I60)</f>
        <v>0</v>
      </c>
    </row>
    <row r="63" ht="14.25" customHeight="1">
      <c r="A63" s="179" t="str">
        <f>$I$3</f>
        <v>m²</v>
      </c>
      <c r="B63" s="180"/>
      <c r="C63" s="180"/>
      <c r="D63" s="180"/>
      <c r="E63" s="180"/>
      <c r="F63" s="180"/>
      <c r="G63" s="5"/>
      <c r="H63" s="180"/>
      <c r="I63" s="172">
        <f>$H$3</f>
        <v>2060</v>
      </c>
      <c r="J63" s="74"/>
      <c r="K63" s="74"/>
      <c r="L63" s="74"/>
    </row>
    <row r="64" ht="14.25" customHeight="1">
      <c r="A64" s="181" t="s">
        <v>787</v>
      </c>
      <c r="B64" s="179" t="str">
        <f>A63</f>
        <v>m²</v>
      </c>
      <c r="C64" s="180"/>
      <c r="D64" s="180"/>
      <c r="E64" s="180"/>
      <c r="F64" s="180"/>
      <c r="G64" s="5"/>
      <c r="H64" s="180"/>
      <c r="I64" s="182">
        <f>I62/I63</f>
        <v>0</v>
      </c>
      <c r="J64" s="74"/>
      <c r="K64" s="74"/>
      <c r="L64" s="74"/>
    </row>
    <row r="65" ht="14.25" customHeight="1">
      <c r="G65" s="3"/>
    </row>
    <row r="66" ht="14.25" customHeight="1">
      <c r="G66" s="3"/>
    </row>
    <row r="67" ht="14.25" customHeight="1">
      <c r="A67" s="168" t="s">
        <v>792</v>
      </c>
      <c r="B67" s="76"/>
      <c r="C67" s="76"/>
      <c r="D67" s="76"/>
      <c r="E67" s="76"/>
      <c r="F67" s="76"/>
      <c r="G67" s="2"/>
      <c r="H67" s="76"/>
      <c r="I67" s="76"/>
    </row>
    <row r="68" ht="14.25" customHeight="1">
      <c r="A68" s="169" t="s">
        <v>778</v>
      </c>
      <c r="B68" s="169" t="s">
        <v>779</v>
      </c>
      <c r="C68" s="169" t="s">
        <v>780</v>
      </c>
      <c r="D68" s="169" t="s">
        <v>781</v>
      </c>
      <c r="E68" s="169" t="s">
        <v>789</v>
      </c>
      <c r="F68" s="169" t="s">
        <v>782</v>
      </c>
      <c r="G68" s="4" t="s">
        <v>783</v>
      </c>
      <c r="H68" s="169" t="s">
        <v>784</v>
      </c>
      <c r="I68" s="169" t="s">
        <v>785</v>
      </c>
    </row>
    <row r="69" ht="14.25" customHeight="1">
      <c r="A69" s="171"/>
      <c r="B69" s="74" t="s">
        <v>817</v>
      </c>
      <c r="C69" s="74" t="str">
        <f>IF($A69=0,"",VLOOKUP($A69,'00_Sub'!$A$4:$D$1001,3,FALSE))</f>
        <v/>
      </c>
      <c r="D69" s="172">
        <f>H3</f>
        <v>2060</v>
      </c>
      <c r="E69" s="171"/>
      <c r="F69" s="173">
        <v>0.0</v>
      </c>
      <c r="G69" s="174">
        <f t="shared" ref="G69:G74" si="6">ROUNDUP((D69+(D69*F69)),0)</f>
        <v>2060</v>
      </c>
      <c r="H69" s="120">
        <v>750.0</v>
      </c>
      <c r="I69" s="120">
        <f>H69*G69</f>
        <v>1545000</v>
      </c>
    </row>
    <row r="70" ht="14.25" customHeight="1">
      <c r="A70" s="171"/>
      <c r="B70" s="74" t="str">
        <f>IF($A70=0,"",VLOOKUP($A70,'00_Sub'!$A$4:$D$1001,2,FALSE))</f>
        <v/>
      </c>
      <c r="C70" s="74" t="str">
        <f>IF($A70=0,"",VLOOKUP($A70,'00_Sub'!$A$4:$D$1001,3,FALSE))</f>
        <v/>
      </c>
      <c r="D70" s="171"/>
      <c r="E70" s="171"/>
      <c r="F70" s="173"/>
      <c r="G70" s="174">
        <f t="shared" si="6"/>
        <v>0</v>
      </c>
      <c r="H70" s="120" t="str">
        <f>IF($A70=0,"",VLOOKUP($A70,'00_Sub'!$A$4:$D$1001,4,FALSE))</f>
        <v/>
      </c>
      <c r="I70" s="120"/>
    </row>
    <row r="71" ht="14.25" customHeight="1">
      <c r="A71" s="171"/>
      <c r="B71" s="74" t="str">
        <f>IF($A71=0,"",VLOOKUP($A71,'00_Sub'!$A$4:$D$1001,2,FALSE))</f>
        <v/>
      </c>
      <c r="C71" s="74" t="str">
        <f>IF($A71=0,"",VLOOKUP($A71,'00_Sub'!$A$4:$D$1001,3,FALSE))</f>
        <v/>
      </c>
      <c r="D71" s="171"/>
      <c r="E71" s="171"/>
      <c r="F71" s="173"/>
      <c r="G71" s="174">
        <f t="shared" si="6"/>
        <v>0</v>
      </c>
      <c r="H71" s="120" t="str">
        <f>IF($A71=0,"",VLOOKUP($A71,'00_Sub'!$A$4:$D$1001,4,FALSE))</f>
        <v/>
      </c>
      <c r="I71" s="120"/>
    </row>
    <row r="72" ht="14.25" customHeight="1">
      <c r="A72" s="171"/>
      <c r="B72" s="74" t="str">
        <f>IF($A72=0,"",VLOOKUP($A72,'00_Sub'!$A$4:$D$1001,2,FALSE))</f>
        <v/>
      </c>
      <c r="C72" s="74" t="str">
        <f>IF($A72=0,"",VLOOKUP($A72,'00_Sub'!$A$4:$D$1001,3,FALSE))</f>
        <v/>
      </c>
      <c r="D72" s="171"/>
      <c r="E72" s="171"/>
      <c r="F72" s="173"/>
      <c r="G72" s="174">
        <f t="shared" si="6"/>
        <v>0</v>
      </c>
      <c r="H72" s="120" t="str">
        <f>IF($A72=0,"",VLOOKUP($A72,'00_Sub'!$A$4:$D$1001,4,FALSE))</f>
        <v/>
      </c>
      <c r="I72" s="120"/>
    </row>
    <row r="73" ht="14.25" customHeight="1">
      <c r="A73" s="171"/>
      <c r="B73" s="74" t="str">
        <f>IF($A73=0,"",VLOOKUP($A73,'00_Sub'!$A$4:$D$1001,2,FALSE))</f>
        <v/>
      </c>
      <c r="C73" s="74" t="str">
        <f>IF($A73=0,"",VLOOKUP($A73,'00_Sub'!$A$4:$D$1001,3,FALSE))</f>
        <v/>
      </c>
      <c r="D73" s="171"/>
      <c r="E73" s="171"/>
      <c r="F73" s="173"/>
      <c r="G73" s="174">
        <f t="shared" si="6"/>
        <v>0</v>
      </c>
      <c r="H73" s="120" t="str">
        <f>IF($A73=0,"",VLOOKUP($A73,'00_Sub'!$A$4:$D$1001,4,FALSE))</f>
        <v/>
      </c>
      <c r="I73" s="120"/>
    </row>
    <row r="74" ht="14.25" customHeight="1">
      <c r="A74" s="171"/>
      <c r="B74" s="74" t="str">
        <f>IF($A74=0,"",VLOOKUP($A74,'00_Sub'!$A$4:$D$1001,2,FALSE))</f>
        <v/>
      </c>
      <c r="C74" s="74" t="str">
        <f>IF($A74=0,"",VLOOKUP($A74,'00_Sub'!$A$4:$D$1001,3,FALSE))</f>
        <v/>
      </c>
      <c r="D74" s="171"/>
      <c r="E74" s="171"/>
      <c r="F74" s="173"/>
      <c r="G74" s="174">
        <f t="shared" si="6"/>
        <v>0</v>
      </c>
      <c r="H74" s="120" t="str">
        <f>IF($A74=0,"",VLOOKUP($A74,'00_Sub'!$A$4:$D$1001,4,FALSE))</f>
        <v/>
      </c>
      <c r="I74" s="120"/>
    </row>
    <row r="75" ht="14.25" customHeight="1">
      <c r="F75" s="126"/>
      <c r="G75" s="3"/>
      <c r="H75" s="120"/>
      <c r="I75" s="120"/>
    </row>
    <row r="76" ht="14.25" customHeight="1">
      <c r="A76" s="175" t="s">
        <v>717</v>
      </c>
      <c r="B76" s="176"/>
      <c r="C76" s="176"/>
      <c r="D76" s="176"/>
      <c r="E76" s="176"/>
      <c r="F76" s="176"/>
      <c r="G76" s="177"/>
      <c r="H76" s="176"/>
      <c r="I76" s="178">
        <f>SUM(I69:I74)</f>
        <v>1545000</v>
      </c>
    </row>
    <row r="77" ht="14.25" customHeight="1">
      <c r="A77" s="179" t="str">
        <f>$I$3</f>
        <v>m²</v>
      </c>
      <c r="B77" s="180"/>
      <c r="C77" s="180"/>
      <c r="D77" s="180"/>
      <c r="E77" s="180"/>
      <c r="F77" s="180"/>
      <c r="G77" s="5"/>
      <c r="H77" s="180"/>
      <c r="I77" s="172">
        <f>$H$3</f>
        <v>2060</v>
      </c>
      <c r="J77" s="74"/>
      <c r="K77" s="74"/>
      <c r="L77" s="74"/>
    </row>
    <row r="78" ht="14.25" customHeight="1">
      <c r="A78" s="181" t="s">
        <v>787</v>
      </c>
      <c r="B78" s="179" t="str">
        <f>A77</f>
        <v>m²</v>
      </c>
      <c r="C78" s="180"/>
      <c r="D78" s="180"/>
      <c r="E78" s="180"/>
      <c r="F78" s="180"/>
      <c r="G78" s="5"/>
      <c r="H78" s="180"/>
      <c r="I78" s="182">
        <f>I76/I77</f>
        <v>750</v>
      </c>
      <c r="J78" s="74"/>
      <c r="K78" s="74"/>
      <c r="L78" s="74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5.43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73" t="str">
        <f>'01_C&amp;P'!A1</f>
        <v>NOMBRE DE LA OBRA</v>
      </c>
      <c r="B1" s="73"/>
      <c r="C1" s="73"/>
      <c r="G1" s="3"/>
    </row>
    <row r="2" ht="14.25" customHeight="1">
      <c r="G2" s="3"/>
    </row>
    <row r="3" ht="23.25" customHeight="1">
      <c r="A3" s="162" t="str">
        <f>'01_C&amp;P'!A30</f>
        <v>4.1-2</v>
      </c>
      <c r="B3" s="163" t="str">
        <f>IF($A3=0,"",VLOOKUP($A3,'01_C&amp;P'!$A$9:$D$91,2,FALSE))</f>
        <v>PERFORACION CON BOMBA DE RIEGO DE UN 1/2 CABALLO + CISTERNA DE 500 Lts</v>
      </c>
      <c r="C3" s="164"/>
      <c r="D3" s="164"/>
      <c r="E3" s="164"/>
      <c r="F3" s="164"/>
      <c r="G3" s="165"/>
      <c r="H3" s="166">
        <f>IF($A3=0,"",VLOOKUP($A3,'01_C&amp;P'!$A$9:$D$91,4,FALSE))</f>
        <v>1</v>
      </c>
      <c r="I3" s="167" t="str">
        <f>IF($A3=0,"",VLOOKUP($A3,'01_C&amp;P'!$A$9:$D$91,3,FALSE))</f>
        <v>gl</v>
      </c>
    </row>
    <row r="4" ht="14.25" customHeight="1">
      <c r="G4" s="3"/>
    </row>
    <row r="5" ht="14.25" customHeight="1">
      <c r="A5" s="168" t="s">
        <v>0</v>
      </c>
      <c r="B5" s="76"/>
      <c r="C5" s="76"/>
      <c r="D5" s="76"/>
      <c r="E5" s="76"/>
      <c r="F5" s="76"/>
      <c r="G5" s="2"/>
      <c r="H5" s="76"/>
      <c r="I5" s="76"/>
    </row>
    <row r="6" ht="14.25" customHeight="1">
      <c r="A6" s="169" t="s">
        <v>778</v>
      </c>
      <c r="B6" s="169" t="s">
        <v>779</v>
      </c>
      <c r="C6" s="169" t="s">
        <v>780</v>
      </c>
      <c r="D6" s="170" t="s">
        <v>781</v>
      </c>
      <c r="E6" s="164"/>
      <c r="F6" s="169" t="s">
        <v>782</v>
      </c>
      <c r="G6" s="4" t="s">
        <v>783</v>
      </c>
      <c r="H6" s="169" t="s">
        <v>784</v>
      </c>
      <c r="I6" s="169" t="s">
        <v>785</v>
      </c>
    </row>
    <row r="7" ht="14.25" customHeight="1">
      <c r="A7" s="171" t="s">
        <v>818</v>
      </c>
      <c r="B7" s="74" t="str">
        <f>IF($A7=0,"",VLOOKUP($A7,'00_Mat'!$A$4:$J$1136,2,FALSE))</f>
        <v>Hormigon H30</v>
      </c>
      <c r="C7" s="74" t="str">
        <f>IF($A7=0,"",VLOOKUP($A7,'00_Mat'!$A$4:$J$1136,3,FALSE))</f>
        <v>m3</v>
      </c>
      <c r="D7" s="171">
        <v>5.0</v>
      </c>
      <c r="E7" s="171"/>
      <c r="F7" s="173">
        <v>0.0</v>
      </c>
      <c r="G7" s="174">
        <f t="shared" ref="G7:G18" si="1">ROUNDUP((D7+(D7*F7)),0)</f>
        <v>5</v>
      </c>
      <c r="H7" s="120">
        <f>IF($A7=0,"",VLOOKUP($A7,'00_Mat'!$A$4:$J$1136,5,FALSE))</f>
        <v>125280</v>
      </c>
      <c r="I7" s="120">
        <f t="shared" ref="I7:I9" si="2">G7*H7</f>
        <v>626400</v>
      </c>
    </row>
    <row r="8" ht="14.25" customHeight="1">
      <c r="A8" s="171" t="s">
        <v>796</v>
      </c>
      <c r="B8" s="74" t="str">
        <f>IF($A8=0,"",VLOOKUP($A8,'00_Mat'!$A$4:$J$1136,2,FALSE))</f>
        <v>Malla Φ 5,5 (2 m x 5 m) (hierros cada 0,18 x 0,18 m) - menos de 50 u (u)</v>
      </c>
      <c r="C8" s="74" t="str">
        <f>IF($A8=0,"",VLOOKUP($A8,'00_Mat'!$A$4:$J$1136,3,FALSE))</f>
        <v>u</v>
      </c>
      <c r="D8" s="171">
        <v>4.0</v>
      </c>
      <c r="E8" s="171"/>
      <c r="F8" s="173">
        <v>0.0</v>
      </c>
      <c r="G8" s="174">
        <f t="shared" si="1"/>
        <v>4</v>
      </c>
      <c r="H8" s="120">
        <f>IF($A8=0,"",VLOOKUP($A8,'00_Mat'!$A$4:$J$1136,5,FALSE))</f>
        <v>34628.09917</v>
      </c>
      <c r="I8" s="120">
        <f t="shared" si="2"/>
        <v>138512.3967</v>
      </c>
      <c r="K8" s="185" t="s">
        <v>815</v>
      </c>
    </row>
    <row r="9" ht="14.25" customHeight="1">
      <c r="A9" s="171" t="s">
        <v>218</v>
      </c>
      <c r="B9" s="74" t="str">
        <f>IF($A9=0,"",VLOOKUP($A9,'00_Mat'!$A$4:$J$1136,2,FALSE))</f>
        <v>Tanque Cisterna Single Waterplast 400L dim 88 h 82</v>
      </c>
      <c r="C9" s="74" t="str">
        <f>IF($A9=0,"",VLOOKUP($A9,'00_Mat'!$A$4:$J$1136,3,FALSE))</f>
        <v/>
      </c>
      <c r="D9" s="171">
        <v>1.0</v>
      </c>
      <c r="E9" s="171"/>
      <c r="F9" s="173">
        <v>0.0</v>
      </c>
      <c r="G9" s="174">
        <f t="shared" si="1"/>
        <v>1</v>
      </c>
      <c r="H9" s="120">
        <f>IF($A9=0,"",VLOOKUP($A9,'00_Mat'!$A$4:$J$1136,5,FALSE))</f>
        <v>135607</v>
      </c>
      <c r="I9" s="120">
        <f t="shared" si="2"/>
        <v>135607</v>
      </c>
    </row>
    <row r="10" ht="14.25" customHeight="1">
      <c r="A10" s="171"/>
      <c r="B10" s="74" t="s">
        <v>819</v>
      </c>
      <c r="C10" s="74" t="str">
        <f>IF($A10=0,"",VLOOKUP($A10,'00_Mat'!$A$4:$J$1136,3,FALSE))</f>
        <v/>
      </c>
      <c r="D10" s="171"/>
      <c r="E10" s="171"/>
      <c r="F10" s="173"/>
      <c r="G10" s="174">
        <f t="shared" si="1"/>
        <v>0</v>
      </c>
      <c r="H10" s="120">
        <v>500000.0</v>
      </c>
      <c r="I10" s="120">
        <v>500000.0</v>
      </c>
    </row>
    <row r="11" ht="14.25" customHeight="1">
      <c r="A11" s="171"/>
      <c r="B11" s="74" t="str">
        <f>IF($A11=0,"",VLOOKUP($A11,'00_Mat'!$A$4:$J$1136,2,FALSE))</f>
        <v/>
      </c>
      <c r="C11" s="74" t="str">
        <f>IF($A11=0,"",VLOOKUP($A11,'00_Mat'!$A$4:$J$1136,3,FALSE))</f>
        <v/>
      </c>
      <c r="D11" s="171"/>
      <c r="E11" s="171"/>
      <c r="F11" s="173"/>
      <c r="G11" s="174">
        <f t="shared" si="1"/>
        <v>0</v>
      </c>
      <c r="H11" s="120" t="str">
        <f>IF($A11=0,"",VLOOKUP($A11,'00_Mat'!$A$4:$J$1136,5,FALSE))</f>
        <v/>
      </c>
      <c r="I11" s="120"/>
    </row>
    <row r="12" ht="14.25" customHeight="1">
      <c r="A12" s="171"/>
      <c r="B12" s="74" t="str">
        <f>IF($A12=0,"",VLOOKUP($A12,'00_Mat'!$A$4:$J$1136,2,FALSE))</f>
        <v/>
      </c>
      <c r="C12" s="74" t="str">
        <f>IF($A12=0,"",VLOOKUP($A12,'00_Mat'!$A$4:$J$1136,3,FALSE))</f>
        <v/>
      </c>
      <c r="D12" s="171"/>
      <c r="E12" s="171"/>
      <c r="F12" s="173"/>
      <c r="G12" s="174">
        <f t="shared" si="1"/>
        <v>0</v>
      </c>
      <c r="H12" s="120" t="str">
        <f>IF($A12=0,"",VLOOKUP($A12,'00_Mat'!$A$4:$J$1136,5,FALSE))</f>
        <v/>
      </c>
      <c r="I12" s="120"/>
    </row>
    <row r="13" ht="14.25" customHeight="1">
      <c r="A13" s="171"/>
      <c r="B13" s="74" t="str">
        <f>IF($A13=0,"",VLOOKUP($A13,'00_Mat'!$A$4:$J$1136,2,FALSE))</f>
        <v/>
      </c>
      <c r="C13" s="74" t="str">
        <f>IF($A13=0,"",VLOOKUP($A13,'00_Mat'!$A$4:$J$1136,3,FALSE))</f>
        <v/>
      </c>
      <c r="D13" s="171"/>
      <c r="E13" s="171"/>
      <c r="F13" s="173"/>
      <c r="G13" s="174">
        <f t="shared" si="1"/>
        <v>0</v>
      </c>
      <c r="H13" s="120" t="str">
        <f>IF($A13=0,"",VLOOKUP($A13,'00_Mat'!$A$4:$J$1136,5,FALSE))</f>
        <v/>
      </c>
      <c r="I13" s="120"/>
    </row>
    <row r="14" ht="14.25" customHeight="1">
      <c r="A14" s="171"/>
      <c r="B14" s="74" t="str">
        <f>IF($A14=0,"",VLOOKUP($A14,'00_Mat'!$A$4:$J$1136,2,FALSE))</f>
        <v/>
      </c>
      <c r="C14" s="74" t="str">
        <f>IF($A14=0,"",VLOOKUP($A14,'00_Mat'!$A$4:$J$1136,3,FALSE))</f>
        <v/>
      </c>
      <c r="D14" s="171"/>
      <c r="E14" s="171"/>
      <c r="F14" s="173"/>
      <c r="G14" s="174">
        <f t="shared" si="1"/>
        <v>0</v>
      </c>
      <c r="H14" s="120" t="str">
        <f>IF($A14=0,"",VLOOKUP($A14,'00_Mat'!$A$4:$J$1136,5,FALSE))</f>
        <v/>
      </c>
      <c r="I14" s="120"/>
    </row>
    <row r="15" ht="14.25" customHeight="1">
      <c r="A15" s="171"/>
      <c r="B15" s="74" t="str">
        <f>IF($A15=0,"",VLOOKUP($A15,'00_Mat'!$A$4:$J$1136,2,FALSE))</f>
        <v/>
      </c>
      <c r="C15" s="74" t="str">
        <f>IF($A15=0,"",VLOOKUP($A15,'00_Mat'!$A$4:$J$1136,3,FALSE))</f>
        <v/>
      </c>
      <c r="D15" s="171"/>
      <c r="E15" s="171"/>
      <c r="F15" s="173"/>
      <c r="G15" s="174">
        <f t="shared" si="1"/>
        <v>0</v>
      </c>
      <c r="H15" s="120" t="str">
        <f>IF($A15=0,"",VLOOKUP($A15,'00_Mat'!$A$4:$J$1136,5,FALSE))</f>
        <v/>
      </c>
      <c r="I15" s="120"/>
    </row>
    <row r="16" ht="14.25" customHeight="1">
      <c r="A16" s="171"/>
      <c r="B16" s="74" t="str">
        <f>IF($A16=0,"",VLOOKUP($A16,'00_Mat'!$A$4:$J$1136,2,FALSE))</f>
        <v/>
      </c>
      <c r="C16" s="74" t="str">
        <f>IF($A16=0,"",VLOOKUP($A16,'00_Mat'!$A$4:$J$1136,3,FALSE))</f>
        <v/>
      </c>
      <c r="D16" s="171"/>
      <c r="E16" s="171"/>
      <c r="F16" s="173"/>
      <c r="G16" s="174">
        <f t="shared" si="1"/>
        <v>0</v>
      </c>
      <c r="H16" s="120" t="str">
        <f>IF($A16=0,"",VLOOKUP($A16,'00_Mat'!$A$4:$J$1136,5,FALSE))</f>
        <v/>
      </c>
      <c r="I16" s="120"/>
    </row>
    <row r="17" ht="14.25" customHeight="1">
      <c r="A17" s="171"/>
      <c r="B17" s="74" t="str">
        <f>IF($A17=0,"",VLOOKUP($A17,'00_Mat'!$A$4:$J$1136,2,FALSE))</f>
        <v/>
      </c>
      <c r="C17" s="74" t="str">
        <f>IF($A17=0,"",VLOOKUP($A17,'00_Mat'!$A$4:$J$1136,3,FALSE))</f>
        <v/>
      </c>
      <c r="D17" s="171"/>
      <c r="E17" s="171"/>
      <c r="F17" s="173"/>
      <c r="G17" s="174">
        <f t="shared" si="1"/>
        <v>0</v>
      </c>
      <c r="H17" s="120" t="str">
        <f>IF($A17=0,"",VLOOKUP($A17,'00_Mat'!$A$4:$J$1136,5,FALSE))</f>
        <v/>
      </c>
      <c r="I17" s="120"/>
    </row>
    <row r="18" ht="14.25" customHeight="1">
      <c r="A18" s="171"/>
      <c r="B18" s="74" t="str">
        <f>IF($A18=0,"",VLOOKUP($A18,'00_Mat'!$A$4:$J$1136,2,FALSE))</f>
        <v/>
      </c>
      <c r="C18" s="74" t="str">
        <f>IF($A18=0,"",VLOOKUP($A18,'00_Mat'!$A$4:$J$1136,3,FALSE))</f>
        <v/>
      </c>
      <c r="D18" s="171"/>
      <c r="E18" s="171"/>
      <c r="F18" s="173"/>
      <c r="G18" s="174">
        <f t="shared" si="1"/>
        <v>0</v>
      </c>
      <c r="H18" s="120" t="str">
        <f>IF($A18=0,"",VLOOKUP($A18,'00_Mat'!$A$4:$J$1136,5,FALSE))</f>
        <v/>
      </c>
      <c r="I18" s="120"/>
    </row>
    <row r="19" ht="14.25" customHeight="1">
      <c r="F19" s="126"/>
      <c r="G19" s="3"/>
      <c r="H19" s="120"/>
      <c r="I19" s="120"/>
    </row>
    <row r="20" ht="14.25" customHeight="1">
      <c r="A20" s="175" t="s">
        <v>786</v>
      </c>
      <c r="B20" s="176"/>
      <c r="C20" s="176"/>
      <c r="D20" s="176"/>
      <c r="E20" s="176"/>
      <c r="F20" s="176"/>
      <c r="G20" s="177"/>
      <c r="H20" s="176"/>
      <c r="I20" s="178">
        <f>SUM(I7:I18)</f>
        <v>1400519.397</v>
      </c>
      <c r="J20" s="74"/>
      <c r="K20" s="74"/>
      <c r="L20" s="74"/>
    </row>
    <row r="21" ht="14.25" customHeight="1">
      <c r="A21" s="179" t="str">
        <f>$I$3</f>
        <v>gl</v>
      </c>
      <c r="B21" s="180"/>
      <c r="C21" s="180"/>
      <c r="D21" s="180"/>
      <c r="E21" s="180"/>
      <c r="F21" s="180"/>
      <c r="G21" s="5"/>
      <c r="H21" s="180"/>
      <c r="I21" s="172">
        <f>$H$3</f>
        <v>1</v>
      </c>
      <c r="J21" s="74"/>
      <c r="K21" s="74"/>
      <c r="L21" s="74"/>
    </row>
    <row r="22" ht="14.25" customHeight="1">
      <c r="A22" s="181" t="s">
        <v>787</v>
      </c>
      <c r="B22" s="179" t="str">
        <f>A21</f>
        <v>gl</v>
      </c>
      <c r="C22" s="180"/>
      <c r="D22" s="180"/>
      <c r="E22" s="180"/>
      <c r="F22" s="180"/>
      <c r="G22" s="5"/>
      <c r="H22" s="180"/>
      <c r="I22" s="182">
        <f>I20/I21</f>
        <v>1400519.397</v>
      </c>
      <c r="J22" s="74"/>
      <c r="K22" s="74"/>
      <c r="L22" s="74"/>
    </row>
    <row r="23" ht="14.25" customHeight="1">
      <c r="G23" s="3"/>
    </row>
    <row r="24" ht="14.25" customHeight="1">
      <c r="G24" s="3"/>
    </row>
    <row r="25" ht="14.25" customHeight="1">
      <c r="A25" s="168" t="s">
        <v>788</v>
      </c>
      <c r="B25" s="76"/>
      <c r="C25" s="76"/>
      <c r="D25" s="76"/>
      <c r="E25" s="76"/>
      <c r="F25" s="76"/>
      <c r="G25" s="2"/>
      <c r="H25" s="76"/>
      <c r="I25" s="76"/>
    </row>
    <row r="26" ht="14.25" customHeight="1">
      <c r="A26" s="169" t="s">
        <v>778</v>
      </c>
      <c r="B26" s="169" t="s">
        <v>779</v>
      </c>
      <c r="C26" s="169" t="s">
        <v>780</v>
      </c>
      <c r="D26" s="169" t="s">
        <v>781</v>
      </c>
      <c r="E26" s="169" t="s">
        <v>789</v>
      </c>
      <c r="F26" s="169" t="s">
        <v>782</v>
      </c>
      <c r="G26" s="4" t="s">
        <v>783</v>
      </c>
      <c r="H26" s="169" t="s">
        <v>784</v>
      </c>
      <c r="I26" s="169" t="s">
        <v>785</v>
      </c>
    </row>
    <row r="27" ht="14.25" customHeight="1">
      <c r="A27" s="171"/>
      <c r="B27" s="74" t="str">
        <f>IF($A27=0,"",VLOOKUP($A27,'00_MO'!$A$4:$D$7,2,FALSE))</f>
        <v/>
      </c>
      <c r="C27" s="74" t="str">
        <f>IF($A27=0,"",VLOOKUP($A27,'00_MO'!$A$4:$D$7,3,FALSE))</f>
        <v/>
      </c>
      <c r="D27" s="171"/>
      <c r="E27" s="171"/>
      <c r="F27" s="173"/>
      <c r="G27" s="184">
        <f t="shared" ref="G27:G32" si="3">ROUNDUP(((D27*E27)*(1+F27)),0)</f>
        <v>0</v>
      </c>
      <c r="H27" s="120" t="str">
        <f>IF($A27=0,"",VLOOKUP($A27,'00_MO'!$A$4:$D$7,4,FALSE))</f>
        <v/>
      </c>
      <c r="I27" s="120"/>
    </row>
    <row r="28" ht="14.25" customHeight="1">
      <c r="A28" s="171"/>
      <c r="B28" s="74" t="str">
        <f>IF($A28=0,"",VLOOKUP($A28,'00_MO'!$A$4:$D$7,2,FALSE))</f>
        <v/>
      </c>
      <c r="C28" s="74" t="str">
        <f>IF($A28=0,"",VLOOKUP($A28,'00_MO'!$A$4:$D$7,3,FALSE))</f>
        <v/>
      </c>
      <c r="D28" s="171"/>
      <c r="E28" s="171"/>
      <c r="F28" s="173"/>
      <c r="G28" s="184">
        <f t="shared" si="3"/>
        <v>0</v>
      </c>
      <c r="H28" s="120" t="str">
        <f>IF($A28=0,"",VLOOKUP($A28,'00_MO'!$A$4:$D$7,4,FALSE))</f>
        <v/>
      </c>
      <c r="I28" s="120"/>
    </row>
    <row r="29" ht="14.25" customHeight="1">
      <c r="A29" s="171"/>
      <c r="B29" s="74" t="str">
        <f>IF($A29=0,"",VLOOKUP($A29,'00_MO'!$A$4:$D$7,2,FALSE))</f>
        <v/>
      </c>
      <c r="C29" s="74" t="str">
        <f>IF($A29=0,"",VLOOKUP($A29,'00_MO'!$A$4:$D$7,3,FALSE))</f>
        <v/>
      </c>
      <c r="D29" s="171"/>
      <c r="E29" s="171"/>
      <c r="F29" s="173"/>
      <c r="G29" s="184">
        <f t="shared" si="3"/>
        <v>0</v>
      </c>
      <c r="H29" s="120" t="str">
        <f>IF($A29=0,"",VLOOKUP($A29,'00_MO'!$A$4:$D$7,4,FALSE))</f>
        <v/>
      </c>
      <c r="I29" s="120"/>
    </row>
    <row r="30" ht="14.25" customHeight="1">
      <c r="A30" s="171"/>
      <c r="B30" s="74" t="str">
        <f>IF($A30=0,"",VLOOKUP($A30,'00_MO'!$A$4:$D$7,2,FALSE))</f>
        <v/>
      </c>
      <c r="C30" s="74" t="str">
        <f>IF($A30=0,"",VLOOKUP($A30,'00_MO'!$A$4:$D$7,3,FALSE))</f>
        <v/>
      </c>
      <c r="D30" s="171"/>
      <c r="E30" s="171"/>
      <c r="F30" s="173"/>
      <c r="G30" s="184">
        <f t="shared" si="3"/>
        <v>0</v>
      </c>
      <c r="H30" s="120" t="str">
        <f>IF($A30=0,"",VLOOKUP($A30,'00_MO'!$A$4:$D$7,4,FALSE))</f>
        <v/>
      </c>
      <c r="I30" s="120"/>
    </row>
    <row r="31" ht="14.25" customHeight="1">
      <c r="A31" s="171"/>
      <c r="B31" s="74" t="str">
        <f>IF($A31=0,"",VLOOKUP($A31,'00_MO'!$A$4:$D$7,2,FALSE))</f>
        <v/>
      </c>
      <c r="C31" s="74" t="str">
        <f>IF($A31=0,"",VLOOKUP($A31,'00_MO'!$A$4:$D$7,3,FALSE))</f>
        <v/>
      </c>
      <c r="D31" s="171"/>
      <c r="E31" s="171"/>
      <c r="F31" s="173"/>
      <c r="G31" s="184">
        <f t="shared" si="3"/>
        <v>0</v>
      </c>
      <c r="H31" s="120" t="str">
        <f>IF($A31=0,"",VLOOKUP($A31,'00_MO'!$A$4:$D$7,4,FALSE))</f>
        <v/>
      </c>
      <c r="I31" s="120"/>
    </row>
    <row r="32" ht="14.25" customHeight="1">
      <c r="A32" s="171"/>
      <c r="B32" s="74" t="str">
        <f>IF($A32=0,"",VLOOKUP($A32,'00_MO'!$A$4:$D$7,2,FALSE))</f>
        <v/>
      </c>
      <c r="C32" s="74" t="str">
        <f>IF($A32=0,"",VLOOKUP($A32,'00_MO'!$A$4:$D$7,3,FALSE))</f>
        <v/>
      </c>
      <c r="D32" s="171"/>
      <c r="E32" s="171"/>
      <c r="F32" s="173"/>
      <c r="G32" s="184">
        <f t="shared" si="3"/>
        <v>0</v>
      </c>
      <c r="H32" s="120" t="str">
        <f>IF($A32=0,"",VLOOKUP($A32,'00_MO'!$A$4:$D$7,4,FALSE))</f>
        <v/>
      </c>
      <c r="I32" s="120"/>
    </row>
    <row r="33" ht="14.25" customHeight="1">
      <c r="F33" s="126"/>
      <c r="G33" s="3"/>
      <c r="H33" s="120"/>
      <c r="I33" s="120"/>
    </row>
    <row r="34" ht="14.25" customHeight="1">
      <c r="A34" s="175" t="s">
        <v>717</v>
      </c>
      <c r="B34" s="176"/>
      <c r="C34" s="176"/>
      <c r="D34" s="176"/>
      <c r="E34" s="176"/>
      <c r="F34" s="176"/>
      <c r="G34" s="177"/>
      <c r="H34" s="176"/>
      <c r="I34" s="178">
        <f>SUM(I27:I32)</f>
        <v>0</v>
      </c>
    </row>
    <row r="35" ht="14.25" customHeight="1">
      <c r="A35" s="179" t="str">
        <f>$I$3</f>
        <v>gl</v>
      </c>
      <c r="B35" s="180"/>
      <c r="C35" s="180"/>
      <c r="D35" s="180"/>
      <c r="E35" s="180"/>
      <c r="F35" s="180"/>
      <c r="G35" s="5"/>
      <c r="H35" s="180"/>
      <c r="I35" s="172">
        <f>$H$3</f>
        <v>1</v>
      </c>
      <c r="J35" s="74"/>
      <c r="K35" s="74"/>
      <c r="L35" s="74"/>
    </row>
    <row r="36" ht="14.25" customHeight="1">
      <c r="A36" s="181" t="s">
        <v>787</v>
      </c>
      <c r="B36" s="179" t="str">
        <f>A35</f>
        <v>gl</v>
      </c>
      <c r="C36" s="180"/>
      <c r="D36" s="180"/>
      <c r="E36" s="180"/>
      <c r="F36" s="180"/>
      <c r="G36" s="5"/>
      <c r="H36" s="180"/>
      <c r="I36" s="182">
        <f>I34/I35</f>
        <v>0</v>
      </c>
      <c r="J36" s="74"/>
      <c r="K36" s="74"/>
      <c r="L36" s="74"/>
    </row>
    <row r="37" ht="14.25" customHeight="1">
      <c r="G37" s="3"/>
    </row>
    <row r="38" ht="14.25" customHeight="1">
      <c r="G38" s="3"/>
    </row>
    <row r="39" ht="14.25" customHeight="1">
      <c r="A39" s="168" t="s">
        <v>790</v>
      </c>
      <c r="B39" s="76"/>
      <c r="C39" s="76"/>
      <c r="D39" s="76"/>
      <c r="E39" s="76"/>
      <c r="F39" s="76"/>
      <c r="G39" s="2"/>
      <c r="H39" s="76"/>
      <c r="I39" s="76"/>
    </row>
    <row r="40" ht="14.25" customHeight="1">
      <c r="A40" s="169" t="s">
        <v>778</v>
      </c>
      <c r="B40" s="169" t="s">
        <v>779</v>
      </c>
      <c r="C40" s="169" t="s">
        <v>780</v>
      </c>
      <c r="D40" s="169" t="s">
        <v>781</v>
      </c>
      <c r="E40" s="169" t="s">
        <v>789</v>
      </c>
      <c r="F40" s="169" t="s">
        <v>782</v>
      </c>
      <c r="G40" s="4" t="s">
        <v>783</v>
      </c>
      <c r="H40" s="169" t="s">
        <v>784</v>
      </c>
      <c r="I40" s="169" t="s">
        <v>785</v>
      </c>
    </row>
    <row r="41" ht="14.25" customHeight="1">
      <c r="A41" s="171" t="s">
        <v>816</v>
      </c>
      <c r="B41" s="74" t="str">
        <f>IF($A41=0,"",VLOOKUP($A41,'00_MO'!$A$4:$D$8,2,FALSE))</f>
        <v>Gervacio</v>
      </c>
      <c r="C41" s="74" t="str">
        <f>IF($A41=0,"",VLOOKUP($A41,'00_MO'!$A$4:$D$8,2,FALSE))</f>
        <v>Gervacio</v>
      </c>
      <c r="D41" s="171"/>
      <c r="E41" s="171">
        <v>10.0</v>
      </c>
      <c r="F41" s="173"/>
      <c r="G41" s="184">
        <f t="shared" ref="G41:G46" si="4">ROUNDUP(((D41*E41)*(1+F41)),0)</f>
        <v>0</v>
      </c>
      <c r="H41" s="120">
        <f>IF($A41=0,"",VLOOKUP($A41,'00_MO'!$A$4:$D$8,4,FALSE))</f>
        <v>80000</v>
      </c>
      <c r="I41" s="120">
        <f t="shared" ref="I41:I42" si="5">G41*H41</f>
        <v>0</v>
      </c>
    </row>
    <row r="42" ht="14.25" customHeight="1">
      <c r="A42" s="183" t="s">
        <v>515</v>
      </c>
      <c r="B42" s="74" t="str">
        <f>IF($A42=0,"",VLOOKUP($A42,'00_MO'!$A$4:$D$8,2,FALSE))</f>
        <v>Ayudante</v>
      </c>
      <c r="C42" s="74" t="str">
        <f>IF($A42=0,"",VLOOKUP($A42,'00_MO'!$A$4:$D$8,2,FALSE))</f>
        <v>Ayudante</v>
      </c>
      <c r="D42" s="171"/>
      <c r="E42" s="171">
        <v>10.0</v>
      </c>
      <c r="F42" s="173"/>
      <c r="G42" s="184">
        <f t="shared" si="4"/>
        <v>0</v>
      </c>
      <c r="H42" s="120">
        <f>IF($A42=0,"",VLOOKUP($A42,'00_MO'!$A$4:$D$8,4,FALSE))</f>
        <v>30000</v>
      </c>
      <c r="I42" s="120">
        <f t="shared" si="5"/>
        <v>0</v>
      </c>
    </row>
    <row r="43" ht="14.25" customHeight="1">
      <c r="A43" s="171"/>
      <c r="B43" s="74" t="str">
        <f>IF($A43=0,"",VLOOKUP($A43,'00_MO'!$A$4:$D$8,2,FALSE))</f>
        <v/>
      </c>
      <c r="C43" s="74" t="str">
        <f>IF($A43=0,"",VLOOKUP($A43,'00_MO'!$A$4:$D$8,2,FALSE))</f>
        <v/>
      </c>
      <c r="D43" s="171"/>
      <c r="E43" s="171"/>
      <c r="F43" s="173"/>
      <c r="G43" s="184">
        <f t="shared" si="4"/>
        <v>0</v>
      </c>
      <c r="H43" s="120" t="str">
        <f>IF($A43=0,"",VLOOKUP($A43,'00_Eq'!$A$4:$D$6,4,FALSE))</f>
        <v/>
      </c>
      <c r="I43" s="120"/>
    </row>
    <row r="44" ht="14.25" customHeight="1">
      <c r="A44" s="171"/>
      <c r="B44" s="74" t="str">
        <f>IF($A44=0,"",VLOOKUP($A44,'00_MO'!$A$4:$D$8,2,FALSE))</f>
        <v/>
      </c>
      <c r="C44" s="74" t="str">
        <f>IF($A44=0,"",VLOOKUP($A44,'00_MO'!$A$4:$D$8,2,FALSE))</f>
        <v/>
      </c>
      <c r="D44" s="171"/>
      <c r="E44" s="171"/>
      <c r="F44" s="173"/>
      <c r="G44" s="184">
        <f t="shared" si="4"/>
        <v>0</v>
      </c>
      <c r="H44" s="120" t="str">
        <f>IF($A44=0,"",VLOOKUP($A44,'00_Eq'!$A$4:$D$6,4,FALSE))</f>
        <v/>
      </c>
      <c r="I44" s="120"/>
    </row>
    <row r="45" ht="14.25" customHeight="1">
      <c r="A45" s="171"/>
      <c r="B45" s="74" t="str">
        <f>IF($A45=0,"",VLOOKUP($A45,'00_MO'!$A$4:$D$8,2,FALSE))</f>
        <v/>
      </c>
      <c r="C45" s="74" t="str">
        <f>IF($A45=0,"",VLOOKUP($A45,'00_MO'!$A$4:$D$8,2,FALSE))</f>
        <v/>
      </c>
      <c r="D45" s="171"/>
      <c r="E45" s="171"/>
      <c r="F45" s="173"/>
      <c r="G45" s="184">
        <f t="shared" si="4"/>
        <v>0</v>
      </c>
      <c r="H45" s="120" t="str">
        <f>IF($A45=0,"",VLOOKUP($A45,'00_Eq'!$A$4:$D$6,4,FALSE))</f>
        <v/>
      </c>
      <c r="I45" s="120"/>
    </row>
    <row r="46" ht="14.25" customHeight="1">
      <c r="A46" s="171"/>
      <c r="B46" s="74" t="str">
        <f>IF($A46=0,"",VLOOKUP($A46,'00_Eq'!$A$4:$D$6,2,FALSE))</f>
        <v/>
      </c>
      <c r="C46" s="74" t="str">
        <f>IF($A46=0,"",VLOOKUP($A46,'00_Eq'!$A$4:$D$51,3,FALSE))</f>
        <v/>
      </c>
      <c r="D46" s="171"/>
      <c r="E46" s="171"/>
      <c r="F46" s="173"/>
      <c r="G46" s="184">
        <f t="shared" si="4"/>
        <v>0</v>
      </c>
      <c r="H46" s="120" t="str">
        <f>IF($A46=0,"",VLOOKUP($A46,'00_Eq'!$A$4:$D$6,4,FALSE))</f>
        <v/>
      </c>
      <c r="I46" s="120"/>
    </row>
    <row r="47" ht="14.25" customHeight="1">
      <c r="F47" s="126"/>
      <c r="G47" s="3"/>
      <c r="H47" s="120"/>
      <c r="I47" s="120"/>
    </row>
    <row r="48" ht="14.25" customHeight="1">
      <c r="A48" s="175" t="s">
        <v>717</v>
      </c>
      <c r="B48" s="176"/>
      <c r="C48" s="176"/>
      <c r="D48" s="176"/>
      <c r="E48" s="176"/>
      <c r="F48" s="176"/>
      <c r="G48" s="177"/>
      <c r="H48" s="176"/>
      <c r="I48" s="178">
        <f>SUM(I41:I46)</f>
        <v>0</v>
      </c>
    </row>
    <row r="49" ht="14.25" customHeight="1">
      <c r="A49" s="179" t="str">
        <f>$I$3</f>
        <v>gl</v>
      </c>
      <c r="B49" s="180"/>
      <c r="C49" s="180"/>
      <c r="D49" s="180"/>
      <c r="E49" s="180"/>
      <c r="F49" s="180"/>
      <c r="G49" s="5"/>
      <c r="H49" s="180"/>
      <c r="I49" s="172">
        <f>$H$3</f>
        <v>1</v>
      </c>
      <c r="J49" s="74"/>
      <c r="K49" s="74"/>
      <c r="L49" s="74"/>
    </row>
    <row r="50" ht="14.25" customHeight="1">
      <c r="A50" s="181" t="s">
        <v>787</v>
      </c>
      <c r="B50" s="179" t="str">
        <f>A49</f>
        <v>gl</v>
      </c>
      <c r="C50" s="180"/>
      <c r="D50" s="180"/>
      <c r="E50" s="180"/>
      <c r="F50" s="180"/>
      <c r="G50" s="5"/>
      <c r="H50" s="180"/>
      <c r="I50" s="182">
        <f>I48/I49</f>
        <v>0</v>
      </c>
      <c r="J50" s="74"/>
      <c r="K50" s="74"/>
      <c r="L50" s="74"/>
    </row>
    <row r="51" ht="14.25" customHeight="1">
      <c r="G51" s="3"/>
    </row>
    <row r="52" ht="14.25" customHeight="1">
      <c r="G52" s="3"/>
    </row>
    <row r="53" ht="14.25" customHeight="1">
      <c r="A53" s="168" t="s">
        <v>791</v>
      </c>
      <c r="B53" s="76"/>
      <c r="C53" s="76"/>
      <c r="D53" s="76"/>
      <c r="E53" s="76"/>
      <c r="F53" s="76"/>
      <c r="G53" s="2"/>
      <c r="H53" s="76"/>
      <c r="I53" s="76"/>
    </row>
    <row r="54" ht="14.25" customHeight="1">
      <c r="A54" s="169" t="s">
        <v>778</v>
      </c>
      <c r="B54" s="169" t="s">
        <v>779</v>
      </c>
      <c r="C54" s="169" t="s">
        <v>780</v>
      </c>
      <c r="D54" s="169" t="s">
        <v>781</v>
      </c>
      <c r="E54" s="169"/>
      <c r="F54" s="169" t="s">
        <v>782</v>
      </c>
      <c r="G54" s="4" t="s">
        <v>783</v>
      </c>
      <c r="H54" s="169" t="s">
        <v>784</v>
      </c>
      <c r="I54" s="169" t="s">
        <v>785</v>
      </c>
    </row>
    <row r="55" ht="14.25" customHeight="1">
      <c r="A55" s="171"/>
      <c r="B55" s="74" t="str">
        <f>IF($A55=0,"",VLOOKUP($A55,'00_Mat'!$A$4:$J$1136,2,FALSE))</f>
        <v/>
      </c>
      <c r="C55" s="74" t="str">
        <f>IF($A55=0,"",VLOOKUP($A55,'00_Mat'!$A$4:$J$1136,3,FALSE))</f>
        <v/>
      </c>
      <c r="D55" s="172"/>
      <c r="E55" s="171"/>
      <c r="F55" s="173"/>
      <c r="G55" s="174">
        <f t="shared" ref="G55:G60" si="6">ROUNDUP((D55+(D55*F55)),0)</f>
        <v>0</v>
      </c>
      <c r="H55" s="120" t="str">
        <f>IF($A55=0,"",VLOOKUP($A55,'00_Mat'!$A$4:$J$1136,5,FALSE))</f>
        <v/>
      </c>
      <c r="I55" s="120"/>
    </row>
    <row r="56" ht="14.25" customHeight="1">
      <c r="A56" s="171"/>
      <c r="B56" s="74" t="str">
        <f>IF($A56=0,"",VLOOKUP($A56,'00_Mat'!$A$4:$J$1136,2,FALSE))</f>
        <v/>
      </c>
      <c r="C56" s="74" t="str">
        <f>IF($A56=0,"",VLOOKUP($A56,'00_Mat'!$A$4:$J$1136,3,FALSE))</f>
        <v/>
      </c>
      <c r="D56" s="172"/>
      <c r="E56" s="171"/>
      <c r="F56" s="173"/>
      <c r="G56" s="174">
        <f t="shared" si="6"/>
        <v>0</v>
      </c>
      <c r="H56" s="120" t="str">
        <f>IF($A56=0,"",VLOOKUP($A56,'00_Mat'!$A$4:$J$1136,5,FALSE))</f>
        <v/>
      </c>
      <c r="I56" s="120"/>
    </row>
    <row r="57" ht="14.25" customHeight="1">
      <c r="A57" s="171"/>
      <c r="B57" s="74" t="str">
        <f>IF($A57=0,"",VLOOKUP($A57,'00_Mat'!$A$4:$J$1136,2,FALSE))</f>
        <v/>
      </c>
      <c r="C57" s="74" t="str">
        <f>IF($A57=0,"",VLOOKUP($A57,'00_Mat'!$A$4:$J$1136,3,FALSE))</f>
        <v/>
      </c>
      <c r="D57" s="172"/>
      <c r="E57" s="171"/>
      <c r="F57" s="173"/>
      <c r="G57" s="174">
        <f t="shared" si="6"/>
        <v>0</v>
      </c>
      <c r="H57" s="120" t="str">
        <f>IF($A57=0,"",VLOOKUP($A57,'00_Mat'!$A$4:$J$1136,5,FALSE))</f>
        <v/>
      </c>
      <c r="I57" s="120"/>
    </row>
    <row r="58" ht="14.25" customHeight="1">
      <c r="A58" s="171"/>
      <c r="B58" s="74" t="str">
        <f>IF($A58=0,"",VLOOKUP($A58,'00_Mat'!$A$4:$J$1136,2,FALSE))</f>
        <v/>
      </c>
      <c r="C58" s="74" t="str">
        <f>IF($A58=0,"",VLOOKUP($A58,'00_Mat'!$A$4:$J$1136,3,FALSE))</f>
        <v/>
      </c>
      <c r="D58" s="172"/>
      <c r="E58" s="171"/>
      <c r="F58" s="173"/>
      <c r="G58" s="174">
        <f t="shared" si="6"/>
        <v>0</v>
      </c>
      <c r="H58" s="120" t="str">
        <f>IF($A58=0,"",VLOOKUP($A58,'00_Mat'!$A$4:$J$1136,5,FALSE))</f>
        <v/>
      </c>
      <c r="I58" s="120"/>
    </row>
    <row r="59" ht="14.25" customHeight="1">
      <c r="A59" s="171"/>
      <c r="B59" s="74" t="str">
        <f>IF($A59=0,"",VLOOKUP($A59,'00_Mat'!$A$4:$J$1136,2,FALSE))</f>
        <v/>
      </c>
      <c r="C59" s="74" t="str">
        <f>IF($A59=0,"",VLOOKUP($A59,'00_Mat'!$A$4:$J$1136,3,FALSE))</f>
        <v/>
      </c>
      <c r="D59" s="172"/>
      <c r="E59" s="171"/>
      <c r="F59" s="173"/>
      <c r="G59" s="174">
        <f t="shared" si="6"/>
        <v>0</v>
      </c>
      <c r="H59" s="120" t="str">
        <f>IF($A59=0,"",VLOOKUP($A59,'00_Mat'!$A$4:$J$1136,5,FALSE))</f>
        <v/>
      </c>
      <c r="I59" s="120"/>
    </row>
    <row r="60" ht="14.25" customHeight="1">
      <c r="A60" s="171"/>
      <c r="B60" s="74" t="str">
        <f>IF($A60=0,"",VLOOKUP($A60,'00_Mat'!$A$4:$J$1136,2,FALSE))</f>
        <v/>
      </c>
      <c r="C60" s="74" t="str">
        <f>IF($A60=0,"",VLOOKUP($A60,'00_Mat'!$A$4:$J$1136,3,FALSE))</f>
        <v/>
      </c>
      <c r="D60" s="172"/>
      <c r="E60" s="171"/>
      <c r="F60" s="173"/>
      <c r="G60" s="174">
        <f t="shared" si="6"/>
        <v>0</v>
      </c>
      <c r="H60" s="120" t="str">
        <f>IF($A60=0,"",VLOOKUP($A60,'00_Mat'!$A$4:$J$1136,5,FALSE))</f>
        <v/>
      </c>
      <c r="I60" s="120"/>
    </row>
    <row r="61" ht="14.25" customHeight="1">
      <c r="F61" s="126"/>
      <c r="G61" s="3"/>
      <c r="H61" s="120"/>
      <c r="I61" s="120"/>
    </row>
    <row r="62" ht="14.25" customHeight="1">
      <c r="A62" s="175" t="s">
        <v>717</v>
      </c>
      <c r="B62" s="176"/>
      <c r="C62" s="176"/>
      <c r="D62" s="176"/>
      <c r="E62" s="176"/>
      <c r="F62" s="176"/>
      <c r="G62" s="177"/>
      <c r="H62" s="176"/>
      <c r="I62" s="178">
        <f>SUM(I55:I60)</f>
        <v>0</v>
      </c>
    </row>
    <row r="63" ht="14.25" customHeight="1">
      <c r="A63" s="179" t="str">
        <f>$I$3</f>
        <v>gl</v>
      </c>
      <c r="B63" s="180"/>
      <c r="C63" s="180"/>
      <c r="D63" s="180"/>
      <c r="E63" s="180"/>
      <c r="F63" s="180"/>
      <c r="G63" s="5"/>
      <c r="H63" s="180"/>
      <c r="I63" s="172">
        <f>$H$3</f>
        <v>1</v>
      </c>
      <c r="J63" s="74"/>
      <c r="K63" s="74"/>
      <c r="L63" s="74"/>
    </row>
    <row r="64" ht="14.25" customHeight="1">
      <c r="A64" s="181" t="s">
        <v>787</v>
      </c>
      <c r="B64" s="179" t="str">
        <f>A63</f>
        <v>gl</v>
      </c>
      <c r="C64" s="180"/>
      <c r="D64" s="180"/>
      <c r="E64" s="180"/>
      <c r="F64" s="180"/>
      <c r="G64" s="5"/>
      <c r="H64" s="180"/>
      <c r="I64" s="182">
        <f>I62/I63</f>
        <v>0</v>
      </c>
      <c r="J64" s="74"/>
      <c r="K64" s="74"/>
      <c r="L64" s="74"/>
    </row>
    <row r="65" ht="14.25" customHeight="1">
      <c r="G65" s="3"/>
    </row>
    <row r="66" ht="14.25" customHeight="1">
      <c r="G66" s="3"/>
    </row>
    <row r="67" ht="14.25" customHeight="1">
      <c r="A67" s="168" t="s">
        <v>792</v>
      </c>
      <c r="B67" s="76"/>
      <c r="C67" s="76"/>
      <c r="D67" s="76"/>
      <c r="E67" s="76"/>
      <c r="F67" s="76"/>
      <c r="G67" s="2"/>
      <c r="H67" s="76"/>
      <c r="I67" s="76"/>
    </row>
    <row r="68" ht="14.25" customHeight="1">
      <c r="A68" s="169" t="s">
        <v>778</v>
      </c>
      <c r="B68" s="169" t="s">
        <v>779</v>
      </c>
      <c r="C68" s="169" t="s">
        <v>780</v>
      </c>
      <c r="D68" s="169" t="s">
        <v>781</v>
      </c>
      <c r="E68" s="169" t="s">
        <v>789</v>
      </c>
      <c r="F68" s="169" t="s">
        <v>782</v>
      </c>
      <c r="G68" s="4" t="s">
        <v>783</v>
      </c>
      <c r="H68" s="169" t="s">
        <v>784</v>
      </c>
      <c r="I68" s="169" t="s">
        <v>785</v>
      </c>
    </row>
    <row r="69" ht="14.25" customHeight="1">
      <c r="A69" s="3" t="s">
        <v>625</v>
      </c>
      <c r="B69" s="74" t="str">
        <f>IF($A69=0,"",VLOOKUP($A69,'00_Sub'!$A$4:$D$1001,2,FALSE))</f>
        <v>Perforacion  para bobas de 7.5 HP de 17m3/h materiales y mo</v>
      </c>
      <c r="C69" s="74" t="str">
        <f>IF($A69=0,"",VLOOKUP($A69,'00_Sub'!$A$4:$D$1001,3,FALSE))</f>
        <v/>
      </c>
      <c r="D69" s="171">
        <v>1.0</v>
      </c>
      <c r="E69" s="171"/>
      <c r="F69" s="173"/>
      <c r="G69" s="174">
        <f t="shared" ref="G69:G74" si="7">ROUNDUP((D69+(D69*F69)),0)</f>
        <v>1</v>
      </c>
      <c r="H69" s="120">
        <f>IF($A69=0,"",VLOOKUP($A69,'00_Sub'!$A$4:$D$1001,4,FALSE))</f>
        <v>2800000</v>
      </c>
      <c r="I69" s="120">
        <f>G69*H69</f>
        <v>2800000</v>
      </c>
    </row>
    <row r="70" ht="14.25" customHeight="1">
      <c r="A70" s="171"/>
      <c r="B70" s="74" t="str">
        <f>IF($A70=0,"",VLOOKUP($A70,'00_Sub'!$A$4:$D$1001,2,FALSE))</f>
        <v/>
      </c>
      <c r="C70" s="74" t="str">
        <f>IF($A70=0,"",VLOOKUP($A70,'00_Sub'!$A$4:$D$1001,3,FALSE))</f>
        <v/>
      </c>
      <c r="D70" s="171"/>
      <c r="E70" s="171"/>
      <c r="F70" s="173"/>
      <c r="G70" s="174">
        <f t="shared" si="7"/>
        <v>0</v>
      </c>
      <c r="H70" s="120" t="str">
        <f>IF($A70=0,"",VLOOKUP($A70,'00_Sub'!$A$4:$D$1001,4,FALSE))</f>
        <v/>
      </c>
      <c r="I70" s="120"/>
    </row>
    <row r="71" ht="14.25" customHeight="1">
      <c r="A71" s="171"/>
      <c r="B71" s="74" t="str">
        <f>IF($A71=0,"",VLOOKUP($A71,'00_Sub'!$A$4:$D$1001,2,FALSE))</f>
        <v/>
      </c>
      <c r="C71" s="74" t="str">
        <f>IF($A71=0,"",VLOOKUP($A71,'00_Sub'!$A$4:$D$1001,3,FALSE))</f>
        <v/>
      </c>
      <c r="D71" s="171"/>
      <c r="E71" s="171"/>
      <c r="F71" s="173"/>
      <c r="G71" s="174">
        <f t="shared" si="7"/>
        <v>0</v>
      </c>
      <c r="H71" s="120" t="str">
        <f>IF($A71=0,"",VLOOKUP($A71,'00_Sub'!$A$4:$D$1001,4,FALSE))</f>
        <v/>
      </c>
      <c r="I71" s="120"/>
    </row>
    <row r="72" ht="14.25" customHeight="1">
      <c r="A72" s="171"/>
      <c r="B72" s="74" t="str">
        <f>IF($A72=0,"",VLOOKUP($A72,'00_Sub'!$A$4:$D$1001,2,FALSE))</f>
        <v/>
      </c>
      <c r="C72" s="74" t="str">
        <f>IF($A72=0,"",VLOOKUP($A72,'00_Sub'!$A$4:$D$1001,3,FALSE))</f>
        <v/>
      </c>
      <c r="D72" s="171"/>
      <c r="E72" s="171"/>
      <c r="F72" s="173"/>
      <c r="G72" s="174">
        <f t="shared" si="7"/>
        <v>0</v>
      </c>
      <c r="H72" s="120" t="str">
        <f>IF($A72=0,"",VLOOKUP($A72,'00_Sub'!$A$4:$D$1001,4,FALSE))</f>
        <v/>
      </c>
      <c r="I72" s="120"/>
    </row>
    <row r="73" ht="14.25" customHeight="1">
      <c r="A73" s="171"/>
      <c r="B73" s="74" t="str">
        <f>IF($A73=0,"",VLOOKUP($A73,'00_Sub'!$A$4:$D$1001,2,FALSE))</f>
        <v/>
      </c>
      <c r="C73" s="74" t="str">
        <f>IF($A73=0,"",VLOOKUP($A73,'00_Sub'!$A$4:$D$1001,3,FALSE))</f>
        <v/>
      </c>
      <c r="D73" s="171"/>
      <c r="E73" s="171"/>
      <c r="F73" s="173"/>
      <c r="G73" s="174">
        <f t="shared" si="7"/>
        <v>0</v>
      </c>
      <c r="H73" s="120" t="str">
        <f>IF($A73=0,"",VLOOKUP($A73,'00_Sub'!$A$4:$D$1001,4,FALSE))</f>
        <v/>
      </c>
      <c r="I73" s="120"/>
    </row>
    <row r="74" ht="14.25" customHeight="1">
      <c r="A74" s="171"/>
      <c r="B74" s="74" t="str">
        <f>IF($A74=0,"",VLOOKUP($A74,'00_Sub'!$A$4:$D$1001,2,FALSE))</f>
        <v/>
      </c>
      <c r="C74" s="74" t="str">
        <f>IF($A74=0,"",VLOOKUP($A74,'00_Sub'!$A$4:$D$1001,3,FALSE))</f>
        <v/>
      </c>
      <c r="D74" s="171"/>
      <c r="E74" s="171"/>
      <c r="F74" s="173"/>
      <c r="G74" s="174">
        <f t="shared" si="7"/>
        <v>0</v>
      </c>
      <c r="H74" s="120" t="str">
        <f>IF($A74=0,"",VLOOKUP($A74,'00_Sub'!$A$4:$D$1001,4,FALSE))</f>
        <v/>
      </c>
      <c r="I74" s="120"/>
    </row>
    <row r="75" ht="14.25" customHeight="1">
      <c r="F75" s="126"/>
      <c r="G75" s="3"/>
      <c r="H75" s="120"/>
      <c r="I75" s="120"/>
    </row>
    <row r="76" ht="14.25" customHeight="1">
      <c r="A76" s="175" t="s">
        <v>717</v>
      </c>
      <c r="B76" s="176"/>
      <c r="C76" s="176"/>
      <c r="D76" s="176"/>
      <c r="E76" s="176"/>
      <c r="F76" s="176"/>
      <c r="G76" s="177"/>
      <c r="H76" s="176"/>
      <c r="I76" s="178">
        <f>SUM(I69:I74)</f>
        <v>2800000</v>
      </c>
    </row>
    <row r="77" ht="14.25" customHeight="1">
      <c r="A77" s="179" t="str">
        <f>$I$3</f>
        <v>gl</v>
      </c>
      <c r="B77" s="180"/>
      <c r="C77" s="180"/>
      <c r="D77" s="180"/>
      <c r="E77" s="180"/>
      <c r="F77" s="180"/>
      <c r="G77" s="5"/>
      <c r="H77" s="180"/>
      <c r="I77" s="172">
        <f>$H$3</f>
        <v>1</v>
      </c>
      <c r="J77" s="74"/>
      <c r="K77" s="74"/>
      <c r="L77" s="74"/>
    </row>
    <row r="78" ht="14.25" customHeight="1">
      <c r="A78" s="181" t="s">
        <v>787</v>
      </c>
      <c r="B78" s="179" t="str">
        <f>A77</f>
        <v>gl</v>
      </c>
      <c r="C78" s="180"/>
      <c r="D78" s="180"/>
      <c r="E78" s="180"/>
      <c r="F78" s="180"/>
      <c r="G78" s="5"/>
      <c r="H78" s="180"/>
      <c r="I78" s="182">
        <f>I76/I77</f>
        <v>2800000</v>
      </c>
      <c r="J78" s="74"/>
      <c r="K78" s="74"/>
      <c r="L78" s="74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7.43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73" t="str">
        <f>'01_C&amp;P'!A1</f>
        <v>NOMBRE DE LA OBRA</v>
      </c>
      <c r="B1" s="73"/>
      <c r="C1" s="73"/>
      <c r="G1" s="3"/>
    </row>
    <row r="2" ht="14.25" customHeight="1">
      <c r="G2" s="3"/>
    </row>
    <row r="3" ht="23.25" customHeight="1">
      <c r="A3" s="162">
        <f>'01_C&amp;P'!A31</f>
        <v>45692</v>
      </c>
      <c r="B3" s="163" t="str">
        <f>IF($A3=0,"",VLOOKUP($A3,'01_C&amp;P'!$A$9:$D$91,2,FALSE))</f>
        <v>INSTALACION DE CANILLAS DE SERVICIO (no incluye materiales ni mano de caños)</v>
      </c>
      <c r="C3" s="164"/>
      <c r="D3" s="164"/>
      <c r="E3" s="164"/>
      <c r="F3" s="164"/>
      <c r="G3" s="165"/>
      <c r="H3" s="166">
        <f>IF($A3=0,"",VLOOKUP($A3,'01_C&amp;P'!$A$9:$D$91,4,FALSE))</f>
        <v>4</v>
      </c>
      <c r="I3" s="167" t="str">
        <f>IF($A3=0,"",VLOOKUP($A3,'01_C&amp;P'!$A$9:$D$91,3,FALSE))</f>
        <v>unid</v>
      </c>
    </row>
    <row r="4" ht="14.25" customHeight="1">
      <c r="G4" s="3"/>
    </row>
    <row r="5" ht="14.25" customHeight="1">
      <c r="A5" s="168" t="s">
        <v>0</v>
      </c>
      <c r="B5" s="76"/>
      <c r="C5" s="76"/>
      <c r="D5" s="76"/>
      <c r="E5" s="76"/>
      <c r="F5" s="76"/>
      <c r="G5" s="2"/>
      <c r="H5" s="76"/>
      <c r="I5" s="76"/>
    </row>
    <row r="6" ht="14.25" customHeight="1">
      <c r="A6" s="169" t="s">
        <v>778</v>
      </c>
      <c r="B6" s="169" t="s">
        <v>779</v>
      </c>
      <c r="C6" s="169" t="s">
        <v>780</v>
      </c>
      <c r="D6" s="170" t="s">
        <v>781</v>
      </c>
      <c r="E6" s="164"/>
      <c r="F6" s="169" t="s">
        <v>782</v>
      </c>
      <c r="G6" s="4" t="s">
        <v>783</v>
      </c>
      <c r="H6" s="169" t="s">
        <v>784</v>
      </c>
      <c r="I6" s="169" t="s">
        <v>785</v>
      </c>
    </row>
    <row r="7" ht="14.25" customHeight="1">
      <c r="A7" s="171" t="s">
        <v>161</v>
      </c>
      <c r="B7" s="74" t="str">
        <f>IF($A7=0,"",VLOOKUP($A7,'00_Mat'!$A$4:$J$1136,2,FALSE))</f>
        <v>Griferia CANILLA DE SERVICIO</v>
      </c>
      <c r="C7" s="74" t="str">
        <f>IF($A7=0,"",VLOOKUP($A7,'00_Mat'!$A$4:$J$1136,3,FALSE))</f>
        <v>u</v>
      </c>
      <c r="D7" s="172">
        <f>H3</f>
        <v>4</v>
      </c>
      <c r="E7" s="171"/>
      <c r="F7" s="173">
        <v>0.5</v>
      </c>
      <c r="G7" s="174">
        <f t="shared" ref="G7:G18" si="1">ROUNDUP((D7+(D7*F7)),0)</f>
        <v>6</v>
      </c>
      <c r="H7" s="120">
        <f>IF($A7=0,"",VLOOKUP($A7,'00_Mat'!$A$4:$J$1136,5,FALSE))</f>
        <v>10000</v>
      </c>
      <c r="I7" s="120">
        <f t="shared" ref="I7:I8" si="2">G7*H7</f>
        <v>60000</v>
      </c>
      <c r="J7" s="127" t="s">
        <v>820</v>
      </c>
    </row>
    <row r="8" ht="14.25" customHeight="1">
      <c r="A8" s="171"/>
      <c r="B8" s="74" t="str">
        <f>IF($A8=0,"",VLOOKUP($A8,'00_Mat'!$A$4:$J$1136,2,FALSE))</f>
        <v/>
      </c>
      <c r="C8" s="74" t="str">
        <f>IF($A8=0,"",VLOOKUP($A8,'00_Mat'!$A$4:$J$1136,3,FALSE))</f>
        <v/>
      </c>
      <c r="D8" s="171"/>
      <c r="E8" s="171"/>
      <c r="F8" s="173"/>
      <c r="G8" s="174">
        <f t="shared" si="1"/>
        <v>0</v>
      </c>
      <c r="H8" s="120" t="str">
        <f>IF($A8=0,"",VLOOKUP($A8,'00_Mat'!$A$4:$J$1136,5,FALSE))</f>
        <v/>
      </c>
      <c r="I8" s="120">
        <f t="shared" si="2"/>
        <v>0</v>
      </c>
    </row>
    <row r="9" ht="14.25" customHeight="1">
      <c r="A9" s="171"/>
      <c r="B9" s="74" t="str">
        <f>IF($A9=0,"",VLOOKUP($A9,'00_Mat'!$A$4:$J$1136,2,FALSE))</f>
        <v/>
      </c>
      <c r="C9" s="74" t="str">
        <f>IF($A9=0,"",VLOOKUP($A9,'00_Mat'!$A$4:$J$1136,3,FALSE))</f>
        <v/>
      </c>
      <c r="D9" s="171"/>
      <c r="E9" s="171"/>
      <c r="F9" s="173"/>
      <c r="G9" s="174">
        <f t="shared" si="1"/>
        <v>0</v>
      </c>
      <c r="H9" s="120" t="str">
        <f>IF($A9=0,"",VLOOKUP($A9,'00_Mat'!$A$4:$J$1136,5,FALSE))</f>
        <v/>
      </c>
      <c r="I9" s="120"/>
      <c r="K9" s="74" t="s">
        <v>821</v>
      </c>
    </row>
    <row r="10" ht="14.25" customHeight="1">
      <c r="A10" s="171"/>
      <c r="B10" s="74" t="str">
        <f>IF($A10=0,"",VLOOKUP($A10,'00_Mat'!$A$4:$J$1136,2,FALSE))</f>
        <v/>
      </c>
      <c r="C10" s="74" t="str">
        <f>IF($A10=0,"",VLOOKUP($A10,'00_Mat'!$A$4:$J$1136,3,FALSE))</f>
        <v/>
      </c>
      <c r="D10" s="171"/>
      <c r="E10" s="171"/>
      <c r="F10" s="173"/>
      <c r="G10" s="174">
        <f t="shared" si="1"/>
        <v>0</v>
      </c>
      <c r="H10" s="120" t="str">
        <f>IF($A10=0,"",VLOOKUP($A10,'00_Mat'!$A$4:$J$1136,5,FALSE))</f>
        <v/>
      </c>
      <c r="I10" s="120"/>
    </row>
    <row r="11" ht="14.25" customHeight="1">
      <c r="A11" s="171"/>
      <c r="B11" s="74" t="str">
        <f>IF($A11=0,"",VLOOKUP($A11,'00_Mat'!$A$4:$J$1136,2,FALSE))</f>
        <v/>
      </c>
      <c r="C11" s="74" t="str">
        <f>IF($A11=0,"",VLOOKUP($A11,'00_Mat'!$A$4:$J$1136,3,FALSE))</f>
        <v/>
      </c>
      <c r="D11" s="171"/>
      <c r="E11" s="171"/>
      <c r="F11" s="173"/>
      <c r="G11" s="174">
        <f t="shared" si="1"/>
        <v>0</v>
      </c>
      <c r="H11" s="120" t="str">
        <f>IF($A11=0,"",VLOOKUP($A11,'00_Mat'!$A$4:$J$1136,5,FALSE))</f>
        <v/>
      </c>
      <c r="I11" s="120"/>
    </row>
    <row r="12" ht="14.25" customHeight="1">
      <c r="A12" s="171"/>
      <c r="B12" s="74" t="str">
        <f>IF($A12=0,"",VLOOKUP($A12,'00_Mat'!$A$4:$J$1136,2,FALSE))</f>
        <v/>
      </c>
      <c r="C12" s="74" t="str">
        <f>IF($A12=0,"",VLOOKUP($A12,'00_Mat'!$A$4:$J$1136,3,FALSE))</f>
        <v/>
      </c>
      <c r="D12" s="171"/>
      <c r="E12" s="171"/>
      <c r="F12" s="173"/>
      <c r="G12" s="174">
        <f t="shared" si="1"/>
        <v>0</v>
      </c>
      <c r="H12" s="120" t="str">
        <f>IF($A12=0,"",VLOOKUP($A12,'00_Mat'!$A$4:$J$1136,5,FALSE))</f>
        <v/>
      </c>
      <c r="I12" s="120"/>
    </row>
    <row r="13" ht="14.25" customHeight="1">
      <c r="A13" s="171"/>
      <c r="B13" s="74" t="str">
        <f>IF($A13=0,"",VLOOKUP($A13,'00_Mat'!$A$4:$J$1136,2,FALSE))</f>
        <v/>
      </c>
      <c r="C13" s="74" t="str">
        <f>IF($A13=0,"",VLOOKUP($A13,'00_Mat'!$A$4:$J$1136,3,FALSE))</f>
        <v/>
      </c>
      <c r="D13" s="171"/>
      <c r="E13" s="171"/>
      <c r="F13" s="173"/>
      <c r="G13" s="174">
        <f t="shared" si="1"/>
        <v>0</v>
      </c>
      <c r="H13" s="120" t="str">
        <f>IF($A13=0,"",VLOOKUP($A13,'00_Mat'!$A$4:$J$1136,5,FALSE))</f>
        <v/>
      </c>
      <c r="I13" s="120"/>
    </row>
    <row r="14" ht="14.25" customHeight="1">
      <c r="A14" s="171"/>
      <c r="B14" s="74" t="str">
        <f>IF($A14=0,"",VLOOKUP($A14,'00_Mat'!$A$4:$J$1136,2,FALSE))</f>
        <v/>
      </c>
      <c r="C14" s="74" t="str">
        <f>IF($A14=0,"",VLOOKUP($A14,'00_Mat'!$A$4:$J$1136,3,FALSE))</f>
        <v/>
      </c>
      <c r="D14" s="171"/>
      <c r="E14" s="171"/>
      <c r="F14" s="173"/>
      <c r="G14" s="174">
        <f t="shared" si="1"/>
        <v>0</v>
      </c>
      <c r="H14" s="120" t="str">
        <f>IF($A14=0,"",VLOOKUP($A14,'00_Mat'!$A$4:$J$1136,5,FALSE))</f>
        <v/>
      </c>
      <c r="I14" s="120"/>
    </row>
    <row r="15" ht="14.25" customHeight="1">
      <c r="A15" s="171"/>
      <c r="B15" s="74" t="str">
        <f>IF($A15=0,"",VLOOKUP($A15,'00_Mat'!$A$4:$J$1136,2,FALSE))</f>
        <v/>
      </c>
      <c r="C15" s="74" t="str">
        <f>IF($A15=0,"",VLOOKUP($A15,'00_Mat'!$A$4:$J$1136,3,FALSE))</f>
        <v/>
      </c>
      <c r="D15" s="171"/>
      <c r="E15" s="171"/>
      <c r="F15" s="173"/>
      <c r="G15" s="174">
        <f t="shared" si="1"/>
        <v>0</v>
      </c>
      <c r="H15" s="120" t="str">
        <f>IF($A15=0,"",VLOOKUP($A15,'00_Mat'!$A$4:$J$1136,5,FALSE))</f>
        <v/>
      </c>
      <c r="I15" s="120"/>
    </row>
    <row r="16" ht="14.25" customHeight="1">
      <c r="A16" s="171"/>
      <c r="B16" s="74" t="str">
        <f>IF($A16=0,"",VLOOKUP($A16,'00_Mat'!$A$4:$J$1136,2,FALSE))</f>
        <v/>
      </c>
      <c r="C16" s="74" t="str">
        <f>IF($A16=0,"",VLOOKUP($A16,'00_Mat'!$A$4:$J$1136,3,FALSE))</f>
        <v/>
      </c>
      <c r="D16" s="171"/>
      <c r="E16" s="171"/>
      <c r="F16" s="173"/>
      <c r="G16" s="174">
        <f t="shared" si="1"/>
        <v>0</v>
      </c>
      <c r="H16" s="120" t="str">
        <f>IF($A16=0,"",VLOOKUP($A16,'00_Mat'!$A$4:$J$1136,5,FALSE))</f>
        <v/>
      </c>
      <c r="I16" s="120"/>
    </row>
    <row r="17" ht="14.25" customHeight="1">
      <c r="A17" s="171"/>
      <c r="B17" s="74" t="str">
        <f>IF($A17=0,"",VLOOKUP($A17,'00_Mat'!$A$4:$J$1136,2,FALSE))</f>
        <v/>
      </c>
      <c r="C17" s="74" t="str">
        <f>IF($A17=0,"",VLOOKUP($A17,'00_Mat'!$A$4:$J$1136,3,FALSE))</f>
        <v/>
      </c>
      <c r="D17" s="171"/>
      <c r="E17" s="171"/>
      <c r="F17" s="173"/>
      <c r="G17" s="174">
        <f t="shared" si="1"/>
        <v>0</v>
      </c>
      <c r="H17" s="120" t="str">
        <f>IF($A17=0,"",VLOOKUP($A17,'00_Mat'!$A$4:$J$1136,5,FALSE))</f>
        <v/>
      </c>
      <c r="I17" s="120"/>
    </row>
    <row r="18" ht="14.25" customHeight="1">
      <c r="A18" s="171"/>
      <c r="B18" s="74" t="str">
        <f>IF($A18=0,"",VLOOKUP($A18,'00_Mat'!$A$4:$J$1136,2,FALSE))</f>
        <v/>
      </c>
      <c r="C18" s="74" t="str">
        <f>IF($A18=0,"",VLOOKUP($A18,'00_Mat'!$A$4:$J$1136,3,FALSE))</f>
        <v/>
      </c>
      <c r="D18" s="171"/>
      <c r="E18" s="171"/>
      <c r="F18" s="173"/>
      <c r="G18" s="174">
        <f t="shared" si="1"/>
        <v>0</v>
      </c>
      <c r="H18" s="120" t="str">
        <f>IF($A18=0,"",VLOOKUP($A18,'00_Mat'!$A$4:$J$1136,5,FALSE))</f>
        <v/>
      </c>
      <c r="I18" s="120"/>
    </row>
    <row r="19" ht="14.25" customHeight="1">
      <c r="F19" s="126"/>
      <c r="G19" s="3"/>
      <c r="H19" s="120"/>
      <c r="I19" s="120"/>
    </row>
    <row r="20" ht="14.25" customHeight="1">
      <c r="A20" s="175" t="s">
        <v>786</v>
      </c>
      <c r="B20" s="176"/>
      <c r="C20" s="176"/>
      <c r="D20" s="176"/>
      <c r="E20" s="176"/>
      <c r="F20" s="176"/>
      <c r="G20" s="177"/>
      <c r="H20" s="176"/>
      <c r="I20" s="178">
        <f>SUM(I7:I18)</f>
        <v>60000</v>
      </c>
      <c r="J20" s="74"/>
      <c r="K20" s="74"/>
      <c r="L20" s="74"/>
    </row>
    <row r="21" ht="14.25" customHeight="1">
      <c r="A21" s="179" t="str">
        <f>$I$3</f>
        <v>unid</v>
      </c>
      <c r="B21" s="180"/>
      <c r="C21" s="180"/>
      <c r="D21" s="180"/>
      <c r="E21" s="180"/>
      <c r="F21" s="180"/>
      <c r="G21" s="5"/>
      <c r="H21" s="180"/>
      <c r="I21" s="172">
        <f>$H$3</f>
        <v>4</v>
      </c>
      <c r="J21" s="74"/>
      <c r="K21" s="74"/>
      <c r="L21" s="74"/>
    </row>
    <row r="22" ht="14.25" customHeight="1">
      <c r="A22" s="181" t="s">
        <v>787</v>
      </c>
      <c r="B22" s="179" t="str">
        <f>A21</f>
        <v>unid</v>
      </c>
      <c r="C22" s="180"/>
      <c r="D22" s="180"/>
      <c r="E22" s="180"/>
      <c r="F22" s="180"/>
      <c r="G22" s="5"/>
      <c r="H22" s="180"/>
      <c r="I22" s="182">
        <f>I20/I21</f>
        <v>15000</v>
      </c>
      <c r="J22" s="74"/>
      <c r="K22" s="74"/>
      <c r="L22" s="74"/>
    </row>
    <row r="23" ht="14.25" customHeight="1">
      <c r="G23" s="3"/>
    </row>
    <row r="24" ht="14.25" customHeight="1">
      <c r="G24" s="3"/>
    </row>
    <row r="25" ht="14.25" customHeight="1">
      <c r="A25" s="168" t="s">
        <v>788</v>
      </c>
      <c r="B25" s="76"/>
      <c r="C25" s="76"/>
      <c r="D25" s="76"/>
      <c r="E25" s="76"/>
      <c r="F25" s="76"/>
      <c r="G25" s="2"/>
      <c r="H25" s="76"/>
      <c r="I25" s="76"/>
    </row>
    <row r="26" ht="14.25" customHeight="1">
      <c r="A26" s="169" t="s">
        <v>778</v>
      </c>
      <c r="B26" s="169" t="s">
        <v>779</v>
      </c>
      <c r="C26" s="169" t="s">
        <v>780</v>
      </c>
      <c r="D26" s="169" t="s">
        <v>781</v>
      </c>
      <c r="E26" s="169" t="s">
        <v>789</v>
      </c>
      <c r="F26" s="169" t="s">
        <v>782</v>
      </c>
      <c r="G26" s="4" t="s">
        <v>783</v>
      </c>
      <c r="H26" s="169" t="s">
        <v>784</v>
      </c>
      <c r="I26" s="169" t="s">
        <v>785</v>
      </c>
    </row>
    <row r="27" ht="14.25" customHeight="1">
      <c r="A27" s="171" t="s">
        <v>816</v>
      </c>
      <c r="B27" s="74" t="str">
        <f>IF($A27=0,"",VLOOKUP($A27,'00_MO'!$A$4:$D$8,2,FALSE))</f>
        <v>Gervacio</v>
      </c>
      <c r="C27" s="74" t="str">
        <f>IF($A27=0,"",VLOOKUP($A27,'00_MO'!$A$4:$D$8,3,FALSE))</f>
        <v>u</v>
      </c>
      <c r="D27" s="171">
        <v>1.0</v>
      </c>
      <c r="E27" s="171">
        <v>1.0</v>
      </c>
      <c r="F27" s="173"/>
      <c r="G27" s="184">
        <f t="shared" ref="G27:G32" si="3">ROUNDUP(((D27*E27)*(1+F27)),0)</f>
        <v>1</v>
      </c>
      <c r="H27" s="120">
        <f>IF($A27=0,"",VLOOKUP($A27,'00_MO'!$A$4:$D$8,4,FALSE))</f>
        <v>80000</v>
      </c>
      <c r="I27" s="120">
        <f>G27*H27</f>
        <v>80000</v>
      </c>
    </row>
    <row r="28" ht="14.25" customHeight="1">
      <c r="A28" s="171"/>
      <c r="B28" s="74" t="str">
        <f>IF($A28=0,"",VLOOKUP($A28,'00_MO'!$A$4:$D$7,2,FALSE))</f>
        <v/>
      </c>
      <c r="C28" s="74" t="str">
        <f>IF($A28=0,"",VLOOKUP($A28,'00_MO'!$A$4:$D$7,3,FALSE))</f>
        <v/>
      </c>
      <c r="D28" s="171"/>
      <c r="E28" s="171"/>
      <c r="F28" s="173"/>
      <c r="G28" s="184">
        <f t="shared" si="3"/>
        <v>0</v>
      </c>
      <c r="H28" s="120" t="str">
        <f>IF($A28=0,"",VLOOKUP($A28,'00_MO'!$A$4:$D$7,4,FALSE))</f>
        <v/>
      </c>
      <c r="I28" s="120"/>
    </row>
    <row r="29" ht="14.25" customHeight="1">
      <c r="A29" s="171"/>
      <c r="B29" s="74" t="str">
        <f>IF($A29=0,"",VLOOKUP($A29,'00_MO'!$A$4:$D$7,2,FALSE))</f>
        <v/>
      </c>
      <c r="C29" s="74" t="str">
        <f>IF($A29=0,"",VLOOKUP($A29,'00_MO'!$A$4:$D$7,3,FALSE))</f>
        <v/>
      </c>
      <c r="D29" s="171"/>
      <c r="E29" s="171"/>
      <c r="F29" s="173"/>
      <c r="G29" s="184">
        <f t="shared" si="3"/>
        <v>0</v>
      </c>
      <c r="H29" s="120" t="str">
        <f>IF($A29=0,"",VLOOKUP($A29,'00_MO'!$A$4:$D$7,4,FALSE))</f>
        <v/>
      </c>
      <c r="I29" s="120"/>
    </row>
    <row r="30" ht="14.25" customHeight="1">
      <c r="A30" s="171"/>
      <c r="B30" s="74" t="str">
        <f>IF($A30=0,"",VLOOKUP($A30,'00_MO'!$A$4:$D$7,2,FALSE))</f>
        <v/>
      </c>
      <c r="C30" s="74" t="str">
        <f>IF($A30=0,"",VLOOKUP($A30,'00_MO'!$A$4:$D$7,3,FALSE))</f>
        <v/>
      </c>
      <c r="D30" s="171"/>
      <c r="E30" s="171"/>
      <c r="F30" s="173"/>
      <c r="G30" s="184">
        <f t="shared" si="3"/>
        <v>0</v>
      </c>
      <c r="H30" s="120" t="str">
        <f>IF($A30=0,"",VLOOKUP($A30,'00_MO'!$A$4:$D$7,4,FALSE))</f>
        <v/>
      </c>
      <c r="I30" s="120"/>
    </row>
    <row r="31" ht="14.25" customHeight="1">
      <c r="A31" s="171"/>
      <c r="B31" s="74" t="str">
        <f>IF($A31=0,"",VLOOKUP($A31,'00_MO'!$A$4:$D$7,2,FALSE))</f>
        <v/>
      </c>
      <c r="C31" s="74" t="str">
        <f>IF($A31=0,"",VLOOKUP($A31,'00_MO'!$A$4:$D$7,3,FALSE))</f>
        <v/>
      </c>
      <c r="D31" s="171"/>
      <c r="E31" s="171"/>
      <c r="F31" s="173"/>
      <c r="G31" s="184">
        <f t="shared" si="3"/>
        <v>0</v>
      </c>
      <c r="H31" s="120" t="str">
        <f>IF($A31=0,"",VLOOKUP($A31,'00_MO'!$A$4:$D$7,4,FALSE))</f>
        <v/>
      </c>
      <c r="I31" s="120"/>
    </row>
    <row r="32" ht="14.25" customHeight="1">
      <c r="A32" s="171"/>
      <c r="B32" s="74" t="str">
        <f>IF($A32=0,"",VLOOKUP($A32,'00_MO'!$A$4:$D$7,2,FALSE))</f>
        <v/>
      </c>
      <c r="C32" s="74" t="str">
        <f>IF($A32=0,"",VLOOKUP($A32,'00_MO'!$A$4:$D$7,3,FALSE))</f>
        <v/>
      </c>
      <c r="D32" s="171"/>
      <c r="E32" s="171"/>
      <c r="F32" s="173"/>
      <c r="G32" s="184">
        <f t="shared" si="3"/>
        <v>0</v>
      </c>
      <c r="H32" s="120" t="str">
        <f>IF($A32=0,"",VLOOKUP($A32,'00_MO'!$A$4:$D$7,4,FALSE))</f>
        <v/>
      </c>
      <c r="I32" s="120"/>
    </row>
    <row r="33" ht="14.25" customHeight="1">
      <c r="F33" s="126"/>
      <c r="G33" s="3"/>
      <c r="H33" s="120"/>
      <c r="I33" s="120"/>
    </row>
    <row r="34" ht="14.25" customHeight="1">
      <c r="A34" s="175" t="s">
        <v>717</v>
      </c>
      <c r="B34" s="176"/>
      <c r="C34" s="176"/>
      <c r="D34" s="176"/>
      <c r="E34" s="176"/>
      <c r="F34" s="176"/>
      <c r="G34" s="177"/>
      <c r="H34" s="176"/>
      <c r="I34" s="178">
        <f>SUM(I27:I32)</f>
        <v>80000</v>
      </c>
    </row>
    <row r="35" ht="14.25" customHeight="1">
      <c r="A35" s="179" t="str">
        <f>$I$3</f>
        <v>unid</v>
      </c>
      <c r="B35" s="180"/>
      <c r="C35" s="180"/>
      <c r="D35" s="180"/>
      <c r="E35" s="180"/>
      <c r="F35" s="180"/>
      <c r="G35" s="5"/>
      <c r="H35" s="180"/>
      <c r="I35" s="172">
        <f>$H$3</f>
        <v>4</v>
      </c>
      <c r="J35" s="74"/>
      <c r="K35" s="74"/>
      <c r="L35" s="74"/>
    </row>
    <row r="36" ht="14.25" customHeight="1">
      <c r="A36" s="181" t="s">
        <v>787</v>
      </c>
      <c r="B36" s="179" t="str">
        <f>A35</f>
        <v>unid</v>
      </c>
      <c r="C36" s="180"/>
      <c r="D36" s="180"/>
      <c r="E36" s="180"/>
      <c r="F36" s="180"/>
      <c r="G36" s="5"/>
      <c r="H36" s="180"/>
      <c r="I36" s="182">
        <f>I34/I35</f>
        <v>20000</v>
      </c>
      <c r="J36" s="74"/>
      <c r="K36" s="74"/>
      <c r="L36" s="74"/>
    </row>
    <row r="37" ht="14.25" customHeight="1">
      <c r="G37" s="3"/>
    </row>
    <row r="38" ht="14.25" customHeight="1">
      <c r="G38" s="3"/>
    </row>
    <row r="39" ht="14.25" customHeight="1">
      <c r="A39" s="168" t="s">
        <v>790</v>
      </c>
      <c r="B39" s="76"/>
      <c r="C39" s="76"/>
      <c r="D39" s="76"/>
      <c r="E39" s="76"/>
      <c r="F39" s="76"/>
      <c r="G39" s="2"/>
      <c r="H39" s="76"/>
      <c r="I39" s="76"/>
    </row>
    <row r="40" ht="14.25" customHeight="1">
      <c r="A40" s="169" t="s">
        <v>778</v>
      </c>
      <c r="B40" s="169" t="s">
        <v>779</v>
      </c>
      <c r="C40" s="169" t="s">
        <v>780</v>
      </c>
      <c r="D40" s="169" t="s">
        <v>781</v>
      </c>
      <c r="E40" s="169" t="s">
        <v>789</v>
      </c>
      <c r="F40" s="169" t="s">
        <v>782</v>
      </c>
      <c r="G40" s="4" t="s">
        <v>783</v>
      </c>
      <c r="H40" s="169" t="s">
        <v>784</v>
      </c>
      <c r="I40" s="169" t="s">
        <v>785</v>
      </c>
    </row>
    <row r="41" ht="14.25" customHeight="1">
      <c r="A41" s="171"/>
      <c r="B41" s="74" t="str">
        <f>IF($A41=0,"",VLOOKUP($A41,'00_Eq'!$A$4:$D$6,2,FALSE))</f>
        <v/>
      </c>
      <c r="C41" s="74" t="str">
        <f>IF($A41=0,"",VLOOKUP($A41,'00_Eq'!$A$4:$D$51,3,FALSE))</f>
        <v/>
      </c>
      <c r="D41" s="171"/>
      <c r="E41" s="171"/>
      <c r="F41" s="173"/>
      <c r="G41" s="184">
        <f t="shared" ref="G41:G46" si="4">ROUNDUP(((D41*E41)*(1+F41)),0)</f>
        <v>0</v>
      </c>
      <c r="H41" s="120" t="str">
        <f>IF($A41=0,"",VLOOKUP($A41,'00_Eq'!$A$4:$D$6,4,FALSE))</f>
        <v/>
      </c>
      <c r="I41" s="120"/>
    </row>
    <row r="42" ht="14.25" customHeight="1">
      <c r="A42" s="171"/>
      <c r="B42" s="74" t="str">
        <f>IF($A42=0,"",VLOOKUP($A42,'00_Eq'!$A$4:$D$6,2,FALSE))</f>
        <v/>
      </c>
      <c r="C42" s="74" t="str">
        <f>IF($A42=0,"",VLOOKUP($A42,'00_Eq'!$A$4:$D$51,3,FALSE))</f>
        <v/>
      </c>
      <c r="D42" s="171"/>
      <c r="E42" s="171"/>
      <c r="F42" s="173"/>
      <c r="G42" s="184">
        <f t="shared" si="4"/>
        <v>0</v>
      </c>
      <c r="H42" s="120" t="str">
        <f>IF($A42=0,"",VLOOKUP($A42,'00_Eq'!$A$4:$D$6,4,FALSE))</f>
        <v/>
      </c>
      <c r="I42" s="120"/>
    </row>
    <row r="43" ht="14.25" customHeight="1">
      <c r="A43" s="171"/>
      <c r="B43" s="74" t="str">
        <f>IF($A43=0,"",VLOOKUP($A43,'00_Eq'!$A$4:$D$6,2,FALSE))</f>
        <v/>
      </c>
      <c r="C43" s="74" t="str">
        <f>IF($A43=0,"",VLOOKUP($A43,'00_Eq'!$A$4:$D$51,3,FALSE))</f>
        <v/>
      </c>
      <c r="D43" s="171"/>
      <c r="E43" s="171"/>
      <c r="F43" s="173"/>
      <c r="G43" s="184">
        <f t="shared" si="4"/>
        <v>0</v>
      </c>
      <c r="H43" s="120" t="str">
        <f>IF($A43=0,"",VLOOKUP($A43,'00_Eq'!$A$4:$D$6,4,FALSE))</f>
        <v/>
      </c>
      <c r="I43" s="120"/>
    </row>
    <row r="44" ht="14.25" customHeight="1">
      <c r="A44" s="171"/>
      <c r="B44" s="74" t="str">
        <f>IF($A44=0,"",VLOOKUP($A44,'00_Eq'!$A$4:$D$6,2,FALSE))</f>
        <v/>
      </c>
      <c r="C44" s="74" t="str">
        <f>IF($A44=0,"",VLOOKUP($A44,'00_Eq'!$A$4:$D$51,3,FALSE))</f>
        <v/>
      </c>
      <c r="D44" s="171"/>
      <c r="E44" s="171"/>
      <c r="F44" s="173"/>
      <c r="G44" s="184">
        <f t="shared" si="4"/>
        <v>0</v>
      </c>
      <c r="H44" s="120" t="str">
        <f>IF($A44=0,"",VLOOKUP($A44,'00_Eq'!$A$4:$D$6,4,FALSE))</f>
        <v/>
      </c>
      <c r="I44" s="120"/>
    </row>
    <row r="45" ht="14.25" customHeight="1">
      <c r="A45" s="171"/>
      <c r="B45" s="74" t="str">
        <f>IF($A45=0,"",VLOOKUP($A45,'00_Eq'!$A$4:$D$6,2,FALSE))</f>
        <v/>
      </c>
      <c r="C45" s="74" t="str">
        <f>IF($A45=0,"",VLOOKUP($A45,'00_Eq'!$A$4:$D$51,3,FALSE))</f>
        <v/>
      </c>
      <c r="D45" s="171"/>
      <c r="E45" s="171"/>
      <c r="F45" s="173"/>
      <c r="G45" s="184">
        <f t="shared" si="4"/>
        <v>0</v>
      </c>
      <c r="H45" s="120" t="str">
        <f>IF($A45=0,"",VLOOKUP($A45,'00_Eq'!$A$4:$D$6,4,FALSE))</f>
        <v/>
      </c>
      <c r="I45" s="120"/>
    </row>
    <row r="46" ht="14.25" customHeight="1">
      <c r="A46" s="171"/>
      <c r="B46" s="74" t="str">
        <f>IF($A46=0,"",VLOOKUP($A46,'00_Eq'!$A$4:$D$6,2,FALSE))</f>
        <v/>
      </c>
      <c r="C46" s="74" t="str">
        <f>IF($A46=0,"",VLOOKUP($A46,'00_Eq'!$A$4:$D$51,3,FALSE))</f>
        <v/>
      </c>
      <c r="D46" s="171"/>
      <c r="E46" s="171"/>
      <c r="F46" s="173"/>
      <c r="G46" s="184">
        <f t="shared" si="4"/>
        <v>0</v>
      </c>
      <c r="H46" s="120" t="str">
        <f>IF($A46=0,"",VLOOKUP($A46,'00_Eq'!$A$4:$D$6,4,FALSE))</f>
        <v/>
      </c>
      <c r="I46" s="120"/>
    </row>
    <row r="47" ht="14.25" customHeight="1">
      <c r="F47" s="126"/>
      <c r="G47" s="3"/>
      <c r="H47" s="120"/>
      <c r="I47" s="120"/>
    </row>
    <row r="48" ht="14.25" customHeight="1">
      <c r="A48" s="175" t="s">
        <v>717</v>
      </c>
      <c r="B48" s="176"/>
      <c r="C48" s="176"/>
      <c r="D48" s="176"/>
      <c r="E48" s="176"/>
      <c r="F48" s="176"/>
      <c r="G48" s="177"/>
      <c r="H48" s="176"/>
      <c r="I48" s="178">
        <f>SUM(I41:I46)</f>
        <v>0</v>
      </c>
    </row>
    <row r="49" ht="14.25" customHeight="1">
      <c r="A49" s="179" t="str">
        <f>$I$3</f>
        <v>unid</v>
      </c>
      <c r="B49" s="180"/>
      <c r="C49" s="180"/>
      <c r="D49" s="180"/>
      <c r="E49" s="180"/>
      <c r="F49" s="180"/>
      <c r="G49" s="5"/>
      <c r="H49" s="180"/>
      <c r="I49" s="172">
        <f>$H$3</f>
        <v>4</v>
      </c>
      <c r="J49" s="74"/>
      <c r="K49" s="74"/>
      <c r="L49" s="74"/>
    </row>
    <row r="50" ht="14.25" customHeight="1">
      <c r="A50" s="181" t="s">
        <v>787</v>
      </c>
      <c r="B50" s="179" t="str">
        <f>A49</f>
        <v>unid</v>
      </c>
      <c r="C50" s="180"/>
      <c r="D50" s="180"/>
      <c r="E50" s="180"/>
      <c r="F50" s="180"/>
      <c r="G50" s="5"/>
      <c r="H50" s="180"/>
      <c r="I50" s="182">
        <f>I48/I49</f>
        <v>0</v>
      </c>
      <c r="J50" s="74"/>
      <c r="K50" s="74"/>
      <c r="L50" s="74"/>
    </row>
    <row r="51" ht="14.25" customHeight="1">
      <c r="G51" s="3"/>
    </row>
    <row r="52" ht="14.25" customHeight="1">
      <c r="G52" s="3"/>
    </row>
    <row r="53" ht="14.25" customHeight="1">
      <c r="A53" s="168" t="s">
        <v>791</v>
      </c>
      <c r="B53" s="76"/>
      <c r="C53" s="76"/>
      <c r="D53" s="76"/>
      <c r="E53" s="76"/>
      <c r="F53" s="76"/>
      <c r="G53" s="2"/>
      <c r="H53" s="76"/>
      <c r="I53" s="76"/>
    </row>
    <row r="54" ht="14.25" customHeight="1">
      <c r="A54" s="169" t="s">
        <v>778</v>
      </c>
      <c r="B54" s="169" t="s">
        <v>779</v>
      </c>
      <c r="C54" s="169" t="s">
        <v>780</v>
      </c>
      <c r="D54" s="169" t="s">
        <v>781</v>
      </c>
      <c r="E54" s="169"/>
      <c r="F54" s="169" t="s">
        <v>782</v>
      </c>
      <c r="G54" s="4" t="s">
        <v>783</v>
      </c>
      <c r="H54" s="169" t="s">
        <v>784</v>
      </c>
      <c r="I54" s="169" t="s">
        <v>785</v>
      </c>
    </row>
    <row r="55" ht="14.25" customHeight="1">
      <c r="A55" s="171"/>
      <c r="B55" s="74" t="str">
        <f>IF($A55=0,"",VLOOKUP($A55,'00_Mat'!$A$4:$J$1136,2,FALSE))</f>
        <v/>
      </c>
      <c r="C55" s="74" t="str">
        <f>IF($A55=0,"",VLOOKUP($A55,'00_Mat'!$A$4:$J$1136,3,FALSE))</f>
        <v/>
      </c>
      <c r="D55" s="172"/>
      <c r="E55" s="171"/>
      <c r="F55" s="173"/>
      <c r="G55" s="174">
        <f t="shared" ref="G55:G60" si="5">ROUNDUP((D55+(D55*F55)),0)</f>
        <v>0</v>
      </c>
      <c r="H55" s="120" t="str">
        <f>IF($A55=0,"",VLOOKUP($A55,'00_Mat'!$A$4:$J$1136,5,FALSE))</f>
        <v/>
      </c>
      <c r="I55" s="120">
        <f>G55*H55</f>
        <v>0</v>
      </c>
    </row>
    <row r="56" ht="14.25" customHeight="1">
      <c r="A56" s="171"/>
      <c r="B56" s="74" t="str">
        <f>IF($A56=0,"",VLOOKUP($A56,'00_Mat'!$A$4:$J$1136,2,FALSE))</f>
        <v/>
      </c>
      <c r="C56" s="74" t="str">
        <f>IF($A56=0,"",VLOOKUP($A56,'00_Mat'!$A$4:$J$1136,3,FALSE))</f>
        <v/>
      </c>
      <c r="D56" s="172"/>
      <c r="E56" s="171"/>
      <c r="F56" s="173"/>
      <c r="G56" s="174">
        <f t="shared" si="5"/>
        <v>0</v>
      </c>
      <c r="H56" s="120" t="str">
        <f>IF($A56=0,"",VLOOKUP($A56,'00_Mat'!$A$4:$J$1136,5,FALSE))</f>
        <v/>
      </c>
      <c r="I56" s="120"/>
    </row>
    <row r="57" ht="14.25" customHeight="1">
      <c r="A57" s="171"/>
      <c r="B57" s="74" t="str">
        <f>IF($A57=0,"",VLOOKUP($A57,'00_Mat'!$A$4:$J$1136,2,FALSE))</f>
        <v/>
      </c>
      <c r="C57" s="74" t="str">
        <f>IF($A57=0,"",VLOOKUP($A57,'00_Mat'!$A$4:$J$1136,3,FALSE))</f>
        <v/>
      </c>
      <c r="D57" s="172"/>
      <c r="E57" s="171"/>
      <c r="F57" s="173"/>
      <c r="G57" s="174">
        <f t="shared" si="5"/>
        <v>0</v>
      </c>
      <c r="H57" s="120" t="str">
        <f>IF($A57=0,"",VLOOKUP($A57,'00_Mat'!$A$4:$J$1136,5,FALSE))</f>
        <v/>
      </c>
      <c r="I57" s="120"/>
    </row>
    <row r="58" ht="14.25" customHeight="1">
      <c r="A58" s="171"/>
      <c r="B58" s="74" t="str">
        <f>IF($A58=0,"",VLOOKUP($A58,'00_Mat'!$A$4:$J$1136,2,FALSE))</f>
        <v/>
      </c>
      <c r="C58" s="74" t="str">
        <f>IF($A58=0,"",VLOOKUP($A58,'00_Mat'!$A$4:$J$1136,3,FALSE))</f>
        <v/>
      </c>
      <c r="D58" s="172"/>
      <c r="E58" s="171"/>
      <c r="F58" s="173"/>
      <c r="G58" s="174">
        <f t="shared" si="5"/>
        <v>0</v>
      </c>
      <c r="H58" s="120" t="str">
        <f>IF($A58=0,"",VLOOKUP($A58,'00_Mat'!$A$4:$J$1136,5,FALSE))</f>
        <v/>
      </c>
      <c r="I58" s="120"/>
    </row>
    <row r="59" ht="14.25" customHeight="1">
      <c r="A59" s="171"/>
      <c r="B59" s="74" t="str">
        <f>IF($A59=0,"",VLOOKUP($A59,'00_Mat'!$A$4:$J$1136,2,FALSE))</f>
        <v/>
      </c>
      <c r="C59" s="74" t="str">
        <f>IF($A59=0,"",VLOOKUP($A59,'00_Mat'!$A$4:$J$1136,3,FALSE))</f>
        <v/>
      </c>
      <c r="D59" s="172"/>
      <c r="E59" s="171"/>
      <c r="F59" s="173"/>
      <c r="G59" s="174">
        <f t="shared" si="5"/>
        <v>0</v>
      </c>
      <c r="H59" s="120" t="str">
        <f>IF($A59=0,"",VLOOKUP($A59,'00_Mat'!$A$4:$J$1136,5,FALSE))</f>
        <v/>
      </c>
      <c r="I59" s="120"/>
    </row>
    <row r="60" ht="14.25" customHeight="1">
      <c r="A60" s="171"/>
      <c r="B60" s="74" t="str">
        <f>IF($A60=0,"",VLOOKUP($A60,'00_Mat'!$A$4:$J$1136,2,FALSE))</f>
        <v/>
      </c>
      <c r="C60" s="74" t="str">
        <f>IF($A60=0,"",VLOOKUP($A60,'00_Mat'!$A$4:$J$1136,3,FALSE))</f>
        <v/>
      </c>
      <c r="D60" s="172"/>
      <c r="E60" s="171"/>
      <c r="F60" s="173"/>
      <c r="G60" s="174">
        <f t="shared" si="5"/>
        <v>0</v>
      </c>
      <c r="H60" s="120" t="str">
        <f>IF($A60=0,"",VLOOKUP($A60,'00_Mat'!$A$4:$J$1136,5,FALSE))</f>
        <v/>
      </c>
      <c r="I60" s="120"/>
    </row>
    <row r="61" ht="14.25" customHeight="1">
      <c r="F61" s="126"/>
      <c r="G61" s="3"/>
      <c r="H61" s="120"/>
      <c r="I61" s="120"/>
    </row>
    <row r="62" ht="14.25" customHeight="1">
      <c r="A62" s="175" t="s">
        <v>717</v>
      </c>
      <c r="B62" s="176"/>
      <c r="C62" s="176"/>
      <c r="D62" s="176"/>
      <c r="E62" s="176"/>
      <c r="F62" s="176"/>
      <c r="G62" s="177"/>
      <c r="H62" s="176"/>
      <c r="I62" s="178">
        <f>SUM(I55:I60)</f>
        <v>0</v>
      </c>
    </row>
    <row r="63" ht="14.25" customHeight="1">
      <c r="A63" s="179" t="str">
        <f>$I$3</f>
        <v>unid</v>
      </c>
      <c r="B63" s="180"/>
      <c r="C63" s="180"/>
      <c r="D63" s="180"/>
      <c r="E63" s="180"/>
      <c r="F63" s="180"/>
      <c r="G63" s="5"/>
      <c r="H63" s="180"/>
      <c r="I63" s="172">
        <f>$H$3</f>
        <v>4</v>
      </c>
      <c r="J63" s="74"/>
      <c r="K63" s="74"/>
      <c r="L63" s="74"/>
    </row>
    <row r="64" ht="14.25" customHeight="1">
      <c r="A64" s="181" t="s">
        <v>787</v>
      </c>
      <c r="B64" s="179" t="str">
        <f>A63</f>
        <v>unid</v>
      </c>
      <c r="C64" s="180"/>
      <c r="D64" s="180"/>
      <c r="E64" s="180"/>
      <c r="F64" s="180"/>
      <c r="G64" s="5"/>
      <c r="H64" s="180"/>
      <c r="I64" s="182">
        <f>I62/I63</f>
        <v>0</v>
      </c>
      <c r="J64" s="74"/>
      <c r="K64" s="74"/>
      <c r="L64" s="74"/>
    </row>
    <row r="65" ht="14.25" customHeight="1">
      <c r="G65" s="3"/>
    </row>
    <row r="66" ht="14.25" customHeight="1">
      <c r="G66" s="3"/>
    </row>
    <row r="67" ht="14.25" customHeight="1">
      <c r="A67" s="168" t="s">
        <v>792</v>
      </c>
      <c r="B67" s="76"/>
      <c r="C67" s="76"/>
      <c r="D67" s="76"/>
      <c r="E67" s="76"/>
      <c r="F67" s="76"/>
      <c r="G67" s="2"/>
      <c r="H67" s="76"/>
      <c r="I67" s="76"/>
    </row>
    <row r="68" ht="14.25" customHeight="1">
      <c r="A68" s="169" t="s">
        <v>778</v>
      </c>
      <c r="B68" s="169" t="s">
        <v>779</v>
      </c>
      <c r="C68" s="169" t="s">
        <v>780</v>
      </c>
      <c r="D68" s="169" t="s">
        <v>781</v>
      </c>
      <c r="E68" s="169" t="s">
        <v>789</v>
      </c>
      <c r="F68" s="169" t="s">
        <v>782</v>
      </c>
      <c r="G68" s="4" t="s">
        <v>783</v>
      </c>
      <c r="H68" s="169" t="s">
        <v>784</v>
      </c>
      <c r="I68" s="169" t="s">
        <v>785</v>
      </c>
    </row>
    <row r="69" ht="14.25" customHeight="1">
      <c r="A69" s="171"/>
      <c r="B69" s="74" t="str">
        <f>IF($A69=0,"",VLOOKUP($A69,'00_Sub'!$A$4:$D$1001,2,FALSE))</f>
        <v/>
      </c>
      <c r="C69" s="74" t="str">
        <f>IF($A69=0,"",VLOOKUP($A69,'00_Sub'!$A$4:$D$1001,3,FALSE))</f>
        <v/>
      </c>
      <c r="D69" s="171"/>
      <c r="E69" s="171"/>
      <c r="F69" s="173"/>
      <c r="G69" s="174">
        <f t="shared" ref="G69:G74" si="6">ROUNDUP((D69+(D69*F69)),0)</f>
        <v>0</v>
      </c>
      <c r="H69" s="120" t="str">
        <f>IF($A69=0,"",VLOOKUP($A69,'00_Sub'!$A$4:$D$1001,4,FALSE))</f>
        <v/>
      </c>
      <c r="I69" s="120"/>
    </row>
    <row r="70" ht="14.25" customHeight="1">
      <c r="A70" s="171"/>
      <c r="B70" s="74" t="str">
        <f>IF($A70=0,"",VLOOKUP($A70,'00_Sub'!$A$4:$D$1001,2,FALSE))</f>
        <v/>
      </c>
      <c r="C70" s="74" t="str">
        <f>IF($A70=0,"",VLOOKUP($A70,'00_Sub'!$A$4:$D$1001,3,FALSE))</f>
        <v/>
      </c>
      <c r="D70" s="171"/>
      <c r="E70" s="171"/>
      <c r="F70" s="173"/>
      <c r="G70" s="174">
        <f t="shared" si="6"/>
        <v>0</v>
      </c>
      <c r="H70" s="120" t="str">
        <f>IF($A70=0,"",VLOOKUP($A70,'00_Sub'!$A$4:$D$1001,4,FALSE))</f>
        <v/>
      </c>
      <c r="I70" s="120"/>
    </row>
    <row r="71" ht="14.25" customHeight="1">
      <c r="A71" s="171"/>
      <c r="B71" s="74" t="str">
        <f>IF($A71=0,"",VLOOKUP($A71,'00_Sub'!$A$4:$D$1001,2,FALSE))</f>
        <v/>
      </c>
      <c r="C71" s="74" t="str">
        <f>IF($A71=0,"",VLOOKUP($A71,'00_Sub'!$A$4:$D$1001,3,FALSE))</f>
        <v/>
      </c>
      <c r="D71" s="171"/>
      <c r="E71" s="171"/>
      <c r="F71" s="173"/>
      <c r="G71" s="174">
        <f t="shared" si="6"/>
        <v>0</v>
      </c>
      <c r="H71" s="120" t="str">
        <f>IF($A71=0,"",VLOOKUP($A71,'00_Sub'!$A$4:$D$1001,4,FALSE))</f>
        <v/>
      </c>
      <c r="I71" s="120"/>
    </row>
    <row r="72" ht="14.25" customHeight="1">
      <c r="A72" s="171"/>
      <c r="B72" s="74" t="str">
        <f>IF($A72=0,"",VLOOKUP($A72,'00_Sub'!$A$4:$D$1001,2,FALSE))</f>
        <v/>
      </c>
      <c r="C72" s="74" t="str">
        <f>IF($A72=0,"",VLOOKUP($A72,'00_Sub'!$A$4:$D$1001,3,FALSE))</f>
        <v/>
      </c>
      <c r="D72" s="171"/>
      <c r="E72" s="171"/>
      <c r="F72" s="173"/>
      <c r="G72" s="174">
        <f t="shared" si="6"/>
        <v>0</v>
      </c>
      <c r="H72" s="120" t="str">
        <f>IF($A72=0,"",VLOOKUP($A72,'00_Sub'!$A$4:$D$1001,4,FALSE))</f>
        <v/>
      </c>
      <c r="I72" s="120"/>
    </row>
    <row r="73" ht="14.25" customHeight="1">
      <c r="A73" s="171"/>
      <c r="B73" s="74" t="str">
        <f>IF($A73=0,"",VLOOKUP($A73,'00_Sub'!$A$4:$D$1001,2,FALSE))</f>
        <v/>
      </c>
      <c r="C73" s="74" t="str">
        <f>IF($A73=0,"",VLOOKUP($A73,'00_Sub'!$A$4:$D$1001,3,FALSE))</f>
        <v/>
      </c>
      <c r="D73" s="171"/>
      <c r="E73" s="171"/>
      <c r="F73" s="173"/>
      <c r="G73" s="174">
        <f t="shared" si="6"/>
        <v>0</v>
      </c>
      <c r="H73" s="120" t="str">
        <f>IF($A73=0,"",VLOOKUP($A73,'00_Sub'!$A$4:$D$1001,4,FALSE))</f>
        <v/>
      </c>
      <c r="I73" s="120"/>
    </row>
    <row r="74" ht="14.25" customHeight="1">
      <c r="A74" s="171"/>
      <c r="B74" s="74" t="str">
        <f>IF($A74=0,"",VLOOKUP($A74,'00_Sub'!$A$4:$D$1001,2,FALSE))</f>
        <v/>
      </c>
      <c r="C74" s="74" t="str">
        <f>IF($A74=0,"",VLOOKUP($A74,'00_Sub'!$A$4:$D$1001,3,FALSE))</f>
        <v/>
      </c>
      <c r="D74" s="171"/>
      <c r="E74" s="171"/>
      <c r="F74" s="173"/>
      <c r="G74" s="174">
        <f t="shared" si="6"/>
        <v>0</v>
      </c>
      <c r="H74" s="120" t="str">
        <f>IF($A74=0,"",VLOOKUP($A74,'00_Sub'!$A$4:$D$1001,4,FALSE))</f>
        <v/>
      </c>
      <c r="I74" s="120"/>
    </row>
    <row r="75" ht="14.25" customHeight="1">
      <c r="F75" s="126"/>
      <c r="G75" s="3"/>
      <c r="H75" s="120"/>
      <c r="I75" s="120"/>
    </row>
    <row r="76" ht="14.25" customHeight="1">
      <c r="A76" s="175" t="s">
        <v>717</v>
      </c>
      <c r="B76" s="176"/>
      <c r="C76" s="176"/>
      <c r="D76" s="176"/>
      <c r="E76" s="176"/>
      <c r="F76" s="176"/>
      <c r="G76" s="177"/>
      <c r="H76" s="176"/>
      <c r="I76" s="178">
        <f>SUM(I69:I74)</f>
        <v>0</v>
      </c>
    </row>
    <row r="77" ht="14.25" customHeight="1">
      <c r="A77" s="179" t="str">
        <f>$I$3</f>
        <v>unid</v>
      </c>
      <c r="B77" s="180"/>
      <c r="C77" s="180"/>
      <c r="D77" s="180"/>
      <c r="E77" s="180"/>
      <c r="F77" s="180"/>
      <c r="G77" s="5"/>
      <c r="H77" s="180"/>
      <c r="I77" s="172">
        <f>$H$3</f>
        <v>4</v>
      </c>
      <c r="J77" s="74"/>
      <c r="K77" s="74"/>
      <c r="L77" s="74"/>
    </row>
    <row r="78" ht="14.25" customHeight="1">
      <c r="A78" s="181" t="s">
        <v>787</v>
      </c>
      <c r="B78" s="179" t="str">
        <f>A77</f>
        <v>unid</v>
      </c>
      <c r="C78" s="180"/>
      <c r="D78" s="180"/>
      <c r="E78" s="180"/>
      <c r="F78" s="180"/>
      <c r="G78" s="5"/>
      <c r="H78" s="180"/>
      <c r="I78" s="182">
        <f>I76/I77</f>
        <v>0</v>
      </c>
      <c r="J78" s="74"/>
      <c r="K78" s="74"/>
      <c r="L78" s="74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7.43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73" t="str">
        <f>'01_C&amp;P'!A1</f>
        <v>NOMBRE DE LA OBRA</v>
      </c>
      <c r="B1" s="73"/>
      <c r="C1" s="73"/>
      <c r="G1" s="3"/>
    </row>
    <row r="2" ht="14.25" customHeight="1">
      <c r="G2" s="3"/>
    </row>
    <row r="3" ht="23.25" customHeight="1">
      <c r="A3" s="162">
        <f>'01_C&amp;P'!A32</f>
        <v>45720</v>
      </c>
      <c r="B3" s="163" t="str">
        <f>IF($A3=0,"",VLOOKUP($A3,'01_C&amp;P'!$A$9:$D$91,2,FALSE))</f>
        <v>BOCAS DE ILUMINACION. (No incluye artefactos)</v>
      </c>
      <c r="C3" s="164"/>
      <c r="D3" s="164"/>
      <c r="E3" s="164"/>
      <c r="F3" s="164"/>
      <c r="G3" s="165"/>
      <c r="H3" s="166">
        <f>IF($A3=0,"",VLOOKUP($A3,'01_C&amp;P'!$A$9:$D$91,4,FALSE))</f>
        <v>80</v>
      </c>
      <c r="I3" s="167" t="str">
        <f>IF($A3=0,"",VLOOKUP($A3,'01_C&amp;P'!$A$9:$D$91,3,FALSE))</f>
        <v>unid</v>
      </c>
    </row>
    <row r="4" ht="14.25" customHeight="1">
      <c r="G4" s="3"/>
    </row>
    <row r="5" ht="14.25" customHeight="1">
      <c r="A5" s="168" t="s">
        <v>0</v>
      </c>
      <c r="B5" s="76"/>
      <c r="C5" s="76"/>
      <c r="D5" s="76"/>
      <c r="E5" s="76"/>
      <c r="F5" s="76"/>
      <c r="G5" s="2"/>
      <c r="H5" s="76"/>
      <c r="I5" s="76"/>
    </row>
    <row r="6" ht="14.25" customHeight="1">
      <c r="A6" s="169" t="s">
        <v>778</v>
      </c>
      <c r="B6" s="169" t="s">
        <v>779</v>
      </c>
      <c r="C6" s="169" t="s">
        <v>780</v>
      </c>
      <c r="D6" s="170" t="s">
        <v>781</v>
      </c>
      <c r="E6" s="164"/>
      <c r="F6" s="169" t="s">
        <v>782</v>
      </c>
      <c r="G6" s="4" t="s">
        <v>783</v>
      </c>
      <c r="H6" s="169" t="s">
        <v>784</v>
      </c>
      <c r="I6" s="169" t="s">
        <v>785</v>
      </c>
    </row>
    <row r="7" ht="14.25" customHeight="1">
      <c r="A7" s="171"/>
      <c r="B7" s="74" t="s">
        <v>822</v>
      </c>
      <c r="C7" s="74" t="str">
        <f>IF($A7=0,"",VLOOKUP($A7,'00_Mat'!$A$4:$J$1136,3,FALSE))</f>
        <v/>
      </c>
      <c r="D7" s="172">
        <f>H3</f>
        <v>80</v>
      </c>
      <c r="E7" s="171"/>
      <c r="F7" s="173">
        <v>0.1</v>
      </c>
      <c r="G7" s="174">
        <f t="shared" ref="G7:G18" si="1">ROUNDUP((D7+(D7*F7)),0)</f>
        <v>88</v>
      </c>
      <c r="H7" s="120">
        <v>40000.0</v>
      </c>
      <c r="I7" s="120">
        <f>G7*H7</f>
        <v>3520000</v>
      </c>
      <c r="K7" s="127" t="s">
        <v>823</v>
      </c>
    </row>
    <row r="8" ht="14.25" customHeight="1">
      <c r="A8" s="171"/>
      <c r="B8" s="74" t="str">
        <f>IF($A8=0,"",VLOOKUP($A8,'00_Mat'!$A$4:$J$1136,2,FALSE))</f>
        <v/>
      </c>
      <c r="C8" s="74" t="str">
        <f>IF($A8=0,"",VLOOKUP($A8,'00_Mat'!$A$4:$J$1136,3,FALSE))</f>
        <v/>
      </c>
      <c r="D8" s="171"/>
      <c r="E8" s="171"/>
      <c r="F8" s="173"/>
      <c r="G8" s="174">
        <f t="shared" si="1"/>
        <v>0</v>
      </c>
      <c r="H8" s="120" t="str">
        <f>IF($A8=0,"",VLOOKUP($A8,'00_Mat'!$A$4:$J$1136,5,FALSE))</f>
        <v/>
      </c>
      <c r="I8" s="120"/>
    </row>
    <row r="9" ht="14.25" customHeight="1">
      <c r="A9" s="171"/>
      <c r="D9" s="171"/>
      <c r="E9" s="171"/>
      <c r="F9" s="173"/>
      <c r="G9" s="174">
        <f t="shared" si="1"/>
        <v>0</v>
      </c>
      <c r="H9" s="120"/>
      <c r="I9" s="120"/>
    </row>
    <row r="10" ht="14.25" customHeight="1">
      <c r="A10" s="171"/>
      <c r="B10" s="74" t="str">
        <f>IF($A10=0,"",VLOOKUP($A10,'00_Mat'!$A$4:$J$1136,2,FALSE))</f>
        <v/>
      </c>
      <c r="C10" s="74" t="str">
        <f>IF($A10=0,"",VLOOKUP($A10,'00_Mat'!$A$4:$J$1136,3,FALSE))</f>
        <v/>
      </c>
      <c r="D10" s="171"/>
      <c r="E10" s="171"/>
      <c r="F10" s="173"/>
      <c r="G10" s="174">
        <f t="shared" si="1"/>
        <v>0</v>
      </c>
      <c r="H10" s="120" t="str">
        <f>IF($A10=0,"",VLOOKUP($A10,'00_Mat'!$A$4:$J$1136,5,FALSE))</f>
        <v/>
      </c>
      <c r="I10" s="120"/>
    </row>
    <row r="11" ht="14.25" customHeight="1">
      <c r="A11" s="171"/>
      <c r="B11" s="74" t="str">
        <f>IF($A11=0,"",VLOOKUP($A11,'00_Mat'!$A$4:$J$1136,2,FALSE))</f>
        <v/>
      </c>
      <c r="C11" s="74" t="str">
        <f>IF($A11=0,"",VLOOKUP($A11,'00_Mat'!$A$4:$J$1136,3,FALSE))</f>
        <v/>
      </c>
      <c r="D11" s="171"/>
      <c r="E11" s="171"/>
      <c r="F11" s="173"/>
      <c r="G11" s="174">
        <f t="shared" si="1"/>
        <v>0</v>
      </c>
      <c r="H11" s="120" t="str">
        <f>IF($A11=0,"",VLOOKUP($A11,'00_Mat'!$A$4:$J$1136,5,FALSE))</f>
        <v/>
      </c>
      <c r="I11" s="120"/>
    </row>
    <row r="12" ht="14.25" customHeight="1">
      <c r="A12" s="171"/>
      <c r="B12" s="74" t="str">
        <f>IF($A12=0,"",VLOOKUP($A12,'00_Mat'!$A$4:$J$1136,2,FALSE))</f>
        <v/>
      </c>
      <c r="C12" s="74" t="str">
        <f>IF($A12=0,"",VLOOKUP($A12,'00_Mat'!$A$4:$J$1136,3,FALSE))</f>
        <v/>
      </c>
      <c r="D12" s="171"/>
      <c r="E12" s="171"/>
      <c r="F12" s="173"/>
      <c r="G12" s="174">
        <f t="shared" si="1"/>
        <v>0</v>
      </c>
      <c r="H12" s="120" t="str">
        <f>IF($A12=0,"",VLOOKUP($A12,'00_Mat'!$A$4:$J$1136,5,FALSE))</f>
        <v/>
      </c>
      <c r="I12" s="120"/>
    </row>
    <row r="13" ht="14.25" customHeight="1">
      <c r="A13" s="171"/>
      <c r="B13" s="74" t="str">
        <f>IF($A13=0,"",VLOOKUP($A13,'00_Mat'!$A$4:$J$1136,2,FALSE))</f>
        <v/>
      </c>
      <c r="C13" s="74" t="str">
        <f>IF($A13=0,"",VLOOKUP($A13,'00_Mat'!$A$4:$J$1136,3,FALSE))</f>
        <v/>
      </c>
      <c r="D13" s="171"/>
      <c r="E13" s="171"/>
      <c r="F13" s="173"/>
      <c r="G13" s="174">
        <f t="shared" si="1"/>
        <v>0</v>
      </c>
      <c r="H13" s="120" t="str">
        <f>IF($A13=0,"",VLOOKUP($A13,'00_Mat'!$A$4:$J$1136,5,FALSE))</f>
        <v/>
      </c>
      <c r="I13" s="120"/>
    </row>
    <row r="14" ht="14.25" customHeight="1">
      <c r="A14" s="171"/>
      <c r="B14" s="74" t="str">
        <f>IF($A14=0,"",VLOOKUP($A14,'00_Mat'!$A$4:$J$1136,2,FALSE))</f>
        <v/>
      </c>
      <c r="C14" s="74" t="str">
        <f>IF($A14=0,"",VLOOKUP($A14,'00_Mat'!$A$4:$J$1136,3,FALSE))</f>
        <v/>
      </c>
      <c r="D14" s="171"/>
      <c r="E14" s="171"/>
      <c r="F14" s="173"/>
      <c r="G14" s="174">
        <f t="shared" si="1"/>
        <v>0</v>
      </c>
      <c r="H14" s="120" t="str">
        <f>IF($A14=0,"",VLOOKUP($A14,'00_Mat'!$A$4:$J$1136,5,FALSE))</f>
        <v/>
      </c>
      <c r="I14" s="120"/>
    </row>
    <row r="15" ht="14.25" customHeight="1">
      <c r="A15" s="171"/>
      <c r="B15" s="74" t="str">
        <f>IF($A15=0,"",VLOOKUP($A15,'00_Mat'!$A$4:$J$1136,2,FALSE))</f>
        <v/>
      </c>
      <c r="C15" s="74" t="str">
        <f>IF($A15=0,"",VLOOKUP($A15,'00_Mat'!$A$4:$J$1136,3,FALSE))</f>
        <v/>
      </c>
      <c r="D15" s="171"/>
      <c r="E15" s="171"/>
      <c r="F15" s="173"/>
      <c r="G15" s="174">
        <f t="shared" si="1"/>
        <v>0</v>
      </c>
      <c r="H15" s="120" t="str">
        <f>IF($A15=0,"",VLOOKUP($A15,'00_Mat'!$A$4:$J$1136,5,FALSE))</f>
        <v/>
      </c>
      <c r="I15" s="120"/>
    </row>
    <row r="16" ht="14.25" customHeight="1">
      <c r="A16" s="171"/>
      <c r="B16" s="74" t="str">
        <f>IF($A16=0,"",VLOOKUP($A16,'00_Mat'!$A$4:$J$1136,2,FALSE))</f>
        <v/>
      </c>
      <c r="C16" s="74" t="str">
        <f>IF($A16=0,"",VLOOKUP($A16,'00_Mat'!$A$4:$J$1136,3,FALSE))</f>
        <v/>
      </c>
      <c r="D16" s="171"/>
      <c r="E16" s="171"/>
      <c r="F16" s="173"/>
      <c r="G16" s="174">
        <f t="shared" si="1"/>
        <v>0</v>
      </c>
      <c r="H16" s="120" t="str">
        <f>IF($A16=0,"",VLOOKUP($A16,'00_Mat'!$A$4:$J$1136,5,FALSE))</f>
        <v/>
      </c>
      <c r="I16" s="120"/>
    </row>
    <row r="17" ht="14.25" customHeight="1">
      <c r="A17" s="171"/>
      <c r="B17" s="74" t="str">
        <f>IF($A17=0,"",VLOOKUP($A17,'00_Mat'!$A$4:$J$1136,2,FALSE))</f>
        <v/>
      </c>
      <c r="C17" s="74" t="str">
        <f>IF($A17=0,"",VLOOKUP($A17,'00_Mat'!$A$4:$J$1136,3,FALSE))</f>
        <v/>
      </c>
      <c r="D17" s="171"/>
      <c r="E17" s="171"/>
      <c r="F17" s="173"/>
      <c r="G17" s="174">
        <f t="shared" si="1"/>
        <v>0</v>
      </c>
      <c r="H17" s="120" t="str">
        <f>IF($A17=0,"",VLOOKUP($A17,'00_Mat'!$A$4:$J$1136,5,FALSE))</f>
        <v/>
      </c>
      <c r="I17" s="120"/>
    </row>
    <row r="18" ht="14.25" customHeight="1">
      <c r="A18" s="171"/>
      <c r="B18" s="74" t="str">
        <f>IF($A18=0,"",VLOOKUP($A18,'00_Mat'!$A$4:$J$1136,2,FALSE))</f>
        <v/>
      </c>
      <c r="C18" s="74" t="str">
        <f>IF($A18=0,"",VLOOKUP($A18,'00_Mat'!$A$4:$J$1136,3,FALSE))</f>
        <v/>
      </c>
      <c r="D18" s="171"/>
      <c r="E18" s="171"/>
      <c r="F18" s="173"/>
      <c r="G18" s="174">
        <f t="shared" si="1"/>
        <v>0</v>
      </c>
      <c r="H18" s="120" t="str">
        <f>IF($A18=0,"",VLOOKUP($A18,'00_Mat'!$A$4:$J$1136,5,FALSE))</f>
        <v/>
      </c>
      <c r="I18" s="120"/>
    </row>
    <row r="19" ht="14.25" customHeight="1">
      <c r="F19" s="126"/>
      <c r="G19" s="3"/>
      <c r="H19" s="120"/>
      <c r="I19" s="120"/>
    </row>
    <row r="20" ht="14.25" customHeight="1">
      <c r="A20" s="175" t="s">
        <v>786</v>
      </c>
      <c r="B20" s="176"/>
      <c r="C20" s="176"/>
      <c r="D20" s="176"/>
      <c r="E20" s="176"/>
      <c r="F20" s="176"/>
      <c r="G20" s="177"/>
      <c r="H20" s="176"/>
      <c r="I20" s="178">
        <f>SUM(I7:I18)</f>
        <v>3520000</v>
      </c>
      <c r="J20" s="74"/>
      <c r="K20" s="74"/>
      <c r="L20" s="74"/>
    </row>
    <row r="21" ht="14.25" customHeight="1">
      <c r="A21" s="179" t="str">
        <f>$I$3</f>
        <v>unid</v>
      </c>
      <c r="B21" s="180"/>
      <c r="C21" s="180"/>
      <c r="D21" s="180"/>
      <c r="E21" s="180"/>
      <c r="F21" s="180"/>
      <c r="G21" s="5"/>
      <c r="H21" s="180"/>
      <c r="I21" s="172">
        <f>$H$3</f>
        <v>80</v>
      </c>
      <c r="J21" s="74"/>
      <c r="K21" s="74"/>
      <c r="L21" s="74"/>
    </row>
    <row r="22" ht="14.25" customHeight="1">
      <c r="A22" s="181" t="s">
        <v>787</v>
      </c>
      <c r="B22" s="179" t="str">
        <f>A21</f>
        <v>unid</v>
      </c>
      <c r="C22" s="180"/>
      <c r="D22" s="180"/>
      <c r="E22" s="180"/>
      <c r="F22" s="180"/>
      <c r="G22" s="5"/>
      <c r="H22" s="180"/>
      <c r="I22" s="182">
        <f>I20/I21</f>
        <v>44000</v>
      </c>
      <c r="J22" s="74"/>
      <c r="K22" s="74"/>
      <c r="L22" s="74"/>
    </row>
    <row r="23" ht="14.25" customHeight="1">
      <c r="G23" s="3"/>
    </row>
    <row r="24" ht="14.25" customHeight="1">
      <c r="G24" s="3"/>
    </row>
    <row r="25" ht="14.25" customHeight="1">
      <c r="A25" s="168" t="s">
        <v>788</v>
      </c>
      <c r="B25" s="76"/>
      <c r="C25" s="76"/>
      <c r="D25" s="76"/>
      <c r="E25" s="76"/>
      <c r="F25" s="76"/>
      <c r="G25" s="2"/>
      <c r="H25" s="76"/>
      <c r="I25" s="76"/>
    </row>
    <row r="26" ht="14.25" customHeight="1">
      <c r="A26" s="169" t="s">
        <v>778</v>
      </c>
      <c r="B26" s="169" t="s">
        <v>779</v>
      </c>
      <c r="C26" s="169" t="s">
        <v>780</v>
      </c>
      <c r="D26" s="169" t="s">
        <v>781</v>
      </c>
      <c r="E26" s="169" t="s">
        <v>789</v>
      </c>
      <c r="F26" s="169" t="s">
        <v>782</v>
      </c>
      <c r="G26" s="4" t="s">
        <v>783</v>
      </c>
      <c r="H26" s="169" t="s">
        <v>784</v>
      </c>
      <c r="I26" s="169" t="s">
        <v>785</v>
      </c>
    </row>
    <row r="27" ht="14.25" customHeight="1">
      <c r="A27" s="171"/>
      <c r="B27" s="74" t="str">
        <f>IF($A27=0,"",VLOOKUP($A27,'00_MO'!$A$4:$D$7,2,FALSE))</f>
        <v/>
      </c>
      <c r="C27" s="74" t="str">
        <f>IF($A27=0,"",VLOOKUP($A27,'00_MO'!$A$4:$D$7,3,FALSE))</f>
        <v/>
      </c>
      <c r="D27" s="171"/>
      <c r="E27" s="171"/>
      <c r="F27" s="173"/>
      <c r="G27" s="184">
        <f t="shared" ref="G27:G32" si="2">ROUNDUP(((D27*E27)*(1+F27)),0)</f>
        <v>0</v>
      </c>
      <c r="H27" s="120" t="str">
        <f>IF($A27=0,"",VLOOKUP($A27,'00_MO'!$A$4:$D$7,4,FALSE))</f>
        <v/>
      </c>
      <c r="I27" s="120"/>
    </row>
    <row r="28" ht="14.25" customHeight="1">
      <c r="A28" s="171"/>
      <c r="B28" s="74" t="str">
        <f>IF($A28=0,"",VLOOKUP($A28,'00_MO'!$A$4:$D$7,2,FALSE))</f>
        <v/>
      </c>
      <c r="C28" s="74" t="str">
        <f>IF($A28=0,"",VLOOKUP($A28,'00_MO'!$A$4:$D$7,3,FALSE))</f>
        <v/>
      </c>
      <c r="D28" s="171"/>
      <c r="E28" s="171"/>
      <c r="F28" s="173"/>
      <c r="G28" s="184">
        <f t="shared" si="2"/>
        <v>0</v>
      </c>
      <c r="H28" s="120" t="str">
        <f>IF($A28=0,"",VLOOKUP($A28,'00_MO'!$A$4:$D$7,4,FALSE))</f>
        <v/>
      </c>
      <c r="I28" s="120"/>
    </row>
    <row r="29" ht="14.25" customHeight="1">
      <c r="A29" s="171"/>
      <c r="B29" s="74" t="str">
        <f>IF($A29=0,"",VLOOKUP($A29,'00_MO'!$A$4:$D$7,2,FALSE))</f>
        <v/>
      </c>
      <c r="C29" s="74" t="str">
        <f>IF($A29=0,"",VLOOKUP($A29,'00_MO'!$A$4:$D$7,3,FALSE))</f>
        <v/>
      </c>
      <c r="D29" s="171"/>
      <c r="E29" s="171"/>
      <c r="F29" s="173"/>
      <c r="G29" s="184">
        <f t="shared" si="2"/>
        <v>0</v>
      </c>
      <c r="H29" s="120" t="str">
        <f>IF($A29=0,"",VLOOKUP($A29,'00_MO'!$A$4:$D$7,4,FALSE))</f>
        <v/>
      </c>
      <c r="I29" s="120"/>
    </row>
    <row r="30" ht="14.25" customHeight="1">
      <c r="A30" s="171"/>
      <c r="B30" s="74" t="str">
        <f>IF($A30=0,"",VLOOKUP($A30,'00_MO'!$A$4:$D$7,2,FALSE))</f>
        <v/>
      </c>
      <c r="C30" s="74" t="str">
        <f>IF($A30=0,"",VLOOKUP($A30,'00_MO'!$A$4:$D$7,3,FALSE))</f>
        <v/>
      </c>
      <c r="D30" s="171"/>
      <c r="E30" s="171"/>
      <c r="F30" s="173"/>
      <c r="G30" s="184">
        <f t="shared" si="2"/>
        <v>0</v>
      </c>
      <c r="H30" s="120" t="str">
        <f>IF($A30=0,"",VLOOKUP($A30,'00_MO'!$A$4:$D$7,4,FALSE))</f>
        <v/>
      </c>
      <c r="I30" s="120"/>
    </row>
    <row r="31" ht="14.25" customHeight="1">
      <c r="A31" s="171"/>
      <c r="B31" s="74" t="str">
        <f>IF($A31=0,"",VLOOKUP($A31,'00_MO'!$A$4:$D$7,2,FALSE))</f>
        <v/>
      </c>
      <c r="C31" s="74" t="str">
        <f>IF($A31=0,"",VLOOKUP($A31,'00_MO'!$A$4:$D$7,3,FALSE))</f>
        <v/>
      </c>
      <c r="D31" s="171"/>
      <c r="E31" s="171"/>
      <c r="F31" s="173"/>
      <c r="G31" s="184">
        <f t="shared" si="2"/>
        <v>0</v>
      </c>
      <c r="H31" s="120" t="str">
        <f>IF($A31=0,"",VLOOKUP($A31,'00_MO'!$A$4:$D$7,4,FALSE))</f>
        <v/>
      </c>
      <c r="I31" s="120"/>
    </row>
    <row r="32" ht="14.25" customHeight="1">
      <c r="A32" s="171"/>
      <c r="B32" s="74" t="str">
        <f>IF($A32=0,"",VLOOKUP($A32,'00_MO'!$A$4:$D$7,2,FALSE))</f>
        <v/>
      </c>
      <c r="C32" s="74" t="str">
        <f>IF($A32=0,"",VLOOKUP($A32,'00_MO'!$A$4:$D$7,3,FALSE))</f>
        <v/>
      </c>
      <c r="D32" s="171"/>
      <c r="E32" s="171"/>
      <c r="F32" s="173"/>
      <c r="G32" s="184">
        <f t="shared" si="2"/>
        <v>0</v>
      </c>
      <c r="H32" s="120" t="str">
        <f>IF($A32=0,"",VLOOKUP($A32,'00_MO'!$A$4:$D$7,4,FALSE))</f>
        <v/>
      </c>
      <c r="I32" s="120"/>
    </row>
    <row r="33" ht="14.25" customHeight="1">
      <c r="F33" s="126"/>
      <c r="G33" s="3"/>
      <c r="H33" s="120"/>
      <c r="I33" s="120"/>
    </row>
    <row r="34" ht="14.25" customHeight="1">
      <c r="A34" s="175" t="s">
        <v>717</v>
      </c>
      <c r="B34" s="176"/>
      <c r="C34" s="176"/>
      <c r="D34" s="176"/>
      <c r="E34" s="176"/>
      <c r="F34" s="176"/>
      <c r="G34" s="177"/>
      <c r="H34" s="176"/>
      <c r="I34" s="178">
        <f>SUM(I27:I32)</f>
        <v>0</v>
      </c>
    </row>
    <row r="35" ht="14.25" customHeight="1">
      <c r="A35" s="179" t="str">
        <f>$I$3</f>
        <v>unid</v>
      </c>
      <c r="B35" s="180"/>
      <c r="C35" s="180"/>
      <c r="D35" s="180"/>
      <c r="E35" s="180"/>
      <c r="F35" s="180"/>
      <c r="G35" s="5"/>
      <c r="H35" s="180"/>
      <c r="I35" s="172">
        <f>$H$3</f>
        <v>80</v>
      </c>
      <c r="J35" s="74"/>
      <c r="K35" s="74"/>
      <c r="L35" s="74"/>
    </row>
    <row r="36" ht="14.25" customHeight="1">
      <c r="A36" s="181" t="s">
        <v>787</v>
      </c>
      <c r="B36" s="179" t="str">
        <f>A35</f>
        <v>unid</v>
      </c>
      <c r="C36" s="180"/>
      <c r="D36" s="180"/>
      <c r="E36" s="180"/>
      <c r="F36" s="180"/>
      <c r="G36" s="5"/>
      <c r="H36" s="180"/>
      <c r="I36" s="182">
        <f>I34/I35</f>
        <v>0</v>
      </c>
      <c r="J36" s="74"/>
      <c r="K36" s="74"/>
      <c r="L36" s="74"/>
    </row>
    <row r="37" ht="14.25" customHeight="1">
      <c r="G37" s="3"/>
    </row>
    <row r="38" ht="14.25" customHeight="1">
      <c r="G38" s="3"/>
    </row>
    <row r="39" ht="14.25" customHeight="1">
      <c r="A39" s="168" t="s">
        <v>790</v>
      </c>
      <c r="B39" s="76"/>
      <c r="C39" s="76"/>
      <c r="D39" s="76"/>
      <c r="E39" s="76"/>
      <c r="F39" s="76"/>
      <c r="G39" s="2"/>
      <c r="H39" s="76"/>
      <c r="I39" s="76"/>
    </row>
    <row r="40" ht="14.25" customHeight="1">
      <c r="A40" s="169" t="s">
        <v>778</v>
      </c>
      <c r="B40" s="169" t="s">
        <v>779</v>
      </c>
      <c r="C40" s="169" t="s">
        <v>780</v>
      </c>
      <c r="D40" s="169" t="s">
        <v>781</v>
      </c>
      <c r="E40" s="169" t="s">
        <v>789</v>
      </c>
      <c r="F40" s="169" t="s">
        <v>782</v>
      </c>
      <c r="G40" s="4" t="s">
        <v>783</v>
      </c>
      <c r="H40" s="169" t="s">
        <v>784</v>
      </c>
      <c r="I40" s="169" t="s">
        <v>785</v>
      </c>
    </row>
    <row r="41" ht="14.25" customHeight="1">
      <c r="A41" s="171"/>
      <c r="B41" s="74" t="str">
        <f>IF($A41=0,"",VLOOKUP($A41,'00_Eq'!$A$4:$D$6,2,FALSE))</f>
        <v/>
      </c>
      <c r="C41" s="74" t="str">
        <f>IF($A41=0,"",VLOOKUP($A41,'00_Eq'!$A$4:$D$51,3,FALSE))</f>
        <v/>
      </c>
      <c r="D41" s="171"/>
      <c r="E41" s="171"/>
      <c r="F41" s="173"/>
      <c r="G41" s="184">
        <f t="shared" ref="G41:G46" si="3">ROUNDUP(((D41*E41)*(1+F41)),0)</f>
        <v>0</v>
      </c>
      <c r="H41" s="120" t="str">
        <f>IF($A41=0,"",VLOOKUP($A41,'00_Eq'!$A$4:$D$6,4,FALSE))</f>
        <v/>
      </c>
      <c r="I41" s="120">
        <f t="shared" ref="I41:I42" si="4">G41*H41</f>
        <v>0</v>
      </c>
    </row>
    <row r="42" ht="14.25" customHeight="1">
      <c r="A42" s="171"/>
      <c r="B42" s="74" t="str">
        <f>IF($A42=0,"",VLOOKUP($A42,'00_Eq'!$A$4:$D$6,2,FALSE))</f>
        <v/>
      </c>
      <c r="C42" s="74" t="str">
        <f>IF($A42=0,"",VLOOKUP($A42,'00_Eq'!$A$4:$D$51,3,FALSE))</f>
        <v/>
      </c>
      <c r="D42" s="171"/>
      <c r="E42" s="171"/>
      <c r="F42" s="173"/>
      <c r="G42" s="184">
        <f t="shared" si="3"/>
        <v>0</v>
      </c>
      <c r="H42" s="120" t="str">
        <f>IF($A42=0,"",VLOOKUP($A42,'00_Eq'!$A$4:$D$6,4,FALSE))</f>
        <v/>
      </c>
      <c r="I42" s="120">
        <f t="shared" si="4"/>
        <v>0</v>
      </c>
    </row>
    <row r="43" ht="14.25" customHeight="1">
      <c r="A43" s="171"/>
      <c r="B43" s="74" t="str">
        <f>IF($A43=0,"",VLOOKUP($A43,'00_Eq'!$A$4:$D$6,2,FALSE))</f>
        <v/>
      </c>
      <c r="C43" s="74" t="str">
        <f>IF($A43=0,"",VLOOKUP($A43,'00_Eq'!$A$4:$D$51,3,FALSE))</f>
        <v/>
      </c>
      <c r="D43" s="171"/>
      <c r="E43" s="171"/>
      <c r="F43" s="173"/>
      <c r="G43" s="184">
        <f t="shared" si="3"/>
        <v>0</v>
      </c>
      <c r="H43" s="120" t="str">
        <f>IF($A43=0,"",VLOOKUP($A43,'00_Eq'!$A$4:$D$6,4,FALSE))</f>
        <v/>
      </c>
      <c r="I43" s="120"/>
    </row>
    <row r="44" ht="14.25" customHeight="1">
      <c r="A44" s="171"/>
      <c r="B44" s="74" t="str">
        <f>IF($A44=0,"",VLOOKUP($A44,'00_Eq'!$A$4:$D$6,2,FALSE))</f>
        <v/>
      </c>
      <c r="C44" s="74" t="str">
        <f>IF($A44=0,"",VLOOKUP($A44,'00_Eq'!$A$4:$D$51,3,FALSE))</f>
        <v/>
      </c>
      <c r="D44" s="171"/>
      <c r="E44" s="171"/>
      <c r="F44" s="173"/>
      <c r="G44" s="184">
        <f t="shared" si="3"/>
        <v>0</v>
      </c>
      <c r="H44" s="120" t="str">
        <f>IF($A44=0,"",VLOOKUP($A44,'00_Eq'!$A$4:$D$6,4,FALSE))</f>
        <v/>
      </c>
      <c r="I44" s="120"/>
    </row>
    <row r="45" ht="14.25" customHeight="1">
      <c r="A45" s="171"/>
      <c r="B45" s="74" t="str">
        <f>IF($A45=0,"",VLOOKUP($A45,'00_Eq'!$A$4:$D$6,2,FALSE))</f>
        <v/>
      </c>
      <c r="C45" s="74" t="str">
        <f>IF($A45=0,"",VLOOKUP($A45,'00_Eq'!$A$4:$D$51,3,FALSE))</f>
        <v/>
      </c>
      <c r="D45" s="171"/>
      <c r="E45" s="171"/>
      <c r="F45" s="173"/>
      <c r="G45" s="184">
        <f t="shared" si="3"/>
        <v>0</v>
      </c>
      <c r="H45" s="120" t="str">
        <f>IF($A45=0,"",VLOOKUP($A45,'00_Eq'!$A$4:$D$6,4,FALSE))</f>
        <v/>
      </c>
      <c r="I45" s="120"/>
    </row>
    <row r="46" ht="14.25" customHeight="1">
      <c r="A46" s="171"/>
      <c r="B46" s="74" t="str">
        <f>IF($A46=0,"",VLOOKUP($A46,'00_Eq'!$A$4:$D$6,2,FALSE))</f>
        <v/>
      </c>
      <c r="C46" s="74" t="str">
        <f>IF($A46=0,"",VLOOKUP($A46,'00_Eq'!$A$4:$D$51,3,FALSE))</f>
        <v/>
      </c>
      <c r="D46" s="171"/>
      <c r="E46" s="171"/>
      <c r="F46" s="173"/>
      <c r="G46" s="184">
        <f t="shared" si="3"/>
        <v>0</v>
      </c>
      <c r="H46" s="120" t="str">
        <f>IF($A46=0,"",VLOOKUP($A46,'00_Eq'!$A$4:$D$6,4,FALSE))</f>
        <v/>
      </c>
      <c r="I46" s="120"/>
    </row>
    <row r="47" ht="14.25" customHeight="1">
      <c r="F47" s="126"/>
      <c r="G47" s="3"/>
      <c r="H47" s="120"/>
      <c r="I47" s="120"/>
    </row>
    <row r="48" ht="14.25" customHeight="1">
      <c r="A48" s="175" t="s">
        <v>717</v>
      </c>
      <c r="B48" s="176"/>
      <c r="C48" s="176"/>
      <c r="D48" s="176"/>
      <c r="E48" s="176"/>
      <c r="F48" s="176"/>
      <c r="G48" s="177"/>
      <c r="H48" s="176"/>
      <c r="I48" s="178">
        <f>SUM(I41:I46)</f>
        <v>0</v>
      </c>
    </row>
    <row r="49" ht="14.25" customHeight="1">
      <c r="A49" s="179" t="str">
        <f>$I$3</f>
        <v>unid</v>
      </c>
      <c r="B49" s="180"/>
      <c r="C49" s="180"/>
      <c r="D49" s="180"/>
      <c r="E49" s="180"/>
      <c r="F49" s="180"/>
      <c r="G49" s="5"/>
      <c r="H49" s="180"/>
      <c r="I49" s="172">
        <f>$H$3</f>
        <v>80</v>
      </c>
      <c r="J49" s="74"/>
      <c r="K49" s="74"/>
      <c r="L49" s="74"/>
    </row>
    <row r="50" ht="14.25" customHeight="1">
      <c r="A50" s="181" t="s">
        <v>787</v>
      </c>
      <c r="B50" s="179" t="str">
        <f>A49</f>
        <v>unid</v>
      </c>
      <c r="C50" s="180"/>
      <c r="D50" s="180"/>
      <c r="E50" s="180"/>
      <c r="F50" s="180"/>
      <c r="G50" s="5"/>
      <c r="H50" s="180"/>
      <c r="I50" s="182">
        <f>I48/I49</f>
        <v>0</v>
      </c>
      <c r="J50" s="74"/>
      <c r="K50" s="74"/>
      <c r="L50" s="74"/>
    </row>
    <row r="51" ht="14.25" customHeight="1">
      <c r="G51" s="3"/>
    </row>
    <row r="52" ht="14.25" customHeight="1">
      <c r="G52" s="3"/>
    </row>
    <row r="53" ht="14.25" customHeight="1">
      <c r="A53" s="168" t="s">
        <v>791</v>
      </c>
      <c r="B53" s="76"/>
      <c r="C53" s="76"/>
      <c r="D53" s="76"/>
      <c r="E53" s="76"/>
      <c r="F53" s="76"/>
      <c r="G53" s="2"/>
      <c r="H53" s="76"/>
      <c r="I53" s="76"/>
    </row>
    <row r="54" ht="14.25" customHeight="1">
      <c r="A54" s="169" t="s">
        <v>778</v>
      </c>
      <c r="B54" s="169" t="s">
        <v>779</v>
      </c>
      <c r="C54" s="169" t="s">
        <v>780</v>
      </c>
      <c r="D54" s="169" t="s">
        <v>781</v>
      </c>
      <c r="E54" s="169"/>
      <c r="F54" s="169" t="s">
        <v>782</v>
      </c>
      <c r="G54" s="4" t="s">
        <v>783</v>
      </c>
      <c r="H54" s="169" t="s">
        <v>784</v>
      </c>
      <c r="I54" s="169" t="s">
        <v>785</v>
      </c>
    </row>
    <row r="55" ht="14.25" customHeight="1">
      <c r="A55" s="171"/>
      <c r="B55" s="74" t="str">
        <f>IF($A55=0,"",VLOOKUP($A55,'00_Mat'!$A$4:$J$1136,2,FALSE))</f>
        <v/>
      </c>
      <c r="C55" s="74" t="str">
        <f>IF($A55=0,"",VLOOKUP($A55,'00_Mat'!$A$4:$J$1136,3,FALSE))</f>
        <v/>
      </c>
      <c r="D55" s="172"/>
      <c r="E55" s="171"/>
      <c r="F55" s="173"/>
      <c r="G55" s="174">
        <f t="shared" ref="G55:G60" si="5">ROUNDUP((D55+(D55*F55)),0)</f>
        <v>0</v>
      </c>
      <c r="H55" s="120" t="str">
        <f>IF($A55=0,"",VLOOKUP($A55,'00_Mat'!$A$4:$J$1136,5,FALSE))</f>
        <v/>
      </c>
      <c r="I55" s="120"/>
    </row>
    <row r="56" ht="14.25" customHeight="1">
      <c r="A56" s="171"/>
      <c r="B56" s="74" t="str">
        <f>IF($A56=0,"",VLOOKUP($A56,'00_Mat'!$A$4:$J$1136,2,FALSE))</f>
        <v/>
      </c>
      <c r="C56" s="74" t="str">
        <f>IF($A56=0,"",VLOOKUP($A56,'00_Mat'!$A$4:$J$1136,3,FALSE))</f>
        <v/>
      </c>
      <c r="D56" s="172"/>
      <c r="E56" s="171"/>
      <c r="F56" s="173"/>
      <c r="G56" s="174">
        <f t="shared" si="5"/>
        <v>0</v>
      </c>
      <c r="H56" s="120" t="str">
        <f>IF($A56=0,"",VLOOKUP($A56,'00_Mat'!$A$4:$J$1136,5,FALSE))</f>
        <v/>
      </c>
      <c r="I56" s="120"/>
    </row>
    <row r="57" ht="14.25" customHeight="1">
      <c r="A57" s="171"/>
      <c r="B57" s="74" t="str">
        <f>IF($A57=0,"",VLOOKUP($A57,'00_Mat'!$A$4:$J$1136,2,FALSE))</f>
        <v/>
      </c>
      <c r="C57" s="74" t="str">
        <f>IF($A57=0,"",VLOOKUP($A57,'00_Mat'!$A$4:$J$1136,3,FALSE))</f>
        <v/>
      </c>
      <c r="D57" s="172"/>
      <c r="E57" s="171"/>
      <c r="F57" s="173"/>
      <c r="G57" s="174">
        <f t="shared" si="5"/>
        <v>0</v>
      </c>
      <c r="H57" s="120" t="str">
        <f>IF($A57=0,"",VLOOKUP($A57,'00_Mat'!$A$4:$J$1136,5,FALSE))</f>
        <v/>
      </c>
      <c r="I57" s="120"/>
    </row>
    <row r="58" ht="14.25" customHeight="1">
      <c r="A58" s="171"/>
      <c r="B58" s="74" t="str">
        <f>IF($A58=0,"",VLOOKUP($A58,'00_Mat'!$A$4:$J$1136,2,FALSE))</f>
        <v/>
      </c>
      <c r="C58" s="74" t="str">
        <f>IF($A58=0,"",VLOOKUP($A58,'00_Mat'!$A$4:$J$1136,3,FALSE))</f>
        <v/>
      </c>
      <c r="D58" s="172"/>
      <c r="E58" s="171"/>
      <c r="F58" s="173"/>
      <c r="G58" s="174">
        <f t="shared" si="5"/>
        <v>0</v>
      </c>
      <c r="H58" s="120" t="str">
        <f>IF($A58=0,"",VLOOKUP($A58,'00_Mat'!$A$4:$J$1136,5,FALSE))</f>
        <v/>
      </c>
      <c r="I58" s="120"/>
    </row>
    <row r="59" ht="14.25" customHeight="1">
      <c r="A59" s="171"/>
      <c r="B59" s="74" t="str">
        <f>IF($A59=0,"",VLOOKUP($A59,'00_Mat'!$A$4:$J$1136,2,FALSE))</f>
        <v/>
      </c>
      <c r="C59" s="74" t="str">
        <f>IF($A59=0,"",VLOOKUP($A59,'00_Mat'!$A$4:$J$1136,3,FALSE))</f>
        <v/>
      </c>
      <c r="D59" s="172"/>
      <c r="E59" s="171"/>
      <c r="F59" s="173"/>
      <c r="G59" s="174">
        <f t="shared" si="5"/>
        <v>0</v>
      </c>
      <c r="H59" s="120" t="str">
        <f>IF($A59=0,"",VLOOKUP($A59,'00_Mat'!$A$4:$J$1136,5,FALSE))</f>
        <v/>
      </c>
      <c r="I59" s="120"/>
    </row>
    <row r="60" ht="14.25" customHeight="1">
      <c r="A60" s="171"/>
      <c r="B60" s="74" t="str">
        <f>IF($A60=0,"",VLOOKUP($A60,'00_Mat'!$A$4:$J$1136,2,FALSE))</f>
        <v/>
      </c>
      <c r="C60" s="74" t="str">
        <f>IF($A60=0,"",VLOOKUP($A60,'00_Mat'!$A$4:$J$1136,3,FALSE))</f>
        <v/>
      </c>
      <c r="D60" s="172"/>
      <c r="E60" s="171"/>
      <c r="F60" s="173"/>
      <c r="G60" s="174">
        <f t="shared" si="5"/>
        <v>0</v>
      </c>
      <c r="H60" s="120" t="str">
        <f>IF($A60=0,"",VLOOKUP($A60,'00_Mat'!$A$4:$J$1136,5,FALSE))</f>
        <v/>
      </c>
      <c r="I60" s="120"/>
    </row>
    <row r="61" ht="14.25" customHeight="1">
      <c r="F61" s="126"/>
      <c r="G61" s="3"/>
      <c r="H61" s="120"/>
      <c r="I61" s="120"/>
    </row>
    <row r="62" ht="14.25" customHeight="1">
      <c r="A62" s="175" t="s">
        <v>717</v>
      </c>
      <c r="B62" s="176"/>
      <c r="C62" s="176"/>
      <c r="D62" s="176"/>
      <c r="E62" s="176"/>
      <c r="F62" s="176"/>
      <c r="G62" s="177"/>
      <c r="H62" s="176"/>
      <c r="I62" s="178">
        <f>SUM(I55:I60)</f>
        <v>0</v>
      </c>
    </row>
    <row r="63" ht="14.25" customHeight="1">
      <c r="A63" s="179" t="str">
        <f>$I$3</f>
        <v>unid</v>
      </c>
      <c r="B63" s="180"/>
      <c r="C63" s="180"/>
      <c r="D63" s="180"/>
      <c r="E63" s="180"/>
      <c r="F63" s="180"/>
      <c r="G63" s="5"/>
      <c r="H63" s="180"/>
      <c r="I63" s="172">
        <f>$H$3</f>
        <v>80</v>
      </c>
      <c r="J63" s="74"/>
      <c r="K63" s="74"/>
      <c r="L63" s="74"/>
    </row>
    <row r="64" ht="14.25" customHeight="1">
      <c r="A64" s="181" t="s">
        <v>787</v>
      </c>
      <c r="B64" s="179" t="str">
        <f>A63</f>
        <v>unid</v>
      </c>
      <c r="C64" s="180"/>
      <c r="D64" s="180"/>
      <c r="E64" s="180"/>
      <c r="F64" s="180"/>
      <c r="G64" s="5"/>
      <c r="H64" s="180"/>
      <c r="I64" s="182">
        <f>I62/I63</f>
        <v>0</v>
      </c>
      <c r="J64" s="74"/>
      <c r="K64" s="74"/>
      <c r="L64" s="74"/>
    </row>
    <row r="65" ht="14.25" customHeight="1">
      <c r="G65" s="3"/>
    </row>
    <row r="66" ht="14.25" customHeight="1">
      <c r="G66" s="3"/>
    </row>
    <row r="67" ht="14.25" customHeight="1">
      <c r="A67" s="168" t="s">
        <v>792</v>
      </c>
      <c r="B67" s="76"/>
      <c r="C67" s="76"/>
      <c r="D67" s="76"/>
      <c r="E67" s="76"/>
      <c r="F67" s="76"/>
      <c r="G67" s="2"/>
      <c r="H67" s="76"/>
      <c r="I67" s="76"/>
    </row>
    <row r="68" ht="14.25" customHeight="1">
      <c r="A68" s="169" t="s">
        <v>778</v>
      </c>
      <c r="B68" s="169" t="s">
        <v>779</v>
      </c>
      <c r="C68" s="169" t="s">
        <v>780</v>
      </c>
      <c r="D68" s="169" t="s">
        <v>781</v>
      </c>
      <c r="E68" s="169" t="s">
        <v>789</v>
      </c>
      <c r="F68" s="169" t="s">
        <v>782</v>
      </c>
      <c r="G68" s="4" t="s">
        <v>783</v>
      </c>
      <c r="H68" s="169" t="s">
        <v>784</v>
      </c>
      <c r="I68" s="169" t="s">
        <v>785</v>
      </c>
    </row>
    <row r="69" ht="14.25" customHeight="1">
      <c r="A69" s="171"/>
      <c r="B69" s="74" t="s">
        <v>824</v>
      </c>
      <c r="C69" s="74" t="str">
        <f>IF($A69=0,"",VLOOKUP($A69,'00_Sub'!$A$4:$D$1001,3,FALSE))</f>
        <v/>
      </c>
      <c r="D69" s="172">
        <f>H3</f>
        <v>80</v>
      </c>
      <c r="E69" s="171"/>
      <c r="F69" s="173"/>
      <c r="G69" s="174">
        <f t="shared" ref="G69:G74" si="6">ROUNDUP((D69+(D69*F69)),0)</f>
        <v>80</v>
      </c>
      <c r="H69" s="120">
        <v>65000.0</v>
      </c>
      <c r="I69" s="120">
        <f>G69*H69</f>
        <v>5200000</v>
      </c>
      <c r="K69" s="127" t="s">
        <v>823</v>
      </c>
    </row>
    <row r="70" ht="14.25" customHeight="1">
      <c r="A70" s="171"/>
      <c r="B70" s="74" t="str">
        <f>IF($A70=0,"",VLOOKUP($A70,'00_Sub'!$A$4:$D$1001,2,FALSE))</f>
        <v/>
      </c>
      <c r="C70" s="74" t="str">
        <f>IF($A70=0,"",VLOOKUP($A70,'00_Sub'!$A$4:$D$1001,3,FALSE))</f>
        <v/>
      </c>
      <c r="D70" s="171"/>
      <c r="E70" s="171"/>
      <c r="F70" s="173"/>
      <c r="G70" s="174">
        <f t="shared" si="6"/>
        <v>0</v>
      </c>
      <c r="H70" s="120" t="str">
        <f>IF($A70=0,"",VLOOKUP($A70,'00_Sub'!$A$4:$D$1001,4,FALSE))</f>
        <v/>
      </c>
      <c r="I70" s="120"/>
    </row>
    <row r="71" ht="14.25" customHeight="1">
      <c r="A71" s="171"/>
      <c r="B71" s="74" t="str">
        <f>IF($A71=0,"",VLOOKUP($A71,'00_Sub'!$A$4:$D$1001,2,FALSE))</f>
        <v/>
      </c>
      <c r="C71" s="74" t="str">
        <f>IF($A71=0,"",VLOOKUP($A71,'00_Sub'!$A$4:$D$1001,3,FALSE))</f>
        <v/>
      </c>
      <c r="D71" s="171"/>
      <c r="E71" s="171"/>
      <c r="F71" s="173"/>
      <c r="G71" s="174">
        <f t="shared" si="6"/>
        <v>0</v>
      </c>
      <c r="H71" s="120" t="str">
        <f>IF($A71=0,"",VLOOKUP($A71,'00_Sub'!$A$4:$D$1001,4,FALSE))</f>
        <v/>
      </c>
      <c r="I71" s="120"/>
    </row>
    <row r="72" ht="14.25" customHeight="1">
      <c r="A72" s="171"/>
      <c r="B72" s="74" t="str">
        <f>IF($A72=0,"",VLOOKUP($A72,'00_Sub'!$A$4:$D$1001,2,FALSE))</f>
        <v/>
      </c>
      <c r="C72" s="74" t="str">
        <f>IF($A72=0,"",VLOOKUP($A72,'00_Sub'!$A$4:$D$1001,3,FALSE))</f>
        <v/>
      </c>
      <c r="D72" s="171"/>
      <c r="E72" s="171"/>
      <c r="F72" s="173"/>
      <c r="G72" s="174">
        <f t="shared" si="6"/>
        <v>0</v>
      </c>
      <c r="H72" s="120" t="str">
        <f>IF($A72=0,"",VLOOKUP($A72,'00_Sub'!$A$4:$D$1001,4,FALSE))</f>
        <v/>
      </c>
      <c r="I72" s="120"/>
    </row>
    <row r="73" ht="14.25" customHeight="1">
      <c r="A73" s="171"/>
      <c r="B73" s="74" t="str">
        <f>IF($A73=0,"",VLOOKUP($A73,'00_Sub'!$A$4:$D$1001,2,FALSE))</f>
        <v/>
      </c>
      <c r="C73" s="74" t="str">
        <f>IF($A73=0,"",VLOOKUP($A73,'00_Sub'!$A$4:$D$1001,3,FALSE))</f>
        <v/>
      </c>
      <c r="D73" s="171"/>
      <c r="E73" s="171"/>
      <c r="F73" s="173"/>
      <c r="G73" s="174">
        <f t="shared" si="6"/>
        <v>0</v>
      </c>
      <c r="H73" s="120" t="str">
        <f>IF($A73=0,"",VLOOKUP($A73,'00_Sub'!$A$4:$D$1001,4,FALSE))</f>
        <v/>
      </c>
      <c r="I73" s="120"/>
    </row>
    <row r="74" ht="14.25" customHeight="1">
      <c r="A74" s="171"/>
      <c r="B74" s="74" t="str">
        <f>IF($A74=0,"",VLOOKUP($A74,'00_Sub'!$A$4:$D$1001,2,FALSE))</f>
        <v/>
      </c>
      <c r="C74" s="74" t="str">
        <f>IF($A74=0,"",VLOOKUP($A74,'00_Sub'!$A$4:$D$1001,3,FALSE))</f>
        <v/>
      </c>
      <c r="D74" s="171"/>
      <c r="E74" s="171"/>
      <c r="F74" s="173"/>
      <c r="G74" s="174">
        <f t="shared" si="6"/>
        <v>0</v>
      </c>
      <c r="H74" s="120" t="str">
        <f>IF($A74=0,"",VLOOKUP($A74,'00_Sub'!$A$4:$D$1001,4,FALSE))</f>
        <v/>
      </c>
      <c r="I74" s="120"/>
    </row>
    <row r="75" ht="14.25" customHeight="1">
      <c r="F75" s="126"/>
      <c r="G75" s="3"/>
      <c r="H75" s="120"/>
      <c r="I75" s="120"/>
    </row>
    <row r="76" ht="14.25" customHeight="1">
      <c r="A76" s="175" t="s">
        <v>717</v>
      </c>
      <c r="B76" s="176"/>
      <c r="C76" s="176"/>
      <c r="D76" s="176"/>
      <c r="E76" s="176"/>
      <c r="F76" s="176"/>
      <c r="G76" s="177"/>
      <c r="H76" s="176"/>
      <c r="I76" s="178">
        <f>SUM(I69:I74)</f>
        <v>5200000</v>
      </c>
    </row>
    <row r="77" ht="14.25" customHeight="1">
      <c r="A77" s="179" t="str">
        <f>$I$3</f>
        <v>unid</v>
      </c>
      <c r="B77" s="180"/>
      <c r="C77" s="180"/>
      <c r="D77" s="180"/>
      <c r="E77" s="180"/>
      <c r="F77" s="180"/>
      <c r="G77" s="5"/>
      <c r="H77" s="180"/>
      <c r="I77" s="172">
        <f>$H$3</f>
        <v>80</v>
      </c>
      <c r="J77" s="74"/>
      <c r="K77" s="74"/>
      <c r="L77" s="74"/>
    </row>
    <row r="78" ht="14.25" customHeight="1">
      <c r="A78" s="181" t="s">
        <v>787</v>
      </c>
      <c r="B78" s="179" t="str">
        <f>A77</f>
        <v>unid</v>
      </c>
      <c r="C78" s="180"/>
      <c r="D78" s="180"/>
      <c r="E78" s="180"/>
      <c r="F78" s="180"/>
      <c r="G78" s="5"/>
      <c r="H78" s="180"/>
      <c r="I78" s="182">
        <f>I76/I77</f>
        <v>65000</v>
      </c>
      <c r="J78" s="74"/>
      <c r="K78" s="74"/>
      <c r="L78" s="74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7.43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73" t="str">
        <f>'01_C&amp;P'!A1</f>
        <v>NOMBRE DE LA OBRA</v>
      </c>
      <c r="B1" s="73"/>
      <c r="C1" s="73"/>
      <c r="G1" s="3"/>
    </row>
    <row r="2" ht="14.25" customHeight="1">
      <c r="G2" s="3"/>
    </row>
    <row r="3" ht="23.25" customHeight="1">
      <c r="A3" s="162">
        <f>'01_C&amp;P'!A34</f>
        <v>45781</v>
      </c>
      <c r="B3" s="163" t="str">
        <f>IF($A3=0,"",VLOOKUP($A3,'01_C&amp;P'!$A$9:$D$91,2,FALSE))</f>
        <v>INSTALACION ELECTRICA DE TABLERO Y PILAR</v>
      </c>
      <c r="C3" s="164"/>
      <c r="D3" s="164"/>
      <c r="E3" s="164"/>
      <c r="F3" s="164"/>
      <c r="G3" s="165"/>
      <c r="H3" s="166">
        <f>IF($A3=0,"",VLOOKUP($A3,'01_C&amp;P'!$A$9:$D$91,4,FALSE))</f>
        <v>1</v>
      </c>
      <c r="I3" s="167" t="str">
        <f>IF($A3=0,"",VLOOKUP($A3,'01_C&amp;P'!$A$9:$D$91,3,FALSE))</f>
        <v>unid</v>
      </c>
    </row>
    <row r="4" ht="14.25" customHeight="1">
      <c r="G4" s="3"/>
    </row>
    <row r="5" ht="14.25" customHeight="1">
      <c r="A5" s="168" t="s">
        <v>0</v>
      </c>
      <c r="B5" s="76"/>
      <c r="C5" s="76"/>
      <c r="D5" s="76"/>
      <c r="E5" s="76"/>
      <c r="F5" s="76"/>
      <c r="G5" s="2"/>
      <c r="H5" s="76"/>
      <c r="I5" s="76"/>
    </row>
    <row r="6" ht="14.25" customHeight="1">
      <c r="A6" s="169" t="s">
        <v>778</v>
      </c>
      <c r="B6" s="169" t="s">
        <v>779</v>
      </c>
      <c r="C6" s="169" t="s">
        <v>780</v>
      </c>
      <c r="D6" s="170" t="s">
        <v>781</v>
      </c>
      <c r="E6" s="164"/>
      <c r="F6" s="169" t="s">
        <v>782</v>
      </c>
      <c r="G6" s="4" t="s">
        <v>783</v>
      </c>
      <c r="H6" s="169" t="s">
        <v>784</v>
      </c>
      <c r="I6" s="169" t="s">
        <v>785</v>
      </c>
    </row>
    <row r="7" ht="14.25" customHeight="1">
      <c r="A7" s="171"/>
      <c r="B7" s="74" t="s">
        <v>825</v>
      </c>
      <c r="C7" s="74" t="str">
        <f>IF($A7=0,"",VLOOKUP($A7,'00_Mat'!$A$4:$J$1136,3,FALSE))</f>
        <v/>
      </c>
      <c r="D7" s="172">
        <f>H3</f>
        <v>1</v>
      </c>
      <c r="E7" s="171"/>
      <c r="F7" s="173">
        <v>0.0</v>
      </c>
      <c r="G7" s="174">
        <f t="shared" ref="G7:G18" si="1">ROUNDUP((D7+(D7*F7)),0)</f>
        <v>1</v>
      </c>
      <c r="H7" s="120">
        <v>2000000.0</v>
      </c>
      <c r="I7" s="120">
        <f>G7*H7</f>
        <v>2000000</v>
      </c>
      <c r="K7" s="127" t="s">
        <v>823</v>
      </c>
    </row>
    <row r="8" ht="14.25" customHeight="1">
      <c r="A8" s="171"/>
      <c r="B8" s="74" t="str">
        <f>IF($A8=0,"",VLOOKUP($A8,'00_Mat'!$A$4:$J$1136,2,FALSE))</f>
        <v/>
      </c>
      <c r="C8" s="74" t="str">
        <f>IF($A8=0,"",VLOOKUP($A8,'00_Mat'!$A$4:$J$1136,3,FALSE))</f>
        <v/>
      </c>
      <c r="D8" s="171"/>
      <c r="E8" s="171"/>
      <c r="F8" s="173"/>
      <c r="G8" s="174">
        <f t="shared" si="1"/>
        <v>0</v>
      </c>
      <c r="H8" s="120" t="str">
        <f>IF($A8=0,"",VLOOKUP($A8,'00_Mat'!$A$4:$J$1136,5,FALSE))</f>
        <v/>
      </c>
      <c r="I8" s="120"/>
    </row>
    <row r="9" ht="14.25" customHeight="1">
      <c r="A9" s="171"/>
      <c r="D9" s="171"/>
      <c r="E9" s="171"/>
      <c r="F9" s="173"/>
      <c r="G9" s="174">
        <f t="shared" si="1"/>
        <v>0</v>
      </c>
      <c r="H9" s="120"/>
      <c r="I9" s="120"/>
    </row>
    <row r="10" ht="14.25" customHeight="1">
      <c r="A10" s="171"/>
      <c r="B10" s="74" t="str">
        <f>IF($A10=0,"",VLOOKUP($A10,'00_Mat'!$A$4:$J$1136,2,FALSE))</f>
        <v/>
      </c>
      <c r="C10" s="74" t="str">
        <f>IF($A10=0,"",VLOOKUP($A10,'00_Mat'!$A$4:$J$1136,3,FALSE))</f>
        <v/>
      </c>
      <c r="D10" s="171"/>
      <c r="E10" s="171"/>
      <c r="F10" s="173"/>
      <c r="G10" s="174">
        <f t="shared" si="1"/>
        <v>0</v>
      </c>
      <c r="H10" s="120" t="str">
        <f>IF($A10=0,"",VLOOKUP($A10,'00_Mat'!$A$4:$J$1136,5,FALSE))</f>
        <v/>
      </c>
      <c r="I10" s="120"/>
    </row>
    <row r="11" ht="14.25" customHeight="1">
      <c r="A11" s="171"/>
      <c r="B11" s="74" t="str">
        <f>IF($A11=0,"",VLOOKUP($A11,'00_Mat'!$A$4:$J$1136,2,FALSE))</f>
        <v/>
      </c>
      <c r="C11" s="74" t="str">
        <f>IF($A11=0,"",VLOOKUP($A11,'00_Mat'!$A$4:$J$1136,3,FALSE))</f>
        <v/>
      </c>
      <c r="D11" s="171"/>
      <c r="E11" s="171"/>
      <c r="F11" s="173"/>
      <c r="G11" s="174">
        <f t="shared" si="1"/>
        <v>0</v>
      </c>
      <c r="H11" s="120" t="str">
        <f>IF($A11=0,"",VLOOKUP($A11,'00_Mat'!$A$4:$J$1136,5,FALSE))</f>
        <v/>
      </c>
      <c r="I11" s="120"/>
    </row>
    <row r="12" ht="14.25" customHeight="1">
      <c r="A12" s="171"/>
      <c r="B12" s="74" t="str">
        <f>IF($A12=0,"",VLOOKUP($A12,'00_Mat'!$A$4:$J$1136,2,FALSE))</f>
        <v/>
      </c>
      <c r="C12" s="74" t="str">
        <f>IF($A12=0,"",VLOOKUP($A12,'00_Mat'!$A$4:$J$1136,3,FALSE))</f>
        <v/>
      </c>
      <c r="D12" s="171"/>
      <c r="E12" s="171"/>
      <c r="F12" s="173"/>
      <c r="G12" s="174">
        <f t="shared" si="1"/>
        <v>0</v>
      </c>
      <c r="H12" s="120" t="str">
        <f>IF($A12=0,"",VLOOKUP($A12,'00_Mat'!$A$4:$J$1136,5,FALSE))</f>
        <v/>
      </c>
      <c r="I12" s="120"/>
    </row>
    <row r="13" ht="14.25" customHeight="1">
      <c r="A13" s="171"/>
      <c r="B13" s="74" t="str">
        <f>IF($A13=0,"",VLOOKUP($A13,'00_Mat'!$A$4:$J$1136,2,FALSE))</f>
        <v/>
      </c>
      <c r="C13" s="74" t="str">
        <f>IF($A13=0,"",VLOOKUP($A13,'00_Mat'!$A$4:$J$1136,3,FALSE))</f>
        <v/>
      </c>
      <c r="D13" s="171"/>
      <c r="E13" s="171"/>
      <c r="F13" s="173"/>
      <c r="G13" s="174">
        <f t="shared" si="1"/>
        <v>0</v>
      </c>
      <c r="H13" s="120" t="str">
        <f>IF($A13=0,"",VLOOKUP($A13,'00_Mat'!$A$4:$J$1136,5,FALSE))</f>
        <v/>
      </c>
      <c r="I13" s="120"/>
    </row>
    <row r="14" ht="14.25" customHeight="1">
      <c r="A14" s="171"/>
      <c r="B14" s="74" t="str">
        <f>IF($A14=0,"",VLOOKUP($A14,'00_Mat'!$A$4:$J$1136,2,FALSE))</f>
        <v/>
      </c>
      <c r="C14" s="74" t="str">
        <f>IF($A14=0,"",VLOOKUP($A14,'00_Mat'!$A$4:$J$1136,3,FALSE))</f>
        <v/>
      </c>
      <c r="D14" s="171"/>
      <c r="E14" s="171"/>
      <c r="F14" s="173"/>
      <c r="G14" s="174">
        <f t="shared" si="1"/>
        <v>0</v>
      </c>
      <c r="H14" s="120" t="str">
        <f>IF($A14=0,"",VLOOKUP($A14,'00_Mat'!$A$4:$J$1136,5,FALSE))</f>
        <v/>
      </c>
      <c r="I14" s="120"/>
    </row>
    <row r="15" ht="14.25" customHeight="1">
      <c r="A15" s="171"/>
      <c r="B15" s="74" t="str">
        <f>IF($A15=0,"",VLOOKUP($A15,'00_Mat'!$A$4:$J$1136,2,FALSE))</f>
        <v/>
      </c>
      <c r="C15" s="74" t="str">
        <f>IF($A15=0,"",VLOOKUP($A15,'00_Mat'!$A$4:$J$1136,3,FALSE))</f>
        <v/>
      </c>
      <c r="D15" s="171"/>
      <c r="E15" s="171"/>
      <c r="F15" s="173"/>
      <c r="G15" s="174">
        <f t="shared" si="1"/>
        <v>0</v>
      </c>
      <c r="H15" s="120" t="str">
        <f>IF($A15=0,"",VLOOKUP($A15,'00_Mat'!$A$4:$J$1136,5,FALSE))</f>
        <v/>
      </c>
      <c r="I15" s="120"/>
    </row>
    <row r="16" ht="14.25" customHeight="1">
      <c r="A16" s="171"/>
      <c r="B16" s="74" t="str">
        <f>IF($A16=0,"",VLOOKUP($A16,'00_Mat'!$A$4:$J$1136,2,FALSE))</f>
        <v/>
      </c>
      <c r="C16" s="74" t="str">
        <f>IF($A16=0,"",VLOOKUP($A16,'00_Mat'!$A$4:$J$1136,3,FALSE))</f>
        <v/>
      </c>
      <c r="D16" s="171"/>
      <c r="E16" s="171"/>
      <c r="F16" s="173"/>
      <c r="G16" s="174">
        <f t="shared" si="1"/>
        <v>0</v>
      </c>
      <c r="H16" s="120" t="str">
        <f>IF($A16=0,"",VLOOKUP($A16,'00_Mat'!$A$4:$J$1136,5,FALSE))</f>
        <v/>
      </c>
      <c r="I16" s="120"/>
    </row>
    <row r="17" ht="14.25" customHeight="1">
      <c r="A17" s="171"/>
      <c r="B17" s="74" t="str">
        <f>IF($A17=0,"",VLOOKUP($A17,'00_Mat'!$A$4:$J$1136,2,FALSE))</f>
        <v/>
      </c>
      <c r="C17" s="74" t="str">
        <f>IF($A17=0,"",VLOOKUP($A17,'00_Mat'!$A$4:$J$1136,3,FALSE))</f>
        <v/>
      </c>
      <c r="D17" s="171"/>
      <c r="E17" s="171"/>
      <c r="F17" s="173"/>
      <c r="G17" s="174">
        <f t="shared" si="1"/>
        <v>0</v>
      </c>
      <c r="H17" s="120" t="str">
        <f>IF($A17=0,"",VLOOKUP($A17,'00_Mat'!$A$4:$J$1136,5,FALSE))</f>
        <v/>
      </c>
      <c r="I17" s="120"/>
    </row>
    <row r="18" ht="14.25" customHeight="1">
      <c r="A18" s="171"/>
      <c r="B18" s="74" t="str">
        <f>IF($A18=0,"",VLOOKUP($A18,'00_Mat'!$A$4:$J$1136,2,FALSE))</f>
        <v/>
      </c>
      <c r="C18" s="74" t="str">
        <f>IF($A18=0,"",VLOOKUP($A18,'00_Mat'!$A$4:$J$1136,3,FALSE))</f>
        <v/>
      </c>
      <c r="D18" s="171"/>
      <c r="E18" s="171"/>
      <c r="F18" s="173"/>
      <c r="G18" s="174">
        <f t="shared" si="1"/>
        <v>0</v>
      </c>
      <c r="H18" s="120" t="str">
        <f>IF($A18=0,"",VLOOKUP($A18,'00_Mat'!$A$4:$J$1136,5,FALSE))</f>
        <v/>
      </c>
      <c r="I18" s="120"/>
    </row>
    <row r="19" ht="14.25" customHeight="1">
      <c r="F19" s="126"/>
      <c r="G19" s="3"/>
      <c r="H19" s="120"/>
      <c r="I19" s="120"/>
    </row>
    <row r="20" ht="14.25" customHeight="1">
      <c r="A20" s="175" t="s">
        <v>786</v>
      </c>
      <c r="B20" s="176"/>
      <c r="C20" s="176"/>
      <c r="D20" s="176"/>
      <c r="E20" s="176"/>
      <c r="F20" s="176"/>
      <c r="G20" s="177"/>
      <c r="H20" s="176"/>
      <c r="I20" s="178">
        <f>SUM(I7:I18)</f>
        <v>2000000</v>
      </c>
      <c r="J20" s="74"/>
      <c r="K20" s="74"/>
      <c r="L20" s="74"/>
    </row>
    <row r="21" ht="14.25" customHeight="1">
      <c r="A21" s="179" t="str">
        <f>$I$3</f>
        <v>unid</v>
      </c>
      <c r="B21" s="180"/>
      <c r="C21" s="180"/>
      <c r="D21" s="180"/>
      <c r="E21" s="180"/>
      <c r="F21" s="180"/>
      <c r="G21" s="5"/>
      <c r="H21" s="180"/>
      <c r="I21" s="172">
        <f>$H$3</f>
        <v>1</v>
      </c>
      <c r="J21" s="74"/>
      <c r="K21" s="74"/>
      <c r="L21" s="74"/>
    </row>
    <row r="22" ht="14.25" customHeight="1">
      <c r="A22" s="181" t="s">
        <v>787</v>
      </c>
      <c r="B22" s="179" t="str">
        <f>A21</f>
        <v>unid</v>
      </c>
      <c r="C22" s="180"/>
      <c r="D22" s="180"/>
      <c r="E22" s="180"/>
      <c r="F22" s="180"/>
      <c r="G22" s="5"/>
      <c r="H22" s="180"/>
      <c r="I22" s="182">
        <f>I20/I21</f>
        <v>2000000</v>
      </c>
      <c r="J22" s="74"/>
      <c r="K22" s="74"/>
      <c r="L22" s="74"/>
    </row>
    <row r="23" ht="14.25" customHeight="1">
      <c r="G23" s="3"/>
    </row>
    <row r="24" ht="14.25" customHeight="1">
      <c r="G24" s="3"/>
    </row>
    <row r="25" ht="14.25" customHeight="1">
      <c r="A25" s="168" t="s">
        <v>788</v>
      </c>
      <c r="B25" s="76"/>
      <c r="C25" s="76"/>
      <c r="D25" s="76"/>
      <c r="E25" s="76"/>
      <c r="F25" s="76"/>
      <c r="G25" s="2"/>
      <c r="H25" s="76"/>
      <c r="I25" s="76"/>
    </row>
    <row r="26" ht="14.25" customHeight="1">
      <c r="A26" s="169" t="s">
        <v>778</v>
      </c>
      <c r="B26" s="169" t="s">
        <v>779</v>
      </c>
      <c r="C26" s="169" t="s">
        <v>780</v>
      </c>
      <c r="D26" s="169" t="s">
        <v>781</v>
      </c>
      <c r="E26" s="169" t="s">
        <v>789</v>
      </c>
      <c r="F26" s="169" t="s">
        <v>782</v>
      </c>
      <c r="G26" s="4" t="s">
        <v>783</v>
      </c>
      <c r="H26" s="169" t="s">
        <v>784</v>
      </c>
      <c r="I26" s="169" t="s">
        <v>785</v>
      </c>
    </row>
    <row r="27" ht="14.25" customHeight="1">
      <c r="A27" s="171"/>
      <c r="B27" s="74" t="str">
        <f>IF($A27=0,"",VLOOKUP($A27,'00_MO'!$A$4:$D$7,2,FALSE))</f>
        <v/>
      </c>
      <c r="C27" s="74" t="str">
        <f>IF($A27=0,"",VLOOKUP($A27,'00_MO'!$A$4:$D$7,3,FALSE))</f>
        <v/>
      </c>
      <c r="D27" s="171"/>
      <c r="E27" s="171"/>
      <c r="F27" s="173"/>
      <c r="G27" s="184">
        <f t="shared" ref="G27:G32" si="2">ROUNDUP(((D27*E27)*(1+F27)),0)</f>
        <v>0</v>
      </c>
      <c r="H27" s="120" t="str">
        <f>IF($A27=0,"",VLOOKUP($A27,'00_MO'!$A$4:$D$7,4,FALSE))</f>
        <v/>
      </c>
      <c r="I27" s="120"/>
    </row>
    <row r="28" ht="14.25" customHeight="1">
      <c r="A28" s="171"/>
      <c r="B28" s="74" t="str">
        <f>IF($A28=0,"",VLOOKUP($A28,'00_MO'!$A$4:$D$7,2,FALSE))</f>
        <v/>
      </c>
      <c r="C28" s="74" t="str">
        <f>IF($A28=0,"",VLOOKUP($A28,'00_MO'!$A$4:$D$7,3,FALSE))</f>
        <v/>
      </c>
      <c r="D28" s="171"/>
      <c r="E28" s="171"/>
      <c r="F28" s="173"/>
      <c r="G28" s="184">
        <f t="shared" si="2"/>
        <v>0</v>
      </c>
      <c r="H28" s="120" t="str">
        <f>IF($A28=0,"",VLOOKUP($A28,'00_MO'!$A$4:$D$7,4,FALSE))</f>
        <v/>
      </c>
      <c r="I28" s="120"/>
    </row>
    <row r="29" ht="14.25" customHeight="1">
      <c r="A29" s="171"/>
      <c r="B29" s="74" t="str">
        <f>IF($A29=0,"",VLOOKUP($A29,'00_MO'!$A$4:$D$7,2,FALSE))</f>
        <v/>
      </c>
      <c r="C29" s="74" t="str">
        <f>IF($A29=0,"",VLOOKUP($A29,'00_MO'!$A$4:$D$7,3,FALSE))</f>
        <v/>
      </c>
      <c r="D29" s="171"/>
      <c r="E29" s="171"/>
      <c r="F29" s="173"/>
      <c r="G29" s="184">
        <f t="shared" si="2"/>
        <v>0</v>
      </c>
      <c r="H29" s="120" t="str">
        <f>IF($A29=0,"",VLOOKUP($A29,'00_MO'!$A$4:$D$7,4,FALSE))</f>
        <v/>
      </c>
      <c r="I29" s="120"/>
    </row>
    <row r="30" ht="14.25" customHeight="1">
      <c r="A30" s="171"/>
      <c r="B30" s="74" t="str">
        <f>IF($A30=0,"",VLOOKUP($A30,'00_MO'!$A$4:$D$7,2,FALSE))</f>
        <v/>
      </c>
      <c r="C30" s="74" t="str">
        <f>IF($A30=0,"",VLOOKUP($A30,'00_MO'!$A$4:$D$7,3,FALSE))</f>
        <v/>
      </c>
      <c r="D30" s="171"/>
      <c r="E30" s="171"/>
      <c r="F30" s="173"/>
      <c r="G30" s="184">
        <f t="shared" si="2"/>
        <v>0</v>
      </c>
      <c r="H30" s="120" t="str">
        <f>IF($A30=0,"",VLOOKUP($A30,'00_MO'!$A$4:$D$7,4,FALSE))</f>
        <v/>
      </c>
      <c r="I30" s="120"/>
    </row>
    <row r="31" ht="14.25" customHeight="1">
      <c r="A31" s="171"/>
      <c r="B31" s="74" t="str">
        <f>IF($A31=0,"",VLOOKUP($A31,'00_MO'!$A$4:$D$7,2,FALSE))</f>
        <v/>
      </c>
      <c r="C31" s="74" t="str">
        <f>IF($A31=0,"",VLOOKUP($A31,'00_MO'!$A$4:$D$7,3,FALSE))</f>
        <v/>
      </c>
      <c r="D31" s="171"/>
      <c r="E31" s="171"/>
      <c r="F31" s="173"/>
      <c r="G31" s="184">
        <f t="shared" si="2"/>
        <v>0</v>
      </c>
      <c r="H31" s="120" t="str">
        <f>IF($A31=0,"",VLOOKUP($A31,'00_MO'!$A$4:$D$7,4,FALSE))</f>
        <v/>
      </c>
      <c r="I31" s="120"/>
    </row>
    <row r="32" ht="14.25" customHeight="1">
      <c r="A32" s="171"/>
      <c r="B32" s="74" t="str">
        <f>IF($A32=0,"",VLOOKUP($A32,'00_MO'!$A$4:$D$7,2,FALSE))</f>
        <v/>
      </c>
      <c r="C32" s="74" t="str">
        <f>IF($A32=0,"",VLOOKUP($A32,'00_MO'!$A$4:$D$7,3,FALSE))</f>
        <v/>
      </c>
      <c r="D32" s="171"/>
      <c r="E32" s="171"/>
      <c r="F32" s="173"/>
      <c r="G32" s="184">
        <f t="shared" si="2"/>
        <v>0</v>
      </c>
      <c r="H32" s="120" t="str">
        <f>IF($A32=0,"",VLOOKUP($A32,'00_MO'!$A$4:$D$7,4,FALSE))</f>
        <v/>
      </c>
      <c r="I32" s="120"/>
    </row>
    <row r="33" ht="14.25" customHeight="1">
      <c r="F33" s="126"/>
      <c r="G33" s="3"/>
      <c r="H33" s="120"/>
      <c r="I33" s="120"/>
    </row>
    <row r="34" ht="14.25" customHeight="1">
      <c r="A34" s="175" t="s">
        <v>717</v>
      </c>
      <c r="B34" s="176"/>
      <c r="C34" s="176"/>
      <c r="D34" s="176"/>
      <c r="E34" s="176"/>
      <c r="F34" s="176"/>
      <c r="G34" s="177"/>
      <c r="H34" s="176"/>
      <c r="I34" s="178">
        <f>SUM(I27:I32)</f>
        <v>0</v>
      </c>
    </row>
    <row r="35" ht="14.25" customHeight="1">
      <c r="A35" s="179" t="str">
        <f>$I$3</f>
        <v>unid</v>
      </c>
      <c r="B35" s="180"/>
      <c r="C35" s="180"/>
      <c r="D35" s="180"/>
      <c r="E35" s="180"/>
      <c r="F35" s="180"/>
      <c r="G35" s="5"/>
      <c r="H35" s="180"/>
      <c r="I35" s="172">
        <f>$H$3</f>
        <v>1</v>
      </c>
      <c r="J35" s="74"/>
      <c r="K35" s="74"/>
      <c r="L35" s="74"/>
    </row>
    <row r="36" ht="14.25" customHeight="1">
      <c r="A36" s="181" t="s">
        <v>787</v>
      </c>
      <c r="B36" s="179" t="str">
        <f>A35</f>
        <v>unid</v>
      </c>
      <c r="C36" s="180"/>
      <c r="D36" s="180"/>
      <c r="E36" s="180"/>
      <c r="F36" s="180"/>
      <c r="G36" s="5"/>
      <c r="H36" s="180"/>
      <c r="I36" s="182">
        <f>I34/I35</f>
        <v>0</v>
      </c>
      <c r="J36" s="74"/>
      <c r="K36" s="74"/>
      <c r="L36" s="74"/>
    </row>
    <row r="37" ht="14.25" customHeight="1">
      <c r="G37" s="3"/>
    </row>
    <row r="38" ht="14.25" customHeight="1">
      <c r="G38" s="3"/>
    </row>
    <row r="39" ht="14.25" customHeight="1">
      <c r="A39" s="168" t="s">
        <v>790</v>
      </c>
      <c r="B39" s="76"/>
      <c r="C39" s="76"/>
      <c r="D39" s="76"/>
      <c r="E39" s="76"/>
      <c r="F39" s="76"/>
      <c r="G39" s="2"/>
      <c r="H39" s="76"/>
      <c r="I39" s="76"/>
    </row>
    <row r="40" ht="14.25" customHeight="1">
      <c r="A40" s="169" t="s">
        <v>778</v>
      </c>
      <c r="B40" s="169" t="s">
        <v>779</v>
      </c>
      <c r="C40" s="169" t="s">
        <v>780</v>
      </c>
      <c r="D40" s="169" t="s">
        <v>781</v>
      </c>
      <c r="E40" s="169" t="s">
        <v>789</v>
      </c>
      <c r="F40" s="169" t="s">
        <v>782</v>
      </c>
      <c r="G40" s="4" t="s">
        <v>783</v>
      </c>
      <c r="H40" s="169" t="s">
        <v>784</v>
      </c>
      <c r="I40" s="169" t="s">
        <v>785</v>
      </c>
    </row>
    <row r="41" ht="14.25" customHeight="1">
      <c r="A41" s="171"/>
      <c r="B41" s="74" t="str">
        <f>IF($A41=0,"",VLOOKUP($A41,'00_Eq'!$A$4:$D$6,2,FALSE))</f>
        <v/>
      </c>
      <c r="C41" s="74" t="str">
        <f>IF($A41=0,"",VLOOKUP($A41,'00_Eq'!$A$4:$D$51,3,FALSE))</f>
        <v/>
      </c>
      <c r="D41" s="171"/>
      <c r="E41" s="171"/>
      <c r="F41" s="173"/>
      <c r="G41" s="184">
        <f t="shared" ref="G41:G46" si="3">ROUNDUP(((D41*E41)*(1+F41)),0)</f>
        <v>0</v>
      </c>
      <c r="H41" s="120" t="str">
        <f>IF($A41=0,"",VLOOKUP($A41,'00_Eq'!$A$4:$D$6,4,FALSE))</f>
        <v/>
      </c>
      <c r="I41" s="120">
        <f t="shared" ref="I41:I42" si="4">G41*H41</f>
        <v>0</v>
      </c>
    </row>
    <row r="42" ht="14.25" customHeight="1">
      <c r="A42" s="171"/>
      <c r="B42" s="74" t="str">
        <f>IF($A42=0,"",VLOOKUP($A42,'00_Eq'!$A$4:$D$6,2,FALSE))</f>
        <v/>
      </c>
      <c r="C42" s="74" t="str">
        <f>IF($A42=0,"",VLOOKUP($A42,'00_Eq'!$A$4:$D$51,3,FALSE))</f>
        <v/>
      </c>
      <c r="D42" s="171"/>
      <c r="E42" s="171"/>
      <c r="F42" s="173"/>
      <c r="G42" s="184">
        <f t="shared" si="3"/>
        <v>0</v>
      </c>
      <c r="H42" s="120" t="str">
        <f>IF($A42=0,"",VLOOKUP($A42,'00_Eq'!$A$4:$D$6,4,FALSE))</f>
        <v/>
      </c>
      <c r="I42" s="120">
        <f t="shared" si="4"/>
        <v>0</v>
      </c>
    </row>
    <row r="43" ht="14.25" customHeight="1">
      <c r="A43" s="171"/>
      <c r="B43" s="74" t="str">
        <f>IF($A43=0,"",VLOOKUP($A43,'00_Eq'!$A$4:$D$6,2,FALSE))</f>
        <v/>
      </c>
      <c r="C43" s="74" t="str">
        <f>IF($A43=0,"",VLOOKUP($A43,'00_Eq'!$A$4:$D$51,3,FALSE))</f>
        <v/>
      </c>
      <c r="D43" s="171"/>
      <c r="E43" s="171"/>
      <c r="F43" s="173"/>
      <c r="G43" s="184">
        <f t="shared" si="3"/>
        <v>0</v>
      </c>
      <c r="H43" s="120" t="str">
        <f>IF($A43=0,"",VLOOKUP($A43,'00_Eq'!$A$4:$D$6,4,FALSE))</f>
        <v/>
      </c>
      <c r="I43" s="120"/>
    </row>
    <row r="44" ht="14.25" customHeight="1">
      <c r="A44" s="171"/>
      <c r="B44" s="74" t="str">
        <f>IF($A44=0,"",VLOOKUP($A44,'00_Eq'!$A$4:$D$6,2,FALSE))</f>
        <v/>
      </c>
      <c r="C44" s="74" t="str">
        <f>IF($A44=0,"",VLOOKUP($A44,'00_Eq'!$A$4:$D$51,3,FALSE))</f>
        <v/>
      </c>
      <c r="D44" s="171"/>
      <c r="E44" s="171"/>
      <c r="F44" s="173"/>
      <c r="G44" s="184">
        <f t="shared" si="3"/>
        <v>0</v>
      </c>
      <c r="H44" s="120" t="str">
        <f>IF($A44=0,"",VLOOKUP($A44,'00_Eq'!$A$4:$D$6,4,FALSE))</f>
        <v/>
      </c>
      <c r="I44" s="120"/>
    </row>
    <row r="45" ht="14.25" customHeight="1">
      <c r="A45" s="171"/>
      <c r="B45" s="74" t="str">
        <f>IF($A45=0,"",VLOOKUP($A45,'00_Eq'!$A$4:$D$6,2,FALSE))</f>
        <v/>
      </c>
      <c r="C45" s="74" t="str">
        <f>IF($A45=0,"",VLOOKUP($A45,'00_Eq'!$A$4:$D$51,3,FALSE))</f>
        <v/>
      </c>
      <c r="D45" s="171"/>
      <c r="E45" s="171"/>
      <c r="F45" s="173"/>
      <c r="G45" s="184">
        <f t="shared" si="3"/>
        <v>0</v>
      </c>
      <c r="H45" s="120" t="str">
        <f>IF($A45=0,"",VLOOKUP($A45,'00_Eq'!$A$4:$D$6,4,FALSE))</f>
        <v/>
      </c>
      <c r="I45" s="120"/>
    </row>
    <row r="46" ht="14.25" customHeight="1">
      <c r="A46" s="171"/>
      <c r="B46" s="74" t="str">
        <f>IF($A46=0,"",VLOOKUP($A46,'00_Eq'!$A$4:$D$6,2,FALSE))</f>
        <v/>
      </c>
      <c r="C46" s="74" t="str">
        <f>IF($A46=0,"",VLOOKUP($A46,'00_Eq'!$A$4:$D$51,3,FALSE))</f>
        <v/>
      </c>
      <c r="D46" s="171"/>
      <c r="E46" s="171"/>
      <c r="F46" s="173"/>
      <c r="G46" s="184">
        <f t="shared" si="3"/>
        <v>0</v>
      </c>
      <c r="H46" s="120" t="str">
        <f>IF($A46=0,"",VLOOKUP($A46,'00_Eq'!$A$4:$D$6,4,FALSE))</f>
        <v/>
      </c>
      <c r="I46" s="120"/>
    </row>
    <row r="47" ht="14.25" customHeight="1">
      <c r="F47" s="126"/>
      <c r="G47" s="3"/>
      <c r="H47" s="120"/>
      <c r="I47" s="120"/>
    </row>
    <row r="48" ht="14.25" customHeight="1">
      <c r="A48" s="175" t="s">
        <v>717</v>
      </c>
      <c r="B48" s="176"/>
      <c r="C48" s="176"/>
      <c r="D48" s="176"/>
      <c r="E48" s="176"/>
      <c r="F48" s="176"/>
      <c r="G48" s="177"/>
      <c r="H48" s="176"/>
      <c r="I48" s="178">
        <f>SUM(I41:I46)</f>
        <v>0</v>
      </c>
    </row>
    <row r="49" ht="14.25" customHeight="1">
      <c r="A49" s="179" t="str">
        <f>$I$3</f>
        <v>unid</v>
      </c>
      <c r="B49" s="180"/>
      <c r="C49" s="180"/>
      <c r="D49" s="180"/>
      <c r="E49" s="180"/>
      <c r="F49" s="180"/>
      <c r="G49" s="5"/>
      <c r="H49" s="180"/>
      <c r="I49" s="172">
        <f>$H$3</f>
        <v>1</v>
      </c>
      <c r="J49" s="74"/>
      <c r="K49" s="74"/>
      <c r="L49" s="74"/>
    </row>
    <row r="50" ht="14.25" customHeight="1">
      <c r="A50" s="181" t="s">
        <v>787</v>
      </c>
      <c r="B50" s="179" t="str">
        <f>A49</f>
        <v>unid</v>
      </c>
      <c r="C50" s="180"/>
      <c r="D50" s="180"/>
      <c r="E50" s="180"/>
      <c r="F50" s="180"/>
      <c r="G50" s="5"/>
      <c r="H50" s="180"/>
      <c r="I50" s="182">
        <f>I48/I49</f>
        <v>0</v>
      </c>
      <c r="J50" s="74"/>
      <c r="K50" s="74"/>
      <c r="L50" s="74"/>
    </row>
    <row r="51" ht="14.25" customHeight="1">
      <c r="G51" s="3"/>
    </row>
    <row r="52" ht="14.25" customHeight="1">
      <c r="G52" s="3"/>
    </row>
    <row r="53" ht="14.25" customHeight="1">
      <c r="A53" s="168" t="s">
        <v>791</v>
      </c>
      <c r="B53" s="76"/>
      <c r="C53" s="76"/>
      <c r="D53" s="76"/>
      <c r="E53" s="76"/>
      <c r="F53" s="76"/>
      <c r="G53" s="2"/>
      <c r="H53" s="76"/>
      <c r="I53" s="76"/>
    </row>
    <row r="54" ht="14.25" customHeight="1">
      <c r="A54" s="169" t="s">
        <v>778</v>
      </c>
      <c r="B54" s="169" t="s">
        <v>779</v>
      </c>
      <c r="C54" s="169" t="s">
        <v>780</v>
      </c>
      <c r="D54" s="169" t="s">
        <v>781</v>
      </c>
      <c r="E54" s="169"/>
      <c r="F54" s="169" t="s">
        <v>782</v>
      </c>
      <c r="G54" s="4" t="s">
        <v>783</v>
      </c>
      <c r="H54" s="169" t="s">
        <v>784</v>
      </c>
      <c r="I54" s="169" t="s">
        <v>785</v>
      </c>
    </row>
    <row r="55" ht="14.25" customHeight="1">
      <c r="A55" s="171"/>
      <c r="B55" s="74" t="str">
        <f>IF($A55=0,"",VLOOKUP($A55,'00_Mat'!$A$4:$J$1136,2,FALSE))</f>
        <v/>
      </c>
      <c r="C55" s="74" t="str">
        <f>IF($A55=0,"",VLOOKUP($A55,'00_Mat'!$A$4:$J$1136,3,FALSE))</f>
        <v/>
      </c>
      <c r="D55" s="172"/>
      <c r="E55" s="171"/>
      <c r="F55" s="173"/>
      <c r="G55" s="174">
        <f t="shared" ref="G55:G60" si="5">ROUNDUP((D55+(D55*F55)),0)</f>
        <v>0</v>
      </c>
      <c r="H55" s="120" t="str">
        <f>IF($A55=0,"",VLOOKUP($A55,'00_Mat'!$A$4:$J$1136,5,FALSE))</f>
        <v/>
      </c>
      <c r="I55" s="120"/>
    </row>
    <row r="56" ht="14.25" customHeight="1">
      <c r="A56" s="171"/>
      <c r="B56" s="74" t="str">
        <f>IF($A56=0,"",VLOOKUP($A56,'00_Mat'!$A$4:$J$1136,2,FALSE))</f>
        <v/>
      </c>
      <c r="C56" s="74" t="str">
        <f>IF($A56=0,"",VLOOKUP($A56,'00_Mat'!$A$4:$J$1136,3,FALSE))</f>
        <v/>
      </c>
      <c r="D56" s="172"/>
      <c r="E56" s="171"/>
      <c r="F56" s="173"/>
      <c r="G56" s="174">
        <f t="shared" si="5"/>
        <v>0</v>
      </c>
      <c r="H56" s="120" t="str">
        <f>IF($A56=0,"",VLOOKUP($A56,'00_Mat'!$A$4:$J$1136,5,FALSE))</f>
        <v/>
      </c>
      <c r="I56" s="120"/>
    </row>
    <row r="57" ht="14.25" customHeight="1">
      <c r="A57" s="171"/>
      <c r="B57" s="74" t="str">
        <f>IF($A57=0,"",VLOOKUP($A57,'00_Mat'!$A$4:$J$1136,2,FALSE))</f>
        <v/>
      </c>
      <c r="C57" s="74" t="str">
        <f>IF($A57=0,"",VLOOKUP($A57,'00_Mat'!$A$4:$J$1136,3,FALSE))</f>
        <v/>
      </c>
      <c r="D57" s="172"/>
      <c r="E57" s="171"/>
      <c r="F57" s="173"/>
      <c r="G57" s="174">
        <f t="shared" si="5"/>
        <v>0</v>
      </c>
      <c r="H57" s="120" t="str">
        <f>IF($A57=0,"",VLOOKUP($A57,'00_Mat'!$A$4:$J$1136,5,FALSE))</f>
        <v/>
      </c>
      <c r="I57" s="120"/>
    </row>
    <row r="58" ht="14.25" customHeight="1">
      <c r="A58" s="171"/>
      <c r="B58" s="74" t="str">
        <f>IF($A58=0,"",VLOOKUP($A58,'00_Mat'!$A$4:$J$1136,2,FALSE))</f>
        <v/>
      </c>
      <c r="C58" s="74" t="str">
        <f>IF($A58=0,"",VLOOKUP($A58,'00_Mat'!$A$4:$J$1136,3,FALSE))</f>
        <v/>
      </c>
      <c r="D58" s="172"/>
      <c r="E58" s="171"/>
      <c r="F58" s="173"/>
      <c r="G58" s="174">
        <f t="shared" si="5"/>
        <v>0</v>
      </c>
      <c r="H58" s="120" t="str">
        <f>IF($A58=0,"",VLOOKUP($A58,'00_Mat'!$A$4:$J$1136,5,FALSE))</f>
        <v/>
      </c>
      <c r="I58" s="120"/>
    </row>
    <row r="59" ht="14.25" customHeight="1">
      <c r="A59" s="171"/>
      <c r="B59" s="74" t="str">
        <f>IF($A59=0,"",VLOOKUP($A59,'00_Mat'!$A$4:$J$1136,2,FALSE))</f>
        <v/>
      </c>
      <c r="C59" s="74" t="str">
        <f>IF($A59=0,"",VLOOKUP($A59,'00_Mat'!$A$4:$J$1136,3,FALSE))</f>
        <v/>
      </c>
      <c r="D59" s="172"/>
      <c r="E59" s="171"/>
      <c r="F59" s="173"/>
      <c r="G59" s="174">
        <f t="shared" si="5"/>
        <v>0</v>
      </c>
      <c r="H59" s="120" t="str">
        <f>IF($A59=0,"",VLOOKUP($A59,'00_Mat'!$A$4:$J$1136,5,FALSE))</f>
        <v/>
      </c>
      <c r="I59" s="120"/>
    </row>
    <row r="60" ht="14.25" customHeight="1">
      <c r="A60" s="171"/>
      <c r="B60" s="74" t="str">
        <f>IF($A60=0,"",VLOOKUP($A60,'00_Mat'!$A$4:$J$1136,2,FALSE))</f>
        <v/>
      </c>
      <c r="C60" s="74" t="str">
        <f>IF($A60=0,"",VLOOKUP($A60,'00_Mat'!$A$4:$J$1136,3,FALSE))</f>
        <v/>
      </c>
      <c r="D60" s="172"/>
      <c r="E60" s="171"/>
      <c r="F60" s="173"/>
      <c r="G60" s="174">
        <f t="shared" si="5"/>
        <v>0</v>
      </c>
      <c r="H60" s="120" t="str">
        <f>IF($A60=0,"",VLOOKUP($A60,'00_Mat'!$A$4:$J$1136,5,FALSE))</f>
        <v/>
      </c>
      <c r="I60" s="120"/>
    </row>
    <row r="61" ht="14.25" customHeight="1">
      <c r="F61" s="126"/>
      <c r="G61" s="3"/>
      <c r="H61" s="120"/>
      <c r="I61" s="120"/>
    </row>
    <row r="62" ht="14.25" customHeight="1">
      <c r="A62" s="175" t="s">
        <v>717</v>
      </c>
      <c r="B62" s="176"/>
      <c r="C62" s="176"/>
      <c r="D62" s="176"/>
      <c r="E62" s="176"/>
      <c r="F62" s="176"/>
      <c r="G62" s="177"/>
      <c r="H62" s="176"/>
      <c r="I62" s="178">
        <f>SUM(I55:I60)</f>
        <v>0</v>
      </c>
    </row>
    <row r="63" ht="14.25" customHeight="1">
      <c r="A63" s="179" t="str">
        <f>$I$3</f>
        <v>unid</v>
      </c>
      <c r="B63" s="180"/>
      <c r="C63" s="180"/>
      <c r="D63" s="180"/>
      <c r="E63" s="180"/>
      <c r="F63" s="180"/>
      <c r="G63" s="5"/>
      <c r="H63" s="180"/>
      <c r="I63" s="172">
        <f>$H$3</f>
        <v>1</v>
      </c>
      <c r="J63" s="74"/>
      <c r="K63" s="74"/>
      <c r="L63" s="74"/>
    </row>
    <row r="64" ht="14.25" customHeight="1">
      <c r="A64" s="181" t="s">
        <v>787</v>
      </c>
      <c r="B64" s="179" t="str">
        <f>A63</f>
        <v>unid</v>
      </c>
      <c r="C64" s="180"/>
      <c r="D64" s="180"/>
      <c r="E64" s="180"/>
      <c r="F64" s="180"/>
      <c r="G64" s="5"/>
      <c r="H64" s="180"/>
      <c r="I64" s="182">
        <f>I62/I63</f>
        <v>0</v>
      </c>
      <c r="J64" s="74"/>
      <c r="K64" s="74"/>
      <c r="L64" s="74"/>
    </row>
    <row r="65" ht="14.25" customHeight="1">
      <c r="G65" s="3"/>
    </row>
    <row r="66" ht="14.25" customHeight="1">
      <c r="G66" s="3"/>
    </row>
    <row r="67" ht="14.25" customHeight="1">
      <c r="A67" s="168" t="s">
        <v>792</v>
      </c>
      <c r="B67" s="76"/>
      <c r="C67" s="76"/>
      <c r="D67" s="76"/>
      <c r="E67" s="76"/>
      <c r="F67" s="76"/>
      <c r="G67" s="2"/>
      <c r="H67" s="76"/>
      <c r="I67" s="76"/>
    </row>
    <row r="68" ht="14.25" customHeight="1">
      <c r="A68" s="169" t="s">
        <v>778</v>
      </c>
      <c r="B68" s="169" t="s">
        <v>779</v>
      </c>
      <c r="C68" s="169" t="s">
        <v>780</v>
      </c>
      <c r="D68" s="169" t="s">
        <v>781</v>
      </c>
      <c r="E68" s="169" t="s">
        <v>789</v>
      </c>
      <c r="F68" s="169" t="s">
        <v>782</v>
      </c>
      <c r="G68" s="4" t="s">
        <v>783</v>
      </c>
      <c r="H68" s="169" t="s">
        <v>784</v>
      </c>
      <c r="I68" s="169" t="s">
        <v>785</v>
      </c>
    </row>
    <row r="69" ht="14.25" customHeight="1">
      <c r="A69" s="171"/>
      <c r="B69" s="74" t="s">
        <v>826</v>
      </c>
      <c r="C69" s="74" t="str">
        <f>IF($A69=0,"",VLOOKUP($A69,'00_Sub'!$A$4:$D$1001,3,FALSE))</f>
        <v/>
      </c>
      <c r="D69" s="172">
        <f>H3</f>
        <v>1</v>
      </c>
      <c r="E69" s="171"/>
      <c r="F69" s="173"/>
      <c r="G69" s="174">
        <f t="shared" ref="G69:G74" si="6">ROUNDUP((D69+(D69*F69)),0)</f>
        <v>1</v>
      </c>
      <c r="H69" s="120">
        <v>1000000.0</v>
      </c>
      <c r="I69" s="120">
        <f>G69*H69</f>
        <v>1000000</v>
      </c>
      <c r="K69" s="127" t="s">
        <v>823</v>
      </c>
    </row>
    <row r="70" ht="14.25" customHeight="1">
      <c r="A70" s="171"/>
      <c r="B70" s="74" t="str">
        <f>IF($A70=0,"",VLOOKUP($A70,'00_Sub'!$A$4:$D$1001,2,FALSE))</f>
        <v/>
      </c>
      <c r="C70" s="74" t="str">
        <f>IF($A70=0,"",VLOOKUP($A70,'00_Sub'!$A$4:$D$1001,3,FALSE))</f>
        <v/>
      </c>
      <c r="D70" s="171"/>
      <c r="E70" s="171"/>
      <c r="F70" s="173"/>
      <c r="G70" s="174">
        <f t="shared" si="6"/>
        <v>0</v>
      </c>
      <c r="H70" s="120" t="str">
        <f>IF($A70=0,"",VLOOKUP($A70,'00_Sub'!$A$4:$D$1001,4,FALSE))</f>
        <v/>
      </c>
      <c r="I70" s="120"/>
    </row>
    <row r="71" ht="14.25" customHeight="1">
      <c r="A71" s="171"/>
      <c r="B71" s="74" t="str">
        <f>IF($A71=0,"",VLOOKUP($A71,'00_Sub'!$A$4:$D$1001,2,FALSE))</f>
        <v/>
      </c>
      <c r="C71" s="74" t="str">
        <f>IF($A71=0,"",VLOOKUP($A71,'00_Sub'!$A$4:$D$1001,3,FALSE))</f>
        <v/>
      </c>
      <c r="D71" s="171"/>
      <c r="E71" s="171"/>
      <c r="F71" s="173"/>
      <c r="G71" s="174">
        <f t="shared" si="6"/>
        <v>0</v>
      </c>
      <c r="H71" s="120" t="str">
        <f>IF($A71=0,"",VLOOKUP($A71,'00_Sub'!$A$4:$D$1001,4,FALSE))</f>
        <v/>
      </c>
      <c r="I71" s="120"/>
    </row>
    <row r="72" ht="14.25" customHeight="1">
      <c r="A72" s="171"/>
      <c r="B72" s="74" t="str">
        <f>IF($A72=0,"",VLOOKUP($A72,'00_Sub'!$A$4:$D$1001,2,FALSE))</f>
        <v/>
      </c>
      <c r="C72" s="74" t="str">
        <f>IF($A72=0,"",VLOOKUP($A72,'00_Sub'!$A$4:$D$1001,3,FALSE))</f>
        <v/>
      </c>
      <c r="D72" s="171"/>
      <c r="E72" s="171"/>
      <c r="F72" s="173"/>
      <c r="G72" s="174">
        <f t="shared" si="6"/>
        <v>0</v>
      </c>
      <c r="H72" s="120" t="str">
        <f>IF($A72=0,"",VLOOKUP($A72,'00_Sub'!$A$4:$D$1001,4,FALSE))</f>
        <v/>
      </c>
      <c r="I72" s="120"/>
    </row>
    <row r="73" ht="14.25" customHeight="1">
      <c r="A73" s="171"/>
      <c r="B73" s="74" t="str">
        <f>IF($A73=0,"",VLOOKUP($A73,'00_Sub'!$A$4:$D$1001,2,FALSE))</f>
        <v/>
      </c>
      <c r="C73" s="74" t="str">
        <f>IF($A73=0,"",VLOOKUP($A73,'00_Sub'!$A$4:$D$1001,3,FALSE))</f>
        <v/>
      </c>
      <c r="D73" s="171"/>
      <c r="E73" s="171"/>
      <c r="F73" s="173"/>
      <c r="G73" s="174">
        <f t="shared" si="6"/>
        <v>0</v>
      </c>
      <c r="H73" s="120" t="str">
        <f>IF($A73=0,"",VLOOKUP($A73,'00_Sub'!$A$4:$D$1001,4,FALSE))</f>
        <v/>
      </c>
      <c r="I73" s="120"/>
    </row>
    <row r="74" ht="14.25" customHeight="1">
      <c r="A74" s="171"/>
      <c r="B74" s="74" t="str">
        <f>IF($A74=0,"",VLOOKUP($A74,'00_Sub'!$A$4:$D$1001,2,FALSE))</f>
        <v/>
      </c>
      <c r="C74" s="74" t="str">
        <f>IF($A74=0,"",VLOOKUP($A74,'00_Sub'!$A$4:$D$1001,3,FALSE))</f>
        <v/>
      </c>
      <c r="D74" s="171"/>
      <c r="E74" s="171"/>
      <c r="F74" s="173"/>
      <c r="G74" s="174">
        <f t="shared" si="6"/>
        <v>0</v>
      </c>
      <c r="H74" s="120" t="str">
        <f>IF($A74=0,"",VLOOKUP($A74,'00_Sub'!$A$4:$D$1001,4,FALSE))</f>
        <v/>
      </c>
      <c r="I74" s="120"/>
    </row>
    <row r="75" ht="14.25" customHeight="1">
      <c r="F75" s="126"/>
      <c r="G75" s="3"/>
      <c r="H75" s="120"/>
      <c r="I75" s="120"/>
    </row>
    <row r="76" ht="14.25" customHeight="1">
      <c r="A76" s="175" t="s">
        <v>717</v>
      </c>
      <c r="B76" s="176"/>
      <c r="C76" s="176"/>
      <c r="D76" s="176"/>
      <c r="E76" s="176"/>
      <c r="F76" s="176"/>
      <c r="G76" s="177"/>
      <c r="H76" s="176"/>
      <c r="I76" s="178">
        <f>SUM(I69:I74)</f>
        <v>1000000</v>
      </c>
    </row>
    <row r="77" ht="14.25" customHeight="1">
      <c r="A77" s="179" t="str">
        <f>$I$3</f>
        <v>unid</v>
      </c>
      <c r="B77" s="180"/>
      <c r="C77" s="180"/>
      <c r="D77" s="180"/>
      <c r="E77" s="180"/>
      <c r="F77" s="180"/>
      <c r="G77" s="5"/>
      <c r="H77" s="180"/>
      <c r="I77" s="172">
        <f>$H$3</f>
        <v>1</v>
      </c>
      <c r="J77" s="74"/>
      <c r="K77" s="74"/>
      <c r="L77" s="74"/>
    </row>
    <row r="78" ht="14.25" customHeight="1">
      <c r="A78" s="181" t="s">
        <v>787</v>
      </c>
      <c r="B78" s="179" t="str">
        <f>A77</f>
        <v>unid</v>
      </c>
      <c r="C78" s="180"/>
      <c r="D78" s="180"/>
      <c r="E78" s="180"/>
      <c r="F78" s="180"/>
      <c r="G78" s="5"/>
      <c r="H78" s="180"/>
      <c r="I78" s="182">
        <f>I76/I77</f>
        <v>1000000</v>
      </c>
      <c r="J78" s="74"/>
      <c r="K78" s="74"/>
      <c r="L78" s="74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9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73" t="str">
        <f>'01_C&amp;P'!A1</f>
        <v>NOMBRE DE LA OBRA</v>
      </c>
      <c r="B1" s="73"/>
      <c r="C1" s="73"/>
      <c r="G1" s="3"/>
    </row>
    <row r="2" ht="14.25" customHeight="1">
      <c r="G2" s="3"/>
    </row>
    <row r="3" ht="23.25" customHeight="1">
      <c r="A3" s="162">
        <f>'01_C&amp;P'!A36</f>
        <v>45662</v>
      </c>
      <c r="B3" s="163" t="str">
        <f>IF($A3=0,"",VLOOKUP($A3,'01_C&amp;P'!$A$9:$D$91,2,FALSE))</f>
        <v>CANTEROS (A razon de redondear el presupuesto se toma una medida y cantidad estimada de 4,5x2m  h 40cm)</v>
      </c>
      <c r="C3" s="164"/>
      <c r="D3" s="164"/>
      <c r="E3" s="164"/>
      <c r="F3" s="164"/>
      <c r="G3" s="165"/>
      <c r="H3" s="166">
        <f>IF($A3=0,"",VLOOKUP($A3,'01_C&amp;P'!$A$9:$D$91,4,FALSE))</f>
        <v>58</v>
      </c>
      <c r="I3" s="167" t="str">
        <f>IF($A3=0,"",VLOOKUP($A3,'01_C&amp;P'!$A$9:$D$91,3,FALSE))</f>
        <v>unid</v>
      </c>
      <c r="K3" s="127">
        <v>600.0</v>
      </c>
      <c r="L3" s="127" t="s">
        <v>827</v>
      </c>
    </row>
    <row r="4" ht="14.25" customHeight="1">
      <c r="G4" s="3"/>
    </row>
    <row r="5" ht="14.25" customHeight="1">
      <c r="A5" s="168" t="s">
        <v>0</v>
      </c>
      <c r="B5" s="76"/>
      <c r="C5" s="76"/>
      <c r="D5" s="76"/>
      <c r="E5" s="76"/>
      <c r="F5" s="76"/>
      <c r="G5" s="2"/>
      <c r="H5" s="76"/>
      <c r="I5" s="76"/>
    </row>
    <row r="6" ht="14.25" customHeight="1">
      <c r="A6" s="169" t="s">
        <v>778</v>
      </c>
      <c r="B6" s="169" t="s">
        <v>779</v>
      </c>
      <c r="C6" s="169" t="s">
        <v>780</v>
      </c>
      <c r="D6" s="170" t="s">
        <v>781</v>
      </c>
      <c r="E6" s="164"/>
      <c r="F6" s="169" t="s">
        <v>782</v>
      </c>
      <c r="G6" s="4" t="s">
        <v>783</v>
      </c>
      <c r="H6" s="169" t="s">
        <v>784</v>
      </c>
      <c r="I6" s="169" t="s">
        <v>785</v>
      </c>
    </row>
    <row r="7" ht="14.25" customHeight="1">
      <c r="A7" s="171" t="s">
        <v>828</v>
      </c>
      <c r="B7" s="74" t="s">
        <v>829</v>
      </c>
      <c r="C7" s="74" t="str">
        <f>IF($A7=0,"",VLOOKUP($A7,'00_Mat'!$A$4:$J$1136,3,FALSE))</f>
        <v>m3</v>
      </c>
      <c r="D7" s="171">
        <f>K3*0.3</f>
        <v>180</v>
      </c>
      <c r="E7" s="171"/>
      <c r="F7" s="173">
        <v>0.1</v>
      </c>
      <c r="G7" s="174">
        <f t="shared" ref="G7:G18" si="1">ROUNDUP((D7+(D7*F7)),0)</f>
        <v>198</v>
      </c>
      <c r="H7" s="120">
        <v>60000.0</v>
      </c>
      <c r="I7" s="120">
        <f t="shared" ref="I7:I11" si="2">G7*H7</f>
        <v>11880000</v>
      </c>
    </row>
    <row r="8" ht="14.25" customHeight="1">
      <c r="A8" s="171" t="s">
        <v>499</v>
      </c>
      <c r="B8" s="74" t="str">
        <f>IF($A8=0,"",VLOOKUP($A8,'00_Mat'!$A$4:$J$1136,2,FALSE))</f>
        <v>Tabla De Quebracho Colorado 1" X 20 CM. X 2.00 M.</v>
      </c>
      <c r="C8" s="74" t="str">
        <f>IF($A8=0,"",VLOOKUP($A8,'00_Mat'!$A$4:$J$1136,3,FALSE))</f>
        <v>u</v>
      </c>
      <c r="D8" s="171">
        <f>H3*L10</f>
        <v>464</v>
      </c>
      <c r="E8" s="171"/>
      <c r="F8" s="173">
        <v>0.1</v>
      </c>
      <c r="G8" s="174">
        <f t="shared" si="1"/>
        <v>511</v>
      </c>
      <c r="H8" s="120">
        <f>IF($A8=0,"",VLOOKUP($A8,'00_Mat'!$A$4:$J$1136,5,FALSE))</f>
        <v>24000</v>
      </c>
      <c r="I8" s="120">
        <f t="shared" si="2"/>
        <v>12264000</v>
      </c>
      <c r="K8" s="127" t="s">
        <v>830</v>
      </c>
    </row>
    <row r="9" ht="14.25" customHeight="1">
      <c r="A9" s="171" t="s">
        <v>502</v>
      </c>
      <c r="B9" s="74" t="str">
        <f>IF($A9=0,"",VLOOKUP($A9,'00_Mat'!$A$4:$J$1136,2,FALSE))</f>
        <v>Tabla De Quebracho Colorado 1" X 20 CM. X 2.50 M.</v>
      </c>
      <c r="C9" s="74" t="str">
        <f>IF($A9=0,"",VLOOKUP($A9,'00_Mat'!$A$4:$J$1136,3,FALSE))</f>
        <v/>
      </c>
      <c r="D9" s="171">
        <f>K10*H3</f>
        <v>232</v>
      </c>
      <c r="E9" s="171"/>
      <c r="F9" s="173">
        <v>0.1</v>
      </c>
      <c r="G9" s="174">
        <f t="shared" si="1"/>
        <v>256</v>
      </c>
      <c r="H9" s="120">
        <f>IF($A9=0,"",VLOOKUP($A9,'00_Mat'!$A$4:$J$1136,5,FALSE))</f>
        <v>32500</v>
      </c>
      <c r="I9" s="120">
        <f t="shared" si="2"/>
        <v>8320000</v>
      </c>
      <c r="K9" s="127">
        <v>250.0</v>
      </c>
      <c r="L9" s="127">
        <v>200.0</v>
      </c>
    </row>
    <row r="10" ht="14.25" customHeight="1">
      <c r="A10" s="171" t="s">
        <v>504</v>
      </c>
      <c r="B10" s="74" t="str">
        <f>IF($A10=0,"",VLOOKUP($A10,'00_Mat'!$A$4:$J$1136,2,FALSE))</f>
        <v>Cetol Duración Extrema Satinado Secado Rápido 4 L Madera Mm Color Natural</v>
      </c>
      <c r="C10" s="74" t="str">
        <f>IF($A10=0,"",VLOOKUP($A10,'00_Mat'!$A$4:$J$1136,3,FALSE))</f>
        <v/>
      </c>
      <c r="D10" s="171">
        <f>H3/4</f>
        <v>14.5</v>
      </c>
      <c r="E10" s="171"/>
      <c r="F10" s="173">
        <v>0.2</v>
      </c>
      <c r="G10" s="174">
        <f t="shared" si="1"/>
        <v>18</v>
      </c>
      <c r="H10" s="120">
        <f>IF($A10=0,"",VLOOKUP($A10,'00_Mat'!$A$4:$J$1136,5,FALSE))</f>
        <v>75000</v>
      </c>
      <c r="I10" s="120">
        <f t="shared" si="2"/>
        <v>1350000</v>
      </c>
      <c r="K10" s="127">
        <f>2*2</f>
        <v>4</v>
      </c>
      <c r="L10" s="127">
        <f>4*2</f>
        <v>8</v>
      </c>
    </row>
    <row r="11" ht="14.25" customHeight="1">
      <c r="A11" s="171" t="s">
        <v>506</v>
      </c>
      <c r="B11" s="74" t="str">
        <f>IF($A11=0,"",VLOOKUP($A11,'00_Mat'!$A$4:$J$1136,2,FALSE))</f>
        <v>PUNTAL DE QUEBRACHO 2X3 X 180m</v>
      </c>
      <c r="C11" s="74" t="str">
        <f>IF($A11=0,"",VLOOKUP($A11,'00_Mat'!$A$4:$J$1136,3,FALSE))</f>
        <v/>
      </c>
      <c r="D11" s="171">
        <f>H3*2</f>
        <v>116</v>
      </c>
      <c r="E11" s="171"/>
      <c r="F11" s="173">
        <v>0.2</v>
      </c>
      <c r="G11" s="174">
        <f t="shared" si="1"/>
        <v>140</v>
      </c>
      <c r="H11" s="120">
        <f>IF($A11=0,"",VLOOKUP($A11,'00_Mat'!$A$4:$J$1136,5,FALSE))</f>
        <v>12000</v>
      </c>
      <c r="I11" s="120">
        <f t="shared" si="2"/>
        <v>1680000</v>
      </c>
    </row>
    <row r="12" ht="14.25" customHeight="1">
      <c r="A12" s="171"/>
      <c r="B12" s="74" t="str">
        <f>IF($A12=0,"",VLOOKUP($A12,'00_Mat'!$A$4:$J$1136,2,FALSE))</f>
        <v/>
      </c>
      <c r="C12" s="74" t="str">
        <f>IF($A12=0,"",VLOOKUP($A12,'00_Mat'!$A$4:$J$1136,3,FALSE))</f>
        <v/>
      </c>
      <c r="D12" s="171"/>
      <c r="E12" s="171"/>
      <c r="F12" s="173"/>
      <c r="G12" s="174">
        <f t="shared" si="1"/>
        <v>0</v>
      </c>
      <c r="H12" s="120" t="str">
        <f>IF($A12=0,"",VLOOKUP($A12,'00_Mat'!$A$4:$J$1136,5,FALSE))</f>
        <v/>
      </c>
      <c r="I12" s="120"/>
    </row>
    <row r="13" ht="14.25" customHeight="1">
      <c r="A13" s="171"/>
      <c r="B13" s="74" t="str">
        <f>IF($A13=0,"",VLOOKUP($A13,'00_Mat'!$A$4:$J$1136,2,FALSE))</f>
        <v/>
      </c>
      <c r="C13" s="74" t="str">
        <f>IF($A13=0,"",VLOOKUP($A13,'00_Mat'!$A$4:$J$1136,3,FALSE))</f>
        <v/>
      </c>
      <c r="D13" s="171"/>
      <c r="E13" s="171"/>
      <c r="F13" s="173"/>
      <c r="G13" s="174">
        <f t="shared" si="1"/>
        <v>0</v>
      </c>
      <c r="H13" s="120" t="str">
        <f>IF($A13=0,"",VLOOKUP($A13,'00_Mat'!$A$4:$J$1136,5,FALSE))</f>
        <v/>
      </c>
      <c r="I13" s="120"/>
    </row>
    <row r="14" ht="14.25" customHeight="1">
      <c r="A14" s="171"/>
      <c r="B14" s="74" t="str">
        <f>IF($A14=0,"",VLOOKUP($A14,'00_Mat'!$A$4:$J$1136,2,FALSE))</f>
        <v/>
      </c>
      <c r="C14" s="74" t="str">
        <f>IF($A14=0,"",VLOOKUP($A14,'00_Mat'!$A$4:$J$1136,3,FALSE))</f>
        <v/>
      </c>
      <c r="D14" s="171"/>
      <c r="E14" s="171"/>
      <c r="F14" s="173"/>
      <c r="G14" s="174">
        <f t="shared" si="1"/>
        <v>0</v>
      </c>
      <c r="H14" s="120" t="str">
        <f>IF($A14=0,"",VLOOKUP($A14,'00_Mat'!$A$4:$J$1136,5,FALSE))</f>
        <v/>
      </c>
      <c r="I14" s="120"/>
    </row>
    <row r="15" ht="14.25" customHeight="1">
      <c r="A15" s="171"/>
      <c r="B15" s="74" t="str">
        <f>IF($A15=0,"",VLOOKUP($A15,'00_Mat'!$A$4:$J$1136,2,FALSE))</f>
        <v/>
      </c>
      <c r="C15" s="74" t="str">
        <f>IF($A15=0,"",VLOOKUP($A15,'00_Mat'!$A$4:$J$1136,3,FALSE))</f>
        <v/>
      </c>
      <c r="D15" s="171"/>
      <c r="E15" s="171"/>
      <c r="F15" s="173"/>
      <c r="G15" s="174">
        <f t="shared" si="1"/>
        <v>0</v>
      </c>
      <c r="H15" s="120" t="str">
        <f>IF($A15=0,"",VLOOKUP($A15,'00_Mat'!$A$4:$J$1136,5,FALSE))</f>
        <v/>
      </c>
      <c r="I15" s="120"/>
    </row>
    <row r="16" ht="14.25" customHeight="1">
      <c r="A16" s="171"/>
      <c r="B16" s="74" t="str">
        <f>IF($A16=0,"",VLOOKUP($A16,'00_Mat'!$A$4:$J$1136,2,FALSE))</f>
        <v/>
      </c>
      <c r="C16" s="74" t="str">
        <f>IF($A16=0,"",VLOOKUP($A16,'00_Mat'!$A$4:$J$1136,3,FALSE))</f>
        <v/>
      </c>
      <c r="D16" s="171"/>
      <c r="E16" s="171"/>
      <c r="F16" s="173"/>
      <c r="G16" s="174">
        <f t="shared" si="1"/>
        <v>0</v>
      </c>
      <c r="H16" s="120" t="str">
        <f>IF($A16=0,"",VLOOKUP($A16,'00_Mat'!$A$4:$J$1136,5,FALSE))</f>
        <v/>
      </c>
      <c r="I16" s="120"/>
    </row>
    <row r="17" ht="14.25" customHeight="1">
      <c r="A17" s="171"/>
      <c r="B17" s="74" t="str">
        <f>IF($A17=0,"",VLOOKUP($A17,'00_Mat'!$A$4:$J$1136,2,FALSE))</f>
        <v/>
      </c>
      <c r="C17" s="74" t="str">
        <f>IF($A17=0,"",VLOOKUP($A17,'00_Mat'!$A$4:$J$1136,3,FALSE))</f>
        <v/>
      </c>
      <c r="D17" s="171"/>
      <c r="E17" s="171"/>
      <c r="F17" s="173"/>
      <c r="G17" s="174">
        <f t="shared" si="1"/>
        <v>0</v>
      </c>
      <c r="H17" s="120" t="str">
        <f>IF($A17=0,"",VLOOKUP($A17,'00_Mat'!$A$4:$J$1136,5,FALSE))</f>
        <v/>
      </c>
      <c r="I17" s="120"/>
    </row>
    <row r="18" ht="14.25" customHeight="1">
      <c r="A18" s="171"/>
      <c r="B18" s="74" t="str">
        <f>IF($A18=0,"",VLOOKUP($A18,'00_Mat'!$A$4:$J$1136,2,FALSE))</f>
        <v/>
      </c>
      <c r="C18" s="74" t="str">
        <f>IF($A18=0,"",VLOOKUP($A18,'00_Mat'!$A$4:$J$1136,3,FALSE))</f>
        <v/>
      </c>
      <c r="D18" s="171"/>
      <c r="E18" s="171"/>
      <c r="F18" s="173"/>
      <c r="G18" s="174">
        <f t="shared" si="1"/>
        <v>0</v>
      </c>
      <c r="H18" s="120" t="str">
        <f>IF($A18=0,"",VLOOKUP($A18,'00_Mat'!$A$4:$J$1136,5,FALSE))</f>
        <v/>
      </c>
      <c r="I18" s="120"/>
    </row>
    <row r="19" ht="14.25" customHeight="1">
      <c r="F19" s="126"/>
      <c r="G19" s="3"/>
      <c r="H19" s="120"/>
      <c r="I19" s="120"/>
    </row>
    <row r="20" ht="14.25" customHeight="1">
      <c r="A20" s="175" t="s">
        <v>786</v>
      </c>
      <c r="B20" s="176"/>
      <c r="C20" s="176"/>
      <c r="D20" s="176"/>
      <c r="E20" s="176"/>
      <c r="F20" s="176"/>
      <c r="G20" s="177"/>
      <c r="H20" s="176"/>
      <c r="I20" s="178">
        <f>SUM(I7:I18)</f>
        <v>35494000</v>
      </c>
      <c r="J20" s="74"/>
      <c r="K20" s="74"/>
      <c r="L20" s="74"/>
    </row>
    <row r="21" ht="14.25" customHeight="1">
      <c r="A21" s="179" t="str">
        <f>$I$3</f>
        <v>unid</v>
      </c>
      <c r="B21" s="180"/>
      <c r="C21" s="180"/>
      <c r="D21" s="180"/>
      <c r="E21" s="180"/>
      <c r="F21" s="180"/>
      <c r="G21" s="5"/>
      <c r="H21" s="180"/>
      <c r="I21" s="172">
        <f>$H$3</f>
        <v>58</v>
      </c>
      <c r="J21" s="74"/>
      <c r="K21" s="74"/>
      <c r="L21" s="74"/>
    </row>
    <row r="22" ht="14.25" customHeight="1">
      <c r="A22" s="181" t="s">
        <v>787</v>
      </c>
      <c r="B22" s="179" t="str">
        <f>A21</f>
        <v>unid</v>
      </c>
      <c r="C22" s="180"/>
      <c r="D22" s="180"/>
      <c r="E22" s="180"/>
      <c r="F22" s="180"/>
      <c r="G22" s="5"/>
      <c r="H22" s="180"/>
      <c r="I22" s="182">
        <f>I20/I21</f>
        <v>611965.5172</v>
      </c>
      <c r="J22" s="74"/>
      <c r="K22" s="74"/>
      <c r="L22" s="74"/>
    </row>
    <row r="23" ht="14.25" customHeight="1">
      <c r="G23" s="3"/>
    </row>
    <row r="24" ht="14.25" customHeight="1">
      <c r="G24" s="3"/>
    </row>
    <row r="25" ht="14.25" customHeight="1">
      <c r="A25" s="168" t="s">
        <v>788</v>
      </c>
      <c r="B25" s="76"/>
      <c r="C25" s="76"/>
      <c r="D25" s="76"/>
      <c r="E25" s="76"/>
      <c r="F25" s="76"/>
      <c r="G25" s="2"/>
      <c r="H25" s="76"/>
      <c r="I25" s="76"/>
    </row>
    <row r="26" ht="14.25" customHeight="1">
      <c r="A26" s="169" t="s">
        <v>778</v>
      </c>
      <c r="B26" s="169" t="s">
        <v>779</v>
      </c>
      <c r="C26" s="169" t="s">
        <v>780</v>
      </c>
      <c r="D26" s="169" t="s">
        <v>781</v>
      </c>
      <c r="E26" s="169" t="s">
        <v>789</v>
      </c>
      <c r="F26" s="169" t="s">
        <v>782</v>
      </c>
      <c r="G26" s="4" t="s">
        <v>783</v>
      </c>
      <c r="H26" s="169" t="s">
        <v>784</v>
      </c>
      <c r="I26" s="169" t="s">
        <v>785</v>
      </c>
    </row>
    <row r="27" ht="14.25" customHeight="1">
      <c r="A27" s="183" t="s">
        <v>509</v>
      </c>
      <c r="B27" s="74" t="str">
        <f>IF($A27=0,"",VLOOKUP($A27,'00_MO'!$A$4:$D$7,2,FALSE))</f>
        <v>Capataz</v>
      </c>
      <c r="C27" s="74" t="str">
        <f>IF($A27=0,"",VLOOKUP($A27,'00_MO'!$A$4:$D$7,3,FALSE))</f>
        <v>u</v>
      </c>
      <c r="D27" s="171">
        <v>1.0</v>
      </c>
      <c r="E27" s="171">
        <f>H3/2</f>
        <v>29</v>
      </c>
      <c r="F27" s="173">
        <v>0.1</v>
      </c>
      <c r="G27" s="184">
        <f t="shared" ref="G27:G32" si="3">ROUNDUP(((D27*E27)*(1+F27)),0)</f>
        <v>32</v>
      </c>
      <c r="H27" s="120">
        <f>IF($A27=0,"",VLOOKUP($A27,'00_MO'!$A$4:$D$7,4,FALSE))</f>
        <v>50000</v>
      </c>
      <c r="I27" s="120">
        <f t="shared" ref="I27:I29" si="4">G27*H27</f>
        <v>1600000</v>
      </c>
      <c r="J27" s="127" t="s">
        <v>831</v>
      </c>
    </row>
    <row r="28" ht="14.25" customHeight="1">
      <c r="A28" s="183" t="s">
        <v>513</v>
      </c>
      <c r="B28" s="74" t="str">
        <f>IF($A28=0,"",VLOOKUP($A28,'00_MO'!$A$4:$D$7,2,FALSE))</f>
        <v>Oficial</v>
      </c>
      <c r="C28" s="74" t="str">
        <f>IF($A28=0,"",VLOOKUP($A28,'00_MO'!$A$4:$D$7,3,FALSE))</f>
        <v>u</v>
      </c>
      <c r="D28" s="171">
        <v>2.0</v>
      </c>
      <c r="E28" s="171">
        <f>E27</f>
        <v>29</v>
      </c>
      <c r="F28" s="173">
        <v>0.1</v>
      </c>
      <c r="G28" s="184">
        <f t="shared" si="3"/>
        <v>64</v>
      </c>
      <c r="H28" s="120">
        <f>IF($A28=0,"",VLOOKUP($A28,'00_MO'!$A$4:$D$7,4,FALSE))</f>
        <v>40000</v>
      </c>
      <c r="I28" s="120">
        <f t="shared" si="4"/>
        <v>2560000</v>
      </c>
    </row>
    <row r="29" ht="14.25" customHeight="1">
      <c r="A29" s="183" t="s">
        <v>515</v>
      </c>
      <c r="B29" s="74" t="str">
        <f>IF($A29=0,"",VLOOKUP($A29,'00_MO'!$A$4:$D$7,2,FALSE))</f>
        <v>Ayudante</v>
      </c>
      <c r="C29" s="74" t="str">
        <f>IF($A29=0,"",VLOOKUP($A29,'00_MO'!$A$4:$D$7,3,FALSE))</f>
        <v>u</v>
      </c>
      <c r="D29" s="171">
        <v>2.0</v>
      </c>
      <c r="E29" s="171">
        <f>E27</f>
        <v>29</v>
      </c>
      <c r="F29" s="173">
        <v>0.1</v>
      </c>
      <c r="G29" s="184">
        <f t="shared" si="3"/>
        <v>64</v>
      </c>
      <c r="H29" s="120">
        <f>IF($A29=0,"",VLOOKUP($A29,'00_MO'!$A$4:$D$7,4,FALSE))</f>
        <v>30000</v>
      </c>
      <c r="I29" s="120">
        <f t="shared" si="4"/>
        <v>1920000</v>
      </c>
    </row>
    <row r="30" ht="14.25" customHeight="1">
      <c r="A30" s="171"/>
      <c r="B30" s="74" t="str">
        <f>IF($A30=0,"",VLOOKUP($A30,'00_MO'!$A$4:$D$7,2,FALSE))</f>
        <v/>
      </c>
      <c r="C30" s="74" t="str">
        <f>IF($A30=0,"",VLOOKUP($A30,'00_MO'!$A$4:$D$7,3,FALSE))</f>
        <v/>
      </c>
      <c r="D30" s="171"/>
      <c r="E30" s="171"/>
      <c r="F30" s="173"/>
      <c r="G30" s="184">
        <f t="shared" si="3"/>
        <v>0</v>
      </c>
      <c r="H30" s="120" t="str">
        <f>IF($A30=0,"",VLOOKUP($A30,'00_MO'!$A$4:$D$7,4,FALSE))</f>
        <v/>
      </c>
      <c r="I30" s="120"/>
    </row>
    <row r="31" ht="14.25" customHeight="1">
      <c r="A31" s="171"/>
      <c r="B31" s="74" t="str">
        <f>IF($A31=0,"",VLOOKUP($A31,'00_MO'!$A$4:$D$7,2,FALSE))</f>
        <v/>
      </c>
      <c r="C31" s="74" t="str">
        <f>IF($A31=0,"",VLOOKUP($A31,'00_MO'!$A$4:$D$7,3,FALSE))</f>
        <v/>
      </c>
      <c r="D31" s="171"/>
      <c r="E31" s="171"/>
      <c r="F31" s="173"/>
      <c r="G31" s="184">
        <f t="shared" si="3"/>
        <v>0</v>
      </c>
      <c r="H31" s="120" t="str">
        <f>IF($A31=0,"",VLOOKUP($A31,'00_MO'!$A$4:$D$7,4,FALSE))</f>
        <v/>
      </c>
      <c r="I31" s="120"/>
    </row>
    <row r="32" ht="14.25" customHeight="1">
      <c r="A32" s="171"/>
      <c r="B32" s="74" t="str">
        <f>IF($A32=0,"",VLOOKUP($A32,'00_MO'!$A$4:$D$7,2,FALSE))</f>
        <v/>
      </c>
      <c r="C32" s="74" t="str">
        <f>IF($A32=0,"",VLOOKUP($A32,'00_MO'!$A$4:$D$7,3,FALSE))</f>
        <v/>
      </c>
      <c r="D32" s="171"/>
      <c r="E32" s="171"/>
      <c r="F32" s="173"/>
      <c r="G32" s="184">
        <f t="shared" si="3"/>
        <v>0</v>
      </c>
      <c r="H32" s="120" t="str">
        <f>IF($A32=0,"",VLOOKUP($A32,'00_MO'!$A$4:$D$7,4,FALSE))</f>
        <v/>
      </c>
      <c r="I32" s="120"/>
    </row>
    <row r="33" ht="14.25" customHeight="1">
      <c r="F33" s="126"/>
      <c r="G33" s="3"/>
      <c r="H33" s="120"/>
      <c r="I33" s="120"/>
    </row>
    <row r="34" ht="14.25" customHeight="1">
      <c r="A34" s="175" t="s">
        <v>717</v>
      </c>
      <c r="B34" s="176"/>
      <c r="C34" s="176"/>
      <c r="D34" s="176"/>
      <c r="E34" s="176"/>
      <c r="F34" s="176"/>
      <c r="G34" s="177"/>
      <c r="H34" s="176"/>
      <c r="I34" s="178">
        <f>SUM(I27:I32)</f>
        <v>6080000</v>
      </c>
    </row>
    <row r="35" ht="14.25" customHeight="1">
      <c r="A35" s="179" t="str">
        <f>$I$3</f>
        <v>unid</v>
      </c>
      <c r="B35" s="180"/>
      <c r="C35" s="180"/>
      <c r="D35" s="180"/>
      <c r="E35" s="180"/>
      <c r="F35" s="180"/>
      <c r="G35" s="5"/>
      <c r="H35" s="180"/>
      <c r="I35" s="172">
        <f>$H$3</f>
        <v>58</v>
      </c>
      <c r="J35" s="74"/>
      <c r="K35" s="74"/>
      <c r="L35" s="74"/>
    </row>
    <row r="36" ht="14.25" customHeight="1">
      <c r="A36" s="181" t="s">
        <v>787</v>
      </c>
      <c r="B36" s="179" t="str">
        <f>A35</f>
        <v>unid</v>
      </c>
      <c r="C36" s="180"/>
      <c r="D36" s="180"/>
      <c r="E36" s="180"/>
      <c r="F36" s="180"/>
      <c r="G36" s="5"/>
      <c r="H36" s="180"/>
      <c r="I36" s="182">
        <f>I34/I35</f>
        <v>104827.5862</v>
      </c>
      <c r="J36" s="74"/>
      <c r="K36" s="74"/>
      <c r="L36" s="74"/>
    </row>
    <row r="37" ht="14.25" customHeight="1">
      <c r="G37" s="3"/>
    </row>
    <row r="38" ht="14.25" customHeight="1">
      <c r="G38" s="3"/>
    </row>
    <row r="39" ht="14.25" customHeight="1">
      <c r="A39" s="168" t="s">
        <v>790</v>
      </c>
      <c r="B39" s="76"/>
      <c r="C39" s="76"/>
      <c r="D39" s="76"/>
      <c r="E39" s="76"/>
      <c r="F39" s="76"/>
      <c r="G39" s="2"/>
      <c r="H39" s="76"/>
      <c r="I39" s="76"/>
    </row>
    <row r="40" ht="14.25" customHeight="1">
      <c r="A40" s="169" t="s">
        <v>778</v>
      </c>
      <c r="B40" s="169" t="s">
        <v>779</v>
      </c>
      <c r="C40" s="169" t="s">
        <v>780</v>
      </c>
      <c r="D40" s="169" t="s">
        <v>781</v>
      </c>
      <c r="E40" s="169" t="s">
        <v>789</v>
      </c>
      <c r="F40" s="169" t="s">
        <v>782</v>
      </c>
      <c r="G40" s="4" t="s">
        <v>783</v>
      </c>
      <c r="H40" s="169" t="s">
        <v>784</v>
      </c>
      <c r="I40" s="169" t="s">
        <v>785</v>
      </c>
    </row>
    <row r="41" ht="14.25" customHeight="1">
      <c r="A41" s="5" t="s">
        <v>521</v>
      </c>
      <c r="B41" s="74" t="str">
        <f>IF($A41=0,"",VLOOKUP($A41,'00_Eq'!$A$4:$D$6,2,FALSE))</f>
        <v>Mini Cargadora</v>
      </c>
      <c r="C41" s="74" t="str">
        <f>IF($A41=0,"",VLOOKUP($A41,'00_Eq'!$A$4:$D$51,3,FALSE))</f>
        <v>u</v>
      </c>
      <c r="D41" s="171">
        <v>1.0</v>
      </c>
      <c r="E41" s="171">
        <v>15.0</v>
      </c>
      <c r="F41" s="173"/>
      <c r="G41" s="184">
        <f t="shared" ref="G41:G46" si="5">ROUNDUP(((D41*E41)*(1+F41)),0)</f>
        <v>15</v>
      </c>
      <c r="H41" s="120">
        <f>IF($A41=0,"",VLOOKUP($A41,'00_Eq'!$A$4:$D$6,4,FALSE))</f>
        <v>420000</v>
      </c>
      <c r="I41" s="120">
        <f t="shared" ref="I41:I42" si="6">G41*H41</f>
        <v>6300000</v>
      </c>
    </row>
    <row r="42" ht="14.25" customHeight="1">
      <c r="A42" s="171"/>
      <c r="B42" s="74" t="str">
        <f>IF($A42=0,"",VLOOKUP($A42,'00_Eq'!$A$4:$D$6,2,FALSE))</f>
        <v/>
      </c>
      <c r="C42" s="74" t="str">
        <f>IF($A42=0,"",VLOOKUP($A42,'00_Eq'!$A$4:$D$51,3,FALSE))</f>
        <v/>
      </c>
      <c r="D42" s="171"/>
      <c r="E42" s="171"/>
      <c r="F42" s="173"/>
      <c r="G42" s="184">
        <f t="shared" si="5"/>
        <v>0</v>
      </c>
      <c r="H42" s="120" t="str">
        <f>IF($A42=0,"",VLOOKUP($A42,'00_Eq'!$A$4:$D$6,4,FALSE))</f>
        <v/>
      </c>
      <c r="I42" s="120">
        <f t="shared" si="6"/>
        <v>0</v>
      </c>
    </row>
    <row r="43" ht="14.25" customHeight="1">
      <c r="A43" s="171"/>
      <c r="B43" s="74" t="str">
        <f>IF($A43=0,"",VLOOKUP($A43,'00_Eq'!$A$4:$D$6,2,FALSE))</f>
        <v/>
      </c>
      <c r="C43" s="74" t="str">
        <f>IF($A43=0,"",VLOOKUP($A43,'00_Eq'!$A$4:$D$51,3,FALSE))</f>
        <v/>
      </c>
      <c r="D43" s="171"/>
      <c r="E43" s="171"/>
      <c r="F43" s="173"/>
      <c r="G43" s="184">
        <f t="shared" si="5"/>
        <v>0</v>
      </c>
      <c r="H43" s="120" t="str">
        <f>IF($A43=0,"",VLOOKUP($A43,'00_Eq'!$A$4:$D$6,4,FALSE))</f>
        <v/>
      </c>
      <c r="I43" s="120"/>
    </row>
    <row r="44" ht="14.25" customHeight="1">
      <c r="A44" s="171"/>
      <c r="B44" s="74" t="str">
        <f>IF($A44=0,"",VLOOKUP($A44,'00_Eq'!$A$4:$D$6,2,FALSE))</f>
        <v/>
      </c>
      <c r="C44" s="74" t="str">
        <f>IF($A44=0,"",VLOOKUP($A44,'00_Eq'!$A$4:$D$51,3,FALSE))</f>
        <v/>
      </c>
      <c r="D44" s="171"/>
      <c r="E44" s="171"/>
      <c r="F44" s="173"/>
      <c r="G44" s="184">
        <f t="shared" si="5"/>
        <v>0</v>
      </c>
      <c r="H44" s="120" t="str">
        <f>IF($A44=0,"",VLOOKUP($A44,'00_Eq'!$A$4:$D$6,4,FALSE))</f>
        <v/>
      </c>
      <c r="I44" s="120"/>
    </row>
    <row r="45" ht="14.25" customHeight="1">
      <c r="A45" s="171"/>
      <c r="B45" s="74" t="str">
        <f>IF($A45=0,"",VLOOKUP($A45,'00_Eq'!$A$4:$D$6,2,FALSE))</f>
        <v/>
      </c>
      <c r="C45" s="74" t="str">
        <f>IF($A45=0,"",VLOOKUP($A45,'00_Eq'!$A$4:$D$51,3,FALSE))</f>
        <v/>
      </c>
      <c r="D45" s="171"/>
      <c r="E45" s="171"/>
      <c r="F45" s="173"/>
      <c r="G45" s="184">
        <f t="shared" si="5"/>
        <v>0</v>
      </c>
      <c r="H45" s="120" t="str">
        <f>IF($A45=0,"",VLOOKUP($A45,'00_Eq'!$A$4:$D$6,4,FALSE))</f>
        <v/>
      </c>
      <c r="I45" s="120"/>
    </row>
    <row r="46" ht="14.25" customHeight="1">
      <c r="A46" s="171"/>
      <c r="B46" s="74" t="str">
        <f>IF($A46=0,"",VLOOKUP($A46,'00_Eq'!$A$4:$D$6,2,FALSE))</f>
        <v/>
      </c>
      <c r="C46" s="74" t="str">
        <f>IF($A46=0,"",VLOOKUP($A46,'00_Eq'!$A$4:$D$51,3,FALSE))</f>
        <v/>
      </c>
      <c r="D46" s="171"/>
      <c r="E46" s="171"/>
      <c r="F46" s="173"/>
      <c r="G46" s="184">
        <f t="shared" si="5"/>
        <v>0</v>
      </c>
      <c r="H46" s="120" t="str">
        <f>IF($A46=0,"",VLOOKUP($A46,'00_Eq'!$A$4:$D$6,4,FALSE))</f>
        <v/>
      </c>
      <c r="I46" s="120"/>
    </row>
    <row r="47" ht="14.25" customHeight="1">
      <c r="F47" s="126"/>
      <c r="G47" s="3"/>
      <c r="H47" s="120"/>
      <c r="I47" s="120"/>
    </row>
    <row r="48" ht="14.25" customHeight="1">
      <c r="A48" s="175" t="s">
        <v>717</v>
      </c>
      <c r="B48" s="176"/>
      <c r="C48" s="176"/>
      <c r="D48" s="176"/>
      <c r="E48" s="176"/>
      <c r="F48" s="176"/>
      <c r="G48" s="177"/>
      <c r="H48" s="176"/>
      <c r="I48" s="178">
        <f>SUM(I41:I46)</f>
        <v>6300000</v>
      </c>
    </row>
    <row r="49" ht="14.25" customHeight="1">
      <c r="A49" s="179" t="str">
        <f>$I$3</f>
        <v>unid</v>
      </c>
      <c r="B49" s="180"/>
      <c r="C49" s="180"/>
      <c r="D49" s="180"/>
      <c r="E49" s="180"/>
      <c r="F49" s="180"/>
      <c r="G49" s="5"/>
      <c r="H49" s="180"/>
      <c r="I49" s="172">
        <f>$H$3</f>
        <v>58</v>
      </c>
      <c r="J49" s="74"/>
      <c r="K49" s="74"/>
      <c r="L49" s="74"/>
    </row>
    <row r="50" ht="14.25" customHeight="1">
      <c r="A50" s="181" t="s">
        <v>787</v>
      </c>
      <c r="B50" s="179" t="str">
        <f>A49</f>
        <v>unid</v>
      </c>
      <c r="C50" s="180"/>
      <c r="D50" s="180"/>
      <c r="E50" s="180"/>
      <c r="F50" s="180"/>
      <c r="G50" s="5"/>
      <c r="H50" s="180"/>
      <c r="I50" s="182">
        <f>I48/I49</f>
        <v>108620.6897</v>
      </c>
      <c r="J50" s="74"/>
      <c r="K50" s="74"/>
      <c r="L50" s="74"/>
    </row>
    <row r="51" ht="14.25" customHeight="1">
      <c r="G51" s="3"/>
    </row>
    <row r="52" ht="14.25" customHeight="1">
      <c r="G52" s="3"/>
    </row>
    <row r="53" ht="14.25" customHeight="1">
      <c r="A53" s="168" t="s">
        <v>791</v>
      </c>
      <c r="B53" s="76"/>
      <c r="C53" s="76"/>
      <c r="D53" s="76"/>
      <c r="E53" s="76"/>
      <c r="F53" s="76"/>
      <c r="G53" s="2"/>
      <c r="H53" s="76"/>
      <c r="I53" s="76"/>
    </row>
    <row r="54" ht="14.25" customHeight="1">
      <c r="A54" s="169" t="s">
        <v>778</v>
      </c>
      <c r="B54" s="169" t="s">
        <v>779</v>
      </c>
      <c r="C54" s="169" t="s">
        <v>780</v>
      </c>
      <c r="D54" s="169" t="s">
        <v>781</v>
      </c>
      <c r="E54" s="169"/>
      <c r="F54" s="169" t="s">
        <v>782</v>
      </c>
      <c r="G54" s="4" t="s">
        <v>783</v>
      </c>
      <c r="H54" s="169" t="s">
        <v>784</v>
      </c>
      <c r="I54" s="169" t="s">
        <v>785</v>
      </c>
    </row>
    <row r="55" ht="14.25" customHeight="1">
      <c r="A55" s="171"/>
      <c r="B55" s="74" t="str">
        <f>IF($A55=0,"",VLOOKUP($A55,'00_Mat'!$A$4:$J$1136,2,FALSE))</f>
        <v/>
      </c>
      <c r="C55" s="74" t="str">
        <f>IF($A55=0,"",VLOOKUP($A55,'00_Mat'!$A$4:$J$1136,3,FALSE))</f>
        <v/>
      </c>
      <c r="D55" s="172"/>
      <c r="E55" s="171"/>
      <c r="F55" s="173"/>
      <c r="G55" s="174">
        <f t="shared" ref="G55:G60" si="7">ROUNDUP((D55+(D55*F55)),0)</f>
        <v>0</v>
      </c>
      <c r="H55" s="120" t="str">
        <f>IF($A55=0,"",VLOOKUP($A55,'00_Mat'!$A$4:$J$1136,5,FALSE))</f>
        <v/>
      </c>
      <c r="I55" s="120"/>
    </row>
    <row r="56" ht="14.25" customHeight="1">
      <c r="A56" s="171"/>
      <c r="B56" s="74" t="str">
        <f>IF($A56=0,"",VLOOKUP($A56,'00_Mat'!$A$4:$J$1136,2,FALSE))</f>
        <v/>
      </c>
      <c r="C56" s="74" t="str">
        <f>IF($A56=0,"",VLOOKUP($A56,'00_Mat'!$A$4:$J$1136,3,FALSE))</f>
        <v/>
      </c>
      <c r="D56" s="172"/>
      <c r="E56" s="171"/>
      <c r="F56" s="173"/>
      <c r="G56" s="174">
        <f t="shared" si="7"/>
        <v>0</v>
      </c>
      <c r="H56" s="120" t="str">
        <f>IF($A56=0,"",VLOOKUP($A56,'00_Mat'!$A$4:$J$1136,5,FALSE))</f>
        <v/>
      </c>
      <c r="I56" s="120"/>
    </row>
    <row r="57" ht="14.25" customHeight="1">
      <c r="A57" s="171"/>
      <c r="B57" s="74" t="str">
        <f>IF($A57=0,"",VLOOKUP($A57,'00_Mat'!$A$4:$J$1136,2,FALSE))</f>
        <v/>
      </c>
      <c r="C57" s="74" t="str">
        <f>IF($A57=0,"",VLOOKUP($A57,'00_Mat'!$A$4:$J$1136,3,FALSE))</f>
        <v/>
      </c>
      <c r="D57" s="172"/>
      <c r="E57" s="171"/>
      <c r="F57" s="173"/>
      <c r="G57" s="174">
        <f t="shared" si="7"/>
        <v>0</v>
      </c>
      <c r="H57" s="120" t="str">
        <f>IF($A57=0,"",VLOOKUP($A57,'00_Mat'!$A$4:$J$1136,5,FALSE))</f>
        <v/>
      </c>
      <c r="I57" s="120"/>
    </row>
    <row r="58" ht="14.25" customHeight="1">
      <c r="A58" s="171"/>
      <c r="B58" s="74" t="str">
        <f>IF($A58=0,"",VLOOKUP($A58,'00_Mat'!$A$4:$J$1136,2,FALSE))</f>
        <v/>
      </c>
      <c r="C58" s="74" t="str">
        <f>IF($A58=0,"",VLOOKUP($A58,'00_Mat'!$A$4:$J$1136,3,FALSE))</f>
        <v/>
      </c>
      <c r="D58" s="172"/>
      <c r="E58" s="171"/>
      <c r="F58" s="173"/>
      <c r="G58" s="174">
        <f t="shared" si="7"/>
        <v>0</v>
      </c>
      <c r="H58" s="120" t="str">
        <f>IF($A58=0,"",VLOOKUP($A58,'00_Mat'!$A$4:$J$1136,5,FALSE))</f>
        <v/>
      </c>
      <c r="I58" s="120"/>
    </row>
    <row r="59" ht="14.25" customHeight="1">
      <c r="A59" s="171"/>
      <c r="B59" s="74" t="str">
        <f>IF($A59=0,"",VLOOKUP($A59,'00_Mat'!$A$4:$J$1136,2,FALSE))</f>
        <v/>
      </c>
      <c r="C59" s="74" t="str">
        <f>IF($A59=0,"",VLOOKUP($A59,'00_Mat'!$A$4:$J$1136,3,FALSE))</f>
        <v/>
      </c>
      <c r="D59" s="172"/>
      <c r="E59" s="171"/>
      <c r="F59" s="173"/>
      <c r="G59" s="174">
        <f t="shared" si="7"/>
        <v>0</v>
      </c>
      <c r="H59" s="120" t="str">
        <f>IF($A59=0,"",VLOOKUP($A59,'00_Mat'!$A$4:$J$1136,5,FALSE))</f>
        <v/>
      </c>
      <c r="I59" s="120"/>
    </row>
    <row r="60" ht="14.25" customHeight="1">
      <c r="A60" s="171"/>
      <c r="B60" s="74" t="str">
        <f>IF($A60=0,"",VLOOKUP($A60,'00_Mat'!$A$4:$J$1136,2,FALSE))</f>
        <v/>
      </c>
      <c r="C60" s="74" t="str">
        <f>IF($A60=0,"",VLOOKUP($A60,'00_Mat'!$A$4:$J$1136,3,FALSE))</f>
        <v/>
      </c>
      <c r="D60" s="172"/>
      <c r="E60" s="171"/>
      <c r="F60" s="173"/>
      <c r="G60" s="174">
        <f t="shared" si="7"/>
        <v>0</v>
      </c>
      <c r="H60" s="120" t="str">
        <f>IF($A60=0,"",VLOOKUP($A60,'00_Mat'!$A$4:$J$1136,5,FALSE))</f>
        <v/>
      </c>
      <c r="I60" s="120"/>
    </row>
    <row r="61" ht="14.25" customHeight="1">
      <c r="F61" s="126"/>
      <c r="G61" s="3"/>
      <c r="H61" s="120"/>
      <c r="I61" s="120"/>
    </row>
    <row r="62" ht="14.25" customHeight="1">
      <c r="A62" s="175" t="s">
        <v>717</v>
      </c>
      <c r="B62" s="176"/>
      <c r="C62" s="176"/>
      <c r="D62" s="176"/>
      <c r="E62" s="176"/>
      <c r="F62" s="176"/>
      <c r="G62" s="177"/>
      <c r="H62" s="176"/>
      <c r="I62" s="178">
        <f>SUM(I55:I60)</f>
        <v>0</v>
      </c>
    </row>
    <row r="63" ht="14.25" customHeight="1">
      <c r="A63" s="179" t="str">
        <f>$I$3</f>
        <v>unid</v>
      </c>
      <c r="B63" s="180"/>
      <c r="C63" s="180"/>
      <c r="D63" s="180"/>
      <c r="E63" s="180"/>
      <c r="F63" s="180"/>
      <c r="G63" s="5"/>
      <c r="H63" s="180"/>
      <c r="I63" s="172">
        <f>$H$3</f>
        <v>58</v>
      </c>
      <c r="J63" s="74"/>
      <c r="K63" s="74"/>
      <c r="L63" s="74"/>
    </row>
    <row r="64" ht="14.25" customHeight="1">
      <c r="A64" s="181" t="s">
        <v>787</v>
      </c>
      <c r="B64" s="179" t="str">
        <f>A63</f>
        <v>unid</v>
      </c>
      <c r="C64" s="180"/>
      <c r="D64" s="180"/>
      <c r="E64" s="180"/>
      <c r="F64" s="180"/>
      <c r="G64" s="5"/>
      <c r="H64" s="180"/>
      <c r="I64" s="182">
        <f>I62/I63</f>
        <v>0</v>
      </c>
      <c r="J64" s="74"/>
      <c r="K64" s="74"/>
      <c r="L64" s="74"/>
    </row>
    <row r="65" ht="14.25" customHeight="1">
      <c r="G65" s="3"/>
    </row>
    <row r="66" ht="14.25" customHeight="1">
      <c r="G66" s="3"/>
    </row>
    <row r="67" ht="14.25" customHeight="1">
      <c r="A67" s="168" t="s">
        <v>792</v>
      </c>
      <c r="B67" s="76"/>
      <c r="C67" s="76"/>
      <c r="D67" s="76"/>
      <c r="E67" s="76"/>
      <c r="F67" s="76"/>
      <c r="G67" s="2"/>
      <c r="H67" s="76"/>
      <c r="I67" s="76"/>
    </row>
    <row r="68" ht="14.25" customHeight="1">
      <c r="A68" s="169" t="s">
        <v>778</v>
      </c>
      <c r="B68" s="169" t="s">
        <v>779</v>
      </c>
      <c r="C68" s="169" t="s">
        <v>780</v>
      </c>
      <c r="D68" s="169" t="s">
        <v>781</v>
      </c>
      <c r="E68" s="169" t="s">
        <v>789</v>
      </c>
      <c r="F68" s="169" t="s">
        <v>782</v>
      </c>
      <c r="G68" s="4" t="s">
        <v>783</v>
      </c>
      <c r="H68" s="169" t="s">
        <v>784</v>
      </c>
      <c r="I68" s="169" t="s">
        <v>785</v>
      </c>
    </row>
    <row r="69" ht="14.25" customHeight="1">
      <c r="A69" s="171"/>
      <c r="B69" s="74" t="str">
        <f>IF($A69=0,"",VLOOKUP($A69,'00_Sub'!$A$4:$D$1001,2,FALSE))</f>
        <v/>
      </c>
      <c r="C69" s="74" t="str">
        <f>IF($A69=0,"",VLOOKUP($A69,'00_Sub'!$A$4:$D$1001,3,FALSE))</f>
        <v/>
      </c>
      <c r="D69" s="171"/>
      <c r="E69" s="171"/>
      <c r="F69" s="173"/>
      <c r="G69" s="174">
        <f t="shared" ref="G69:G74" si="8">ROUNDUP((D69+(D69*F69)),0)</f>
        <v>0</v>
      </c>
      <c r="H69" s="120" t="str">
        <f>IF($A69=0,"",VLOOKUP($A69,'00_Sub'!$A$4:$D$1001,4,FALSE))</f>
        <v/>
      </c>
      <c r="I69" s="120">
        <f>G69*H69</f>
        <v>0</v>
      </c>
    </row>
    <row r="70" ht="14.25" customHeight="1">
      <c r="A70" s="171"/>
      <c r="B70" s="74" t="str">
        <f>IF($A70=0,"",VLOOKUP($A70,'00_Sub'!$A$4:$D$1001,2,FALSE))</f>
        <v/>
      </c>
      <c r="C70" s="74" t="str">
        <f>IF($A70=0,"",VLOOKUP($A70,'00_Sub'!$A$4:$D$1001,3,FALSE))</f>
        <v/>
      </c>
      <c r="D70" s="171"/>
      <c r="E70" s="171"/>
      <c r="F70" s="173"/>
      <c r="G70" s="174">
        <f t="shared" si="8"/>
        <v>0</v>
      </c>
      <c r="H70" s="120" t="str">
        <f>IF($A70=0,"",VLOOKUP($A70,'00_Sub'!$A$4:$D$1001,4,FALSE))</f>
        <v/>
      </c>
      <c r="I70" s="120"/>
    </row>
    <row r="71" ht="14.25" customHeight="1">
      <c r="A71" s="171"/>
      <c r="B71" s="74" t="str">
        <f>IF($A71=0,"",VLOOKUP($A71,'00_Sub'!$A$4:$D$1001,2,FALSE))</f>
        <v/>
      </c>
      <c r="C71" s="74" t="str">
        <f>IF($A71=0,"",VLOOKUP($A71,'00_Sub'!$A$4:$D$1001,3,FALSE))</f>
        <v/>
      </c>
      <c r="D71" s="171"/>
      <c r="E71" s="171"/>
      <c r="F71" s="173"/>
      <c r="G71" s="174">
        <f t="shared" si="8"/>
        <v>0</v>
      </c>
      <c r="H71" s="120" t="str">
        <f>IF($A71=0,"",VLOOKUP($A71,'00_Sub'!$A$4:$D$1001,4,FALSE))</f>
        <v/>
      </c>
      <c r="I71" s="120"/>
    </row>
    <row r="72" ht="14.25" customHeight="1">
      <c r="A72" s="171"/>
      <c r="B72" s="74" t="str">
        <f>IF($A72=0,"",VLOOKUP($A72,'00_Sub'!$A$4:$D$1001,2,FALSE))</f>
        <v/>
      </c>
      <c r="C72" s="74" t="str">
        <f>IF($A72=0,"",VLOOKUP($A72,'00_Sub'!$A$4:$D$1001,3,FALSE))</f>
        <v/>
      </c>
      <c r="D72" s="171"/>
      <c r="E72" s="171"/>
      <c r="F72" s="173"/>
      <c r="G72" s="174">
        <f t="shared" si="8"/>
        <v>0</v>
      </c>
      <c r="H72" s="120" t="str">
        <f>IF($A72=0,"",VLOOKUP($A72,'00_Sub'!$A$4:$D$1001,4,FALSE))</f>
        <v/>
      </c>
      <c r="I72" s="120"/>
    </row>
    <row r="73" ht="14.25" customHeight="1">
      <c r="A73" s="171"/>
      <c r="B73" s="74" t="str">
        <f>IF($A73=0,"",VLOOKUP($A73,'00_Sub'!$A$4:$D$1001,2,FALSE))</f>
        <v/>
      </c>
      <c r="C73" s="74" t="str">
        <f>IF($A73=0,"",VLOOKUP($A73,'00_Sub'!$A$4:$D$1001,3,FALSE))</f>
        <v/>
      </c>
      <c r="D73" s="171"/>
      <c r="E73" s="171"/>
      <c r="F73" s="173"/>
      <c r="G73" s="174">
        <f t="shared" si="8"/>
        <v>0</v>
      </c>
      <c r="H73" s="120" t="str">
        <f>IF($A73=0,"",VLOOKUP($A73,'00_Sub'!$A$4:$D$1001,4,FALSE))</f>
        <v/>
      </c>
      <c r="I73" s="120"/>
    </row>
    <row r="74" ht="14.25" customHeight="1">
      <c r="A74" s="171"/>
      <c r="B74" s="74" t="str">
        <f>IF($A74=0,"",VLOOKUP($A74,'00_Sub'!$A$4:$D$1001,2,FALSE))</f>
        <v/>
      </c>
      <c r="C74" s="74" t="str">
        <f>IF($A74=0,"",VLOOKUP($A74,'00_Sub'!$A$4:$D$1001,3,FALSE))</f>
        <v/>
      </c>
      <c r="D74" s="171"/>
      <c r="E74" s="171"/>
      <c r="F74" s="173"/>
      <c r="G74" s="174">
        <f t="shared" si="8"/>
        <v>0</v>
      </c>
      <c r="H74" s="120" t="str">
        <f>IF($A74=0,"",VLOOKUP($A74,'00_Sub'!$A$4:$D$1001,4,FALSE))</f>
        <v/>
      </c>
      <c r="I74" s="120"/>
    </row>
    <row r="75" ht="14.25" customHeight="1">
      <c r="F75" s="126"/>
      <c r="G75" s="3"/>
      <c r="H75" s="120"/>
      <c r="I75" s="120"/>
    </row>
    <row r="76" ht="14.25" customHeight="1">
      <c r="A76" s="175" t="s">
        <v>717</v>
      </c>
      <c r="B76" s="176"/>
      <c r="C76" s="176"/>
      <c r="D76" s="176"/>
      <c r="E76" s="176"/>
      <c r="F76" s="176"/>
      <c r="G76" s="177"/>
      <c r="H76" s="176"/>
      <c r="I76" s="178">
        <f>SUM(I69:I74)</f>
        <v>0</v>
      </c>
    </row>
    <row r="77" ht="14.25" customHeight="1">
      <c r="A77" s="179" t="str">
        <f>$I$3</f>
        <v>unid</v>
      </c>
      <c r="B77" s="180"/>
      <c r="C77" s="180"/>
      <c r="D77" s="180"/>
      <c r="E77" s="180"/>
      <c r="F77" s="180"/>
      <c r="G77" s="5"/>
      <c r="H77" s="180"/>
      <c r="I77" s="172">
        <f>$H$3</f>
        <v>58</v>
      </c>
      <c r="J77" s="74"/>
      <c r="K77" s="74"/>
      <c r="L77" s="74"/>
    </row>
    <row r="78" ht="14.25" customHeight="1">
      <c r="A78" s="181" t="s">
        <v>787</v>
      </c>
      <c r="B78" s="179" t="str">
        <f>A77</f>
        <v>unid</v>
      </c>
      <c r="C78" s="180"/>
      <c r="D78" s="180"/>
      <c r="E78" s="180"/>
      <c r="F78" s="180"/>
      <c r="G78" s="5"/>
      <c r="H78" s="180"/>
      <c r="I78" s="182">
        <f>I76/I77</f>
        <v>0</v>
      </c>
      <c r="J78" s="74"/>
      <c r="K78" s="74"/>
      <c r="L78" s="74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64.86"/>
  </cols>
  <sheetData>
    <row r="2">
      <c r="C2" s="127" t="s">
        <v>832</v>
      </c>
      <c r="D2" s="127" t="s">
        <v>833</v>
      </c>
    </row>
    <row r="3">
      <c r="A3" s="141" t="str">
        <f>'01_C&amp;P'!A8</f>
        <v>1- TAREAS PRELIMINARES</v>
      </c>
      <c r="B3" s="89"/>
    </row>
    <row r="4">
      <c r="A4" s="108">
        <f>'01_C&amp;P'!A10</f>
        <v>45323</v>
      </c>
      <c r="B4" s="114" t="str">
        <f>'01_C&amp;P'!B10</f>
        <v>REPLANTEO Y NIVELACION</v>
      </c>
      <c r="C4" s="127">
        <v>6.0</v>
      </c>
      <c r="D4" s="127">
        <v>8.0</v>
      </c>
    </row>
    <row r="5">
      <c r="A5" s="108">
        <f>'01_C&amp;P'!A12</f>
        <v>45383</v>
      </c>
      <c r="B5" s="114" t="str">
        <f>'01_C&amp;P'!B12</f>
        <v>CERCO DE OBRA (Malla de seguridad permietral)</v>
      </c>
      <c r="C5" s="127">
        <v>1.0</v>
      </c>
      <c r="D5" s="127">
        <v>2.0</v>
      </c>
    </row>
    <row r="6">
      <c r="A6" s="108">
        <f>'01_C&amp;P'!A13</f>
        <v>45413</v>
      </c>
      <c r="B6" s="114" t="str">
        <f>'01_C&amp;P'!B13</f>
        <v>LIMPIZA PERIODICA DE OBRA</v>
      </c>
    </row>
    <row r="7">
      <c r="A7" s="108">
        <f>'01_C&amp;P'!A14</f>
        <v>45444</v>
      </c>
      <c r="B7" s="114" t="str">
        <f>'01_C&amp;P'!B14</f>
        <v>ACARREO DE MATERIALES</v>
      </c>
    </row>
    <row r="8">
      <c r="A8" s="108">
        <f>'01_C&amp;P'!A15</f>
        <v>45474</v>
      </c>
      <c r="B8" s="114" t="str">
        <f>'01_C&amp;P'!B15</f>
        <v>LIMPIEZA FINAL DE OBRA</v>
      </c>
    </row>
    <row r="9">
      <c r="A9" s="141" t="str">
        <f>'01_C&amp;P'!A16</f>
        <v>2- MOVIMEINTO DE SUELOS</v>
      </c>
      <c r="B9" s="89"/>
    </row>
    <row r="10">
      <c r="A10" s="108">
        <f>'01_C&amp;P'!A17</f>
        <v>45293</v>
      </c>
      <c r="B10" s="114" t="str">
        <f>'01_C&amp;P'!B17</f>
        <v>RETIRO DE ARBOLES DE MENOR PORTE (No incluye los tres arboles existentes de gran porte)</v>
      </c>
      <c r="C10" s="127">
        <v>1.0</v>
      </c>
      <c r="D10" s="127">
        <v>2.0</v>
      </c>
    </row>
    <row r="11">
      <c r="A11" s="108">
        <f>'01_C&amp;P'!A18</f>
        <v>45324</v>
      </c>
      <c r="B11" s="114" t="str">
        <f>'01_C&amp;P'!B18</f>
        <v>EXCAVACION Y RETIRO DE SUELO VEGETAL EXISTENTE (Escalones 20 cm de altura con pendiente de 5cm. Secotor de intertrabado/ garden block + contrapiso + tosca = 50 cm. Sector de Cantero 20 cm)</v>
      </c>
      <c r="C11" s="127">
        <f>'2.2.'!E70</f>
        <v>25.21866667</v>
      </c>
      <c r="D11" s="186">
        <f>'2.2.'!G70</f>
        <v>28</v>
      </c>
    </row>
    <row r="12">
      <c r="A12" s="108">
        <f>'01_C&amp;P'!A19</f>
        <v>45353</v>
      </c>
      <c r="B12" s="114" t="str">
        <f>'01_C&amp;P'!B19</f>
        <v>RELLENO, COMPACTACION Y NIVELACION CON SUELO SELECCIONADO TIPO A4 (En sectores de intertrabado y deck de cemento)</v>
      </c>
      <c r="C12" s="127">
        <f>'2.3.'!E70</f>
        <v>14.96396429</v>
      </c>
      <c r="D12" s="186">
        <f>'2.3.'!G70</f>
        <v>19</v>
      </c>
    </row>
    <row r="13">
      <c r="A13" s="141" t="str">
        <f>'01_C&amp;P'!A20</f>
        <v>3- SOLADOS</v>
      </c>
      <c r="B13" s="89"/>
    </row>
    <row r="14">
      <c r="A14" s="108">
        <f>'01_C&amp;P'!A21</f>
        <v>45660</v>
      </c>
      <c r="B14" s="114" t="str">
        <f>'01_C&amp;P'!B21</f>
        <v>EJECUCION DE CONTRAPISO DE H8 EN VEREDA ATERRAZADA </v>
      </c>
      <c r="C14" s="127">
        <f>'3.1'!E27</f>
        <v>5</v>
      </c>
      <c r="D14" s="187">
        <f>'3.1'!G27</f>
        <v>7</v>
      </c>
    </row>
    <row r="15">
      <c r="A15" s="108">
        <f>'01_C&amp;P'!A22</f>
        <v>45691</v>
      </c>
      <c r="B15" s="114" t="str">
        <f>'01_C&amp;P'!B22</f>
        <v>EJECUCION DE CONTRAPISO DE H8 EN VEREDA SOBRE LATERAL DE CALLE</v>
      </c>
      <c r="C15" s="127">
        <v>2.0</v>
      </c>
      <c r="D15" s="127">
        <v>4.0</v>
      </c>
    </row>
    <row r="16">
      <c r="A16" s="108">
        <f>'01_C&amp;P'!A23</f>
        <v>45719</v>
      </c>
      <c r="B16" s="114" t="str">
        <f>'01_C&amp;P'!B23</f>
        <v>EJECUCION DE ESCALON DE HORMIGON ARMADO CURVO CON ZAPATA PARA CONTECION DE SUELO</v>
      </c>
      <c r="C16" s="127">
        <f>'3.3'!E27</f>
        <v>14.51666667</v>
      </c>
      <c r="D16" s="187">
        <f>'3.3'!G27</f>
        <v>19</v>
      </c>
    </row>
    <row r="17">
      <c r="A17" s="108">
        <f>'01_C&amp;P'!A24</f>
        <v>45750</v>
      </c>
      <c r="B17" s="114" t="str">
        <f>'01_C&amp;P'!B24</f>
        <v>CORDON PERIMETRAL DE 10X10 SOBRE LATERAL DE CALLE</v>
      </c>
      <c r="C17" s="127">
        <f>'3.4'!E27</f>
        <v>2.601666667</v>
      </c>
      <c r="D17" s="187">
        <f>'3.4'!G27</f>
        <v>3</v>
      </c>
    </row>
    <row r="18">
      <c r="A18" s="108">
        <f>'01_C&amp;P'!A25</f>
        <v>45780</v>
      </c>
      <c r="B18" s="114" t="str">
        <f>'01_C&amp;P'!B25</f>
        <v>COLOCACION DE GARDEN BLOCK</v>
      </c>
      <c r="C18" s="127">
        <f>'3.5'!E27</f>
        <v>17.08</v>
      </c>
      <c r="D18" s="187">
        <f>'3.5'!G27</f>
        <v>19</v>
      </c>
    </row>
    <row r="19">
      <c r="A19" s="108">
        <f>'01_C&amp;P'!A26</f>
        <v>45811</v>
      </c>
      <c r="B19" s="114" t="str">
        <f>'01_C&amp;P'!B26</f>
        <v>COLOCACION DE BLOQUES INTERTRABADO DE CEMENTO</v>
      </c>
      <c r="C19" s="127">
        <f>'3.6'!E27</f>
        <v>33.53333333</v>
      </c>
      <c r="D19" s="187">
        <f>'3.6'!G27</f>
        <v>42</v>
      </c>
    </row>
    <row r="20">
      <c r="A20" s="108">
        <f>'01_C&amp;P'!A27</f>
        <v>45841</v>
      </c>
      <c r="B20" s="114" t="str">
        <f>'01_C&amp;P'!B27</f>
        <v>COLOCACION DE PISO DECK DE CEMENTO</v>
      </c>
      <c r="C20" s="127">
        <f>'3.7'!E27</f>
        <v>1</v>
      </c>
      <c r="D20" s="127">
        <v>2.0</v>
      </c>
    </row>
    <row r="21">
      <c r="A21" s="141" t="str">
        <f>'01_C&amp;P'!A28</f>
        <v>4- INSTALACIONES</v>
      </c>
      <c r="B21" s="89"/>
    </row>
    <row r="22">
      <c r="A22" s="108">
        <f>'01_C&amp;P'!A29</f>
        <v>45661</v>
      </c>
      <c r="B22" s="114" t="str">
        <f>'01_C&amp;P'!B29</f>
        <v>INSTALACION DE RIEGO. (Incluye manguera, abrazaderas, aspesrores)</v>
      </c>
      <c r="C22" s="127">
        <v>8.0</v>
      </c>
      <c r="D22" s="127">
        <v>10.0</v>
      </c>
    </row>
    <row r="23">
      <c r="A23" s="108">
        <f>'01_C&amp;P'!A31</f>
        <v>45692</v>
      </c>
      <c r="B23" s="114" t="str">
        <f>'01_C&amp;P'!B31</f>
        <v>INSTALACION DE CANILLAS DE SERVICIO (no incluye materiales ni mano de caños)</v>
      </c>
    </row>
    <row r="24">
      <c r="A24" s="108">
        <f>'01_C&amp;P'!A32</f>
        <v>45720</v>
      </c>
      <c r="B24" s="114" t="str">
        <f>'01_C&amp;P'!B32</f>
        <v>BOCAS DE ILUMINACION. (No incluye artefactos)</v>
      </c>
    </row>
    <row r="25">
      <c r="A25" s="108">
        <f>'01_C&amp;P'!A34</f>
        <v>45781</v>
      </c>
      <c r="B25" s="114" t="str">
        <f>'01_C&amp;P'!B34</f>
        <v>INSTALACION ELECTRICA DE TABLERO Y PILAR</v>
      </c>
    </row>
    <row r="26">
      <c r="A26" s="127" t="str">
        <f t="shared" ref="A26:B26" si="1">#REF!</f>
        <v>#REF!</v>
      </c>
      <c r="B26" s="127" t="str">
        <f t="shared" si="1"/>
        <v>#REF!</v>
      </c>
    </row>
    <row r="27">
      <c r="A27" s="127" t="str">
        <f>'01_C&amp;P'!A35</f>
        <v>5- CANTEROS</v>
      </c>
      <c r="B27" s="127" t="str">
        <f>'01_C&amp;P'!B35</f>
        <v/>
      </c>
    </row>
    <row r="28">
      <c r="A28" s="188">
        <f>'01_C&amp;P'!A36</f>
        <v>45662</v>
      </c>
      <c r="B28" s="127" t="str">
        <f>'01_C&amp;P'!B36</f>
        <v>CANTEROS (A razon de redondear el presupuesto se toma una medida y cantidad estimada de 4,5x2m  h 40cm)</v>
      </c>
    </row>
    <row r="29">
      <c r="A29" s="127" t="str">
        <f>'01_C&amp;P'!A37</f>
        <v> 6- MUELLE</v>
      </c>
      <c r="B29" s="127" t="str">
        <f>'01_C&amp;P'!B37</f>
        <v/>
      </c>
    </row>
    <row r="31">
      <c r="C31" s="127">
        <f>SUM(C3:C22)</f>
        <v>131.9142976</v>
      </c>
      <c r="D31" s="127">
        <f>SUM(D3:D25)</f>
        <v>165</v>
      </c>
    </row>
    <row r="33">
      <c r="C33" s="127" t="s">
        <v>834</v>
      </c>
    </row>
  </sheetData>
  <mergeCells count="4">
    <mergeCell ref="A3:B3"/>
    <mergeCell ref="A9:B9"/>
    <mergeCell ref="A13:B13"/>
    <mergeCell ref="A21:B2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73" t="str">
        <f>'01_C&amp;P'!A1</f>
        <v>NOMBRE DE LA OBRA</v>
      </c>
      <c r="B1" s="73"/>
      <c r="C1" s="73"/>
      <c r="G1" s="3"/>
    </row>
    <row r="2" ht="14.25" customHeight="1">
      <c r="G2" s="3"/>
    </row>
    <row r="3" ht="23.25" customHeight="1">
      <c r="A3" s="162" t="str">
        <f t="shared" ref="A3:B3" si="1">'2.1.'!A3</f>
        <v>#REF!</v>
      </c>
      <c r="B3" s="163" t="str">
        <f t="shared" si="1"/>
        <v>#REF!</v>
      </c>
      <c r="C3" s="164"/>
      <c r="D3" s="164"/>
      <c r="E3" s="164"/>
      <c r="F3" s="164"/>
      <c r="G3" s="165"/>
      <c r="H3" s="166" t="str">
        <f t="shared" ref="H3:I3" si="2">'2.1.'!H3</f>
        <v>#REF!</v>
      </c>
      <c r="I3" s="167" t="str">
        <f t="shared" si="2"/>
        <v>#REF!</v>
      </c>
    </row>
    <row r="4" ht="14.25" customHeight="1">
      <c r="G4" s="3"/>
    </row>
    <row r="5" ht="14.25" customHeight="1">
      <c r="A5" s="168" t="s">
        <v>0</v>
      </c>
      <c r="B5" s="76"/>
      <c r="C5" s="76"/>
      <c r="D5" s="76"/>
      <c r="E5" s="76"/>
      <c r="F5" s="76"/>
      <c r="G5" s="2"/>
      <c r="H5" s="76"/>
      <c r="I5" s="76"/>
    </row>
    <row r="6" ht="14.25" customHeight="1">
      <c r="A6" s="169" t="s">
        <v>778</v>
      </c>
      <c r="B6" s="169" t="s">
        <v>779</v>
      </c>
      <c r="C6" s="169" t="s">
        <v>780</v>
      </c>
      <c r="D6" s="170" t="s">
        <v>781</v>
      </c>
      <c r="E6" s="164"/>
      <c r="F6" s="169" t="s">
        <v>782</v>
      </c>
      <c r="G6" s="4" t="s">
        <v>783</v>
      </c>
      <c r="H6" s="169" t="s">
        <v>784</v>
      </c>
      <c r="I6" s="169" t="s">
        <v>785</v>
      </c>
    </row>
    <row r="7" ht="14.25" customHeight="1">
      <c r="A7" s="171" t="str">
        <f t="shared" ref="A7:I7" si="3">'2.1.'!A7</f>
        <v>#REF!</v>
      </c>
      <c r="B7" s="74" t="str">
        <f t="shared" si="3"/>
        <v>#REF!</v>
      </c>
      <c r="C7" s="74" t="str">
        <f t="shared" si="3"/>
        <v>#REF!</v>
      </c>
      <c r="D7" s="172" t="str">
        <f t="shared" si="3"/>
        <v>#REF!</v>
      </c>
      <c r="E7" s="171" t="str">
        <f t="shared" si="3"/>
        <v>#REF!</v>
      </c>
      <c r="F7" s="173" t="str">
        <f t="shared" si="3"/>
        <v>#REF!</v>
      </c>
      <c r="G7" s="189" t="str">
        <f t="shared" si="3"/>
        <v>#REF!</v>
      </c>
      <c r="H7" s="120" t="str">
        <f t="shared" si="3"/>
        <v>#REF!</v>
      </c>
      <c r="I7" s="120" t="str">
        <f t="shared" si="3"/>
        <v>#REF!</v>
      </c>
    </row>
    <row r="8" ht="14.25" customHeight="1">
      <c r="A8" s="171" t="str">
        <f t="shared" ref="A8:I8" si="4">'2.1.'!A8</f>
        <v>#REF!</v>
      </c>
      <c r="B8" s="74" t="str">
        <f t="shared" si="4"/>
        <v>#REF!</v>
      </c>
      <c r="C8" s="74" t="str">
        <f t="shared" si="4"/>
        <v>#REF!</v>
      </c>
      <c r="D8" s="172" t="str">
        <f t="shared" si="4"/>
        <v>#REF!</v>
      </c>
      <c r="E8" s="171" t="str">
        <f t="shared" si="4"/>
        <v>#REF!</v>
      </c>
      <c r="F8" s="173" t="str">
        <f t="shared" si="4"/>
        <v>#REF!</v>
      </c>
      <c r="G8" s="189" t="str">
        <f t="shared" si="4"/>
        <v>#REF!</v>
      </c>
      <c r="H8" s="120" t="str">
        <f t="shared" si="4"/>
        <v>#REF!</v>
      </c>
      <c r="I8" s="120" t="str">
        <f t="shared" si="4"/>
        <v>#REF!</v>
      </c>
    </row>
    <row r="9" ht="14.25" customHeight="1">
      <c r="A9" s="171" t="str">
        <f t="shared" ref="A9:I9" si="5">'2.1.'!A9</f>
        <v>#REF!</v>
      </c>
      <c r="B9" s="74" t="str">
        <f t="shared" si="5"/>
        <v>#REF!</v>
      </c>
      <c r="C9" s="74" t="str">
        <f t="shared" si="5"/>
        <v>#REF!</v>
      </c>
      <c r="D9" s="171" t="str">
        <f t="shared" si="5"/>
        <v>#REF!</v>
      </c>
      <c r="E9" s="171" t="str">
        <f t="shared" si="5"/>
        <v>#REF!</v>
      </c>
      <c r="F9" s="173" t="str">
        <f t="shared" si="5"/>
        <v>#REF!</v>
      </c>
      <c r="G9" s="189" t="str">
        <f t="shared" si="5"/>
        <v>#REF!</v>
      </c>
      <c r="H9" s="120" t="str">
        <f t="shared" si="5"/>
        <v>#REF!</v>
      </c>
      <c r="I9" s="120" t="str">
        <f t="shared" si="5"/>
        <v>#REF!</v>
      </c>
    </row>
    <row r="10" ht="14.25" customHeight="1">
      <c r="A10" s="171" t="str">
        <f t="shared" ref="A10:I10" si="6">'2.1.'!A10</f>
        <v>#REF!</v>
      </c>
      <c r="B10" s="74" t="str">
        <f t="shared" si="6"/>
        <v>#REF!</v>
      </c>
      <c r="C10" s="74" t="str">
        <f t="shared" si="6"/>
        <v>#REF!</v>
      </c>
      <c r="D10" s="171" t="str">
        <f t="shared" si="6"/>
        <v>#REF!</v>
      </c>
      <c r="E10" s="171" t="str">
        <f t="shared" si="6"/>
        <v>#REF!</v>
      </c>
      <c r="F10" s="173" t="str">
        <f t="shared" si="6"/>
        <v>#REF!</v>
      </c>
      <c r="G10" s="189" t="str">
        <f t="shared" si="6"/>
        <v>#REF!</v>
      </c>
      <c r="H10" s="120" t="str">
        <f t="shared" si="6"/>
        <v>#REF!</v>
      </c>
      <c r="I10" s="120" t="str">
        <f t="shared" si="6"/>
        <v>#REF!</v>
      </c>
    </row>
    <row r="11" ht="14.25" customHeight="1">
      <c r="A11" s="171" t="str">
        <f t="shared" ref="A11:I11" si="7">'2.1.'!A11</f>
        <v>#REF!</v>
      </c>
      <c r="B11" s="74" t="str">
        <f t="shared" si="7"/>
        <v>#REF!</v>
      </c>
      <c r="C11" s="74" t="str">
        <f t="shared" si="7"/>
        <v>#REF!</v>
      </c>
      <c r="D11" s="171" t="str">
        <f t="shared" si="7"/>
        <v>#REF!</v>
      </c>
      <c r="E11" s="171" t="str">
        <f t="shared" si="7"/>
        <v>#REF!</v>
      </c>
      <c r="F11" s="173" t="str">
        <f t="shared" si="7"/>
        <v>#REF!</v>
      </c>
      <c r="G11" s="189" t="str">
        <f t="shared" si="7"/>
        <v>#REF!</v>
      </c>
      <c r="H11" s="120" t="str">
        <f t="shared" si="7"/>
        <v>#REF!</v>
      </c>
      <c r="I11" s="120" t="str">
        <f t="shared" si="7"/>
        <v>#REF!</v>
      </c>
    </row>
    <row r="12" ht="14.25" customHeight="1">
      <c r="A12" s="171" t="str">
        <f t="shared" ref="A12:I12" si="8">'2.1.'!A12</f>
        <v>#REF!</v>
      </c>
      <c r="B12" s="74" t="str">
        <f t="shared" si="8"/>
        <v>#REF!</v>
      </c>
      <c r="C12" s="74" t="str">
        <f t="shared" si="8"/>
        <v>#REF!</v>
      </c>
      <c r="D12" s="171" t="str">
        <f t="shared" si="8"/>
        <v>#REF!</v>
      </c>
      <c r="E12" s="171" t="str">
        <f t="shared" si="8"/>
        <v>#REF!</v>
      </c>
      <c r="F12" s="173" t="str">
        <f t="shared" si="8"/>
        <v>#REF!</v>
      </c>
      <c r="G12" s="189" t="str">
        <f t="shared" si="8"/>
        <v>#REF!</v>
      </c>
      <c r="H12" s="120" t="str">
        <f t="shared" si="8"/>
        <v>#REF!</v>
      </c>
      <c r="I12" s="120" t="str">
        <f t="shared" si="8"/>
        <v>#REF!</v>
      </c>
    </row>
    <row r="13" ht="14.25" customHeight="1">
      <c r="A13" s="171" t="str">
        <f t="shared" ref="A13:I13" si="9">'2.1.'!A13</f>
        <v>#REF!</v>
      </c>
      <c r="B13" s="74" t="str">
        <f t="shared" si="9"/>
        <v>#REF!</v>
      </c>
      <c r="C13" s="74" t="str">
        <f t="shared" si="9"/>
        <v>#REF!</v>
      </c>
      <c r="D13" s="171" t="str">
        <f t="shared" si="9"/>
        <v>#REF!</v>
      </c>
      <c r="E13" s="171" t="str">
        <f t="shared" si="9"/>
        <v>#REF!</v>
      </c>
      <c r="F13" s="173" t="str">
        <f t="shared" si="9"/>
        <v>#REF!</v>
      </c>
      <c r="G13" s="189" t="str">
        <f t="shared" si="9"/>
        <v>#REF!</v>
      </c>
      <c r="H13" s="120" t="str">
        <f t="shared" si="9"/>
        <v>#REF!</v>
      </c>
      <c r="I13" s="120" t="str">
        <f t="shared" si="9"/>
        <v>#REF!</v>
      </c>
    </row>
    <row r="14" ht="14.25" customHeight="1">
      <c r="A14" s="171" t="str">
        <f t="shared" ref="A14:I14" si="10">'2.1.'!A14</f>
        <v>#REF!</v>
      </c>
      <c r="B14" s="74" t="str">
        <f t="shared" si="10"/>
        <v>#REF!</v>
      </c>
      <c r="C14" s="74" t="str">
        <f t="shared" si="10"/>
        <v>#REF!</v>
      </c>
      <c r="D14" s="171" t="str">
        <f t="shared" si="10"/>
        <v>#REF!</v>
      </c>
      <c r="E14" s="171" t="str">
        <f t="shared" si="10"/>
        <v>#REF!</v>
      </c>
      <c r="F14" s="173" t="str">
        <f t="shared" si="10"/>
        <v>#REF!</v>
      </c>
      <c r="G14" s="189" t="str">
        <f t="shared" si="10"/>
        <v>#REF!</v>
      </c>
      <c r="H14" s="120" t="str">
        <f t="shared" si="10"/>
        <v>#REF!</v>
      </c>
      <c r="I14" s="120" t="str">
        <f t="shared" si="10"/>
        <v>#REF!</v>
      </c>
    </row>
    <row r="15" ht="14.25" customHeight="1">
      <c r="A15" s="171" t="str">
        <f t="shared" ref="A15:I15" si="11">'2.1.'!A15</f>
        <v>#REF!</v>
      </c>
      <c r="B15" s="74" t="str">
        <f t="shared" si="11"/>
        <v>#REF!</v>
      </c>
      <c r="C15" s="74" t="str">
        <f t="shared" si="11"/>
        <v>#REF!</v>
      </c>
      <c r="D15" s="171" t="str">
        <f t="shared" si="11"/>
        <v>#REF!</v>
      </c>
      <c r="E15" s="171" t="str">
        <f t="shared" si="11"/>
        <v>#REF!</v>
      </c>
      <c r="F15" s="173" t="str">
        <f t="shared" si="11"/>
        <v>#REF!</v>
      </c>
      <c r="G15" s="189" t="str">
        <f t="shared" si="11"/>
        <v>#REF!</v>
      </c>
      <c r="H15" s="120" t="str">
        <f t="shared" si="11"/>
        <v>#REF!</v>
      </c>
      <c r="I15" s="120" t="str">
        <f t="shared" si="11"/>
        <v>#REF!</v>
      </c>
    </row>
    <row r="16" ht="14.25" customHeight="1">
      <c r="A16" s="171" t="str">
        <f t="shared" ref="A16:I16" si="12">'2.1.'!A16</f>
        <v>#REF!</v>
      </c>
      <c r="B16" s="74" t="str">
        <f t="shared" si="12"/>
        <v>#REF!</v>
      </c>
      <c r="C16" s="74" t="str">
        <f t="shared" si="12"/>
        <v>#REF!</v>
      </c>
      <c r="D16" s="171" t="str">
        <f t="shared" si="12"/>
        <v>#REF!</v>
      </c>
      <c r="E16" s="171" t="str">
        <f t="shared" si="12"/>
        <v>#REF!</v>
      </c>
      <c r="F16" s="173" t="str">
        <f t="shared" si="12"/>
        <v>#REF!</v>
      </c>
      <c r="G16" s="189" t="str">
        <f t="shared" si="12"/>
        <v>#REF!</v>
      </c>
      <c r="H16" s="120" t="str">
        <f t="shared" si="12"/>
        <v>#REF!</v>
      </c>
      <c r="I16" s="120" t="str">
        <f t="shared" si="12"/>
        <v>#REF!</v>
      </c>
    </row>
    <row r="17" ht="14.25" customHeight="1">
      <c r="A17" s="171" t="str">
        <f t="shared" ref="A17:I17" si="13">'2.1.'!A17</f>
        <v>#REF!</v>
      </c>
      <c r="B17" s="74" t="str">
        <f t="shared" si="13"/>
        <v>#REF!</v>
      </c>
      <c r="C17" s="74" t="str">
        <f t="shared" si="13"/>
        <v>#REF!</v>
      </c>
      <c r="D17" s="171" t="str">
        <f t="shared" si="13"/>
        <v>#REF!</v>
      </c>
      <c r="E17" s="171" t="str">
        <f t="shared" si="13"/>
        <v>#REF!</v>
      </c>
      <c r="F17" s="173" t="str">
        <f t="shared" si="13"/>
        <v>#REF!</v>
      </c>
      <c r="G17" s="189" t="str">
        <f t="shared" si="13"/>
        <v>#REF!</v>
      </c>
      <c r="H17" s="120" t="str">
        <f t="shared" si="13"/>
        <v>#REF!</v>
      </c>
      <c r="I17" s="120" t="str">
        <f t="shared" si="13"/>
        <v>#REF!</v>
      </c>
    </row>
    <row r="18" ht="14.25" customHeight="1">
      <c r="A18" s="171" t="str">
        <f t="shared" ref="A18:I18" si="14">'2.1.'!A18</f>
        <v>#REF!</v>
      </c>
      <c r="B18" s="74" t="str">
        <f t="shared" si="14"/>
        <v>#REF!</v>
      </c>
      <c r="C18" s="74" t="str">
        <f t="shared" si="14"/>
        <v>#REF!</v>
      </c>
      <c r="D18" s="171" t="str">
        <f t="shared" si="14"/>
        <v>#REF!</v>
      </c>
      <c r="E18" s="171" t="str">
        <f t="shared" si="14"/>
        <v>#REF!</v>
      </c>
      <c r="F18" s="173" t="str">
        <f t="shared" si="14"/>
        <v>#REF!</v>
      </c>
      <c r="G18" s="189" t="str">
        <f t="shared" si="14"/>
        <v>#REF!</v>
      </c>
      <c r="H18" s="120" t="str">
        <f t="shared" si="14"/>
        <v>#REF!</v>
      </c>
      <c r="I18" s="120" t="str">
        <f t="shared" si="14"/>
        <v>#REF!</v>
      </c>
    </row>
    <row r="19" ht="14.25" customHeight="1">
      <c r="F19" s="126"/>
      <c r="G19" s="3"/>
      <c r="H19" s="120"/>
      <c r="I19" s="120"/>
    </row>
    <row r="20" ht="14.25" customHeight="1">
      <c r="A20" s="190" t="s">
        <v>786</v>
      </c>
      <c r="B20" s="191"/>
      <c r="C20" s="191"/>
      <c r="D20" s="191"/>
      <c r="E20" s="191"/>
      <c r="F20" s="191"/>
      <c r="G20" s="177"/>
      <c r="H20" s="191"/>
      <c r="I20" s="192" t="str">
        <f>SUM(I7:I18)</f>
        <v>#REF!</v>
      </c>
      <c r="J20" s="74"/>
      <c r="K20" s="74"/>
      <c r="L20" s="74"/>
    </row>
    <row r="21" ht="14.25" customHeight="1">
      <c r="A21" s="193"/>
      <c r="B21" s="74"/>
      <c r="C21" s="74"/>
      <c r="D21" s="74"/>
      <c r="E21" s="74"/>
      <c r="F21" s="74"/>
      <c r="G21" s="3"/>
      <c r="H21" s="74"/>
      <c r="I21" s="189"/>
      <c r="J21" s="74"/>
      <c r="K21" s="74"/>
      <c r="L21" s="74"/>
    </row>
    <row r="22" ht="14.25" customHeight="1">
      <c r="A22" s="194"/>
      <c r="B22" s="193"/>
      <c r="C22" s="74"/>
      <c r="D22" s="74"/>
      <c r="E22" s="74"/>
      <c r="F22" s="74"/>
      <c r="G22" s="3"/>
      <c r="H22" s="74"/>
      <c r="I22" s="195"/>
      <c r="J22" s="74"/>
      <c r="K22" s="74"/>
      <c r="L22" s="74"/>
    </row>
    <row r="23">
      <c r="A23" s="162">
        <f>'2.2.'!A3</f>
        <v>45324</v>
      </c>
      <c r="B23" s="163" t="str">
        <f>'2.2.'!B3</f>
        <v>EXCAVACION Y RETIRO DE SUELO VEGETAL EXISTENTE (Escalones 20 cm de altura con pendiente de 5cm. Secotor de intertrabado/ garden block + contrapiso + tosca = 50 cm. Sector de Cantero 20 cm)</v>
      </c>
      <c r="C23" s="164"/>
      <c r="D23" s="164"/>
      <c r="E23" s="164"/>
      <c r="F23" s="164"/>
      <c r="G23" s="165" t="str">
        <f>'2.2.'!G3</f>
        <v/>
      </c>
      <c r="H23" s="166">
        <f>'2.2.'!H3</f>
        <v>1513.12</v>
      </c>
      <c r="I23" s="167" t="str">
        <f>'2.2.'!I3</f>
        <v>m³</v>
      </c>
    </row>
    <row r="24" ht="14.25" customHeight="1">
      <c r="G24" s="3"/>
    </row>
    <row r="25" ht="14.25" customHeight="1">
      <c r="A25" s="168" t="str">
        <f>'2.2.'!A5</f>
        <v>MATERIALES</v>
      </c>
      <c r="B25" s="76" t="str">
        <f>'2.2.'!B5</f>
        <v/>
      </c>
      <c r="C25" s="76" t="str">
        <f>'2.2.'!C5</f>
        <v/>
      </c>
      <c r="D25" s="76" t="str">
        <f>'2.2.'!D5</f>
        <v/>
      </c>
      <c r="E25" s="76" t="str">
        <f>'2.2.'!E5</f>
        <v/>
      </c>
      <c r="F25" s="76" t="str">
        <f>'2.2.'!F5</f>
        <v/>
      </c>
      <c r="G25" s="2" t="str">
        <f>'2.2.'!G5</f>
        <v/>
      </c>
      <c r="H25" s="76" t="str">
        <f>'2.2.'!H5</f>
        <v/>
      </c>
      <c r="I25" s="76" t="str">
        <f>'2.2.'!I5</f>
        <v/>
      </c>
    </row>
    <row r="26" ht="14.25" customHeight="1">
      <c r="A26" s="169" t="str">
        <f>'2.2.'!A6</f>
        <v>Código</v>
      </c>
      <c r="B26" s="169" t="str">
        <f>'2.2.'!B6</f>
        <v>Descripción</v>
      </c>
      <c r="C26" s="169" t="str">
        <f>'2.2.'!C6</f>
        <v>Unidad</v>
      </c>
      <c r="D26" s="170" t="str">
        <f>'2.2.'!D6</f>
        <v>Cantidad</v>
      </c>
      <c r="E26" s="164"/>
      <c r="F26" s="169" t="str">
        <f>'2.2.'!F6</f>
        <v>Desperdicio</v>
      </c>
      <c r="G26" s="4" t="str">
        <f>'2.2.'!G6</f>
        <v>Cantidad + Desperdicio</v>
      </c>
      <c r="H26" s="169" t="str">
        <f>'2.2.'!H6</f>
        <v>Precio Unitario</v>
      </c>
      <c r="I26" s="169" t="str">
        <f>'2.2.'!I6</f>
        <v>Subtotal</v>
      </c>
    </row>
    <row r="27" ht="14.25" customHeight="1">
      <c r="A27" s="171" t="str">
        <f>'2.2.'!A7</f>
        <v/>
      </c>
      <c r="B27" s="74" t="str">
        <f>'2.2.'!B7</f>
        <v/>
      </c>
      <c r="C27" s="74" t="str">
        <f>'2.2.'!C7</f>
        <v/>
      </c>
      <c r="D27" s="172" t="str">
        <f>'2.2.'!D7</f>
        <v/>
      </c>
      <c r="E27" s="171" t="str">
        <f>'2.2.'!E7</f>
        <v/>
      </c>
      <c r="F27" s="173" t="str">
        <f>'2.2.'!F7</f>
        <v/>
      </c>
      <c r="G27" s="189">
        <f>'2.2.'!G7</f>
        <v>0</v>
      </c>
      <c r="H27" s="120" t="str">
        <f>'2.2.'!H7</f>
        <v/>
      </c>
      <c r="I27" s="120">
        <f>'2.2.'!I7</f>
        <v>0</v>
      </c>
    </row>
    <row r="28" ht="14.25" customHeight="1">
      <c r="A28" s="171" t="str">
        <f>'2.2.'!A8</f>
        <v/>
      </c>
      <c r="B28" s="74" t="str">
        <f>'2.2.'!B8</f>
        <v/>
      </c>
      <c r="C28" s="74" t="str">
        <f>'2.2.'!C8</f>
        <v/>
      </c>
      <c r="D28" s="172" t="str">
        <f>'2.2.'!D8</f>
        <v/>
      </c>
      <c r="E28" s="171" t="str">
        <f>'2.2.'!E8</f>
        <v/>
      </c>
      <c r="F28" s="173" t="str">
        <f>'2.2.'!F8</f>
        <v/>
      </c>
      <c r="G28" s="189">
        <f>'2.2.'!G8</f>
        <v>0</v>
      </c>
      <c r="H28" s="120" t="str">
        <f>'2.2.'!H8</f>
        <v/>
      </c>
      <c r="I28" s="120" t="str">
        <f>'2.2.'!I8</f>
        <v/>
      </c>
    </row>
    <row r="29" ht="14.25" customHeight="1">
      <c r="A29" s="171" t="str">
        <f>'2.2.'!A9</f>
        <v/>
      </c>
      <c r="B29" s="74" t="str">
        <f>'2.2.'!B9</f>
        <v/>
      </c>
      <c r="C29" s="74" t="str">
        <f>'2.2.'!C9</f>
        <v/>
      </c>
      <c r="D29" s="171" t="str">
        <f>'2.2.'!D9</f>
        <v/>
      </c>
      <c r="E29" s="171" t="str">
        <f>'2.2.'!E9</f>
        <v/>
      </c>
      <c r="F29" s="173" t="str">
        <f>'2.2.'!F9</f>
        <v/>
      </c>
      <c r="G29" s="189">
        <f>'2.2.'!G9</f>
        <v>0</v>
      </c>
      <c r="H29" s="120" t="str">
        <f>'2.2.'!H9</f>
        <v/>
      </c>
      <c r="I29" s="120" t="str">
        <f>'2.2.'!I9</f>
        <v/>
      </c>
    </row>
    <row r="30" ht="14.25" customHeight="1">
      <c r="A30" s="171" t="str">
        <f>'2.2.'!A10</f>
        <v/>
      </c>
      <c r="B30" s="74" t="str">
        <f>'2.2.'!B10</f>
        <v/>
      </c>
      <c r="C30" s="74" t="str">
        <f>'2.2.'!C10</f>
        <v/>
      </c>
      <c r="D30" s="171" t="str">
        <f>'2.2.'!D10</f>
        <v/>
      </c>
      <c r="E30" s="171" t="str">
        <f>'2.2.'!E10</f>
        <v/>
      </c>
      <c r="F30" s="173" t="str">
        <f>'2.2.'!F10</f>
        <v/>
      </c>
      <c r="G30" s="189">
        <f>'2.2.'!G10</f>
        <v>0</v>
      </c>
      <c r="H30" s="120" t="str">
        <f>'2.2.'!H10</f>
        <v/>
      </c>
      <c r="I30" s="120" t="str">
        <f>'2.2.'!I10</f>
        <v/>
      </c>
    </row>
    <row r="31" ht="14.25" customHeight="1">
      <c r="A31" s="171" t="str">
        <f>'2.2.'!A11</f>
        <v/>
      </c>
      <c r="B31" s="74" t="str">
        <f>'2.2.'!B11</f>
        <v/>
      </c>
      <c r="C31" s="74" t="str">
        <f>'2.2.'!C11</f>
        <v/>
      </c>
      <c r="D31" s="171" t="str">
        <f>'2.2.'!D11</f>
        <v/>
      </c>
      <c r="E31" s="171" t="str">
        <f>'2.2.'!E11</f>
        <v/>
      </c>
      <c r="F31" s="173" t="str">
        <f>'2.2.'!F11</f>
        <v/>
      </c>
      <c r="G31" s="189">
        <f>'2.2.'!G11</f>
        <v>0</v>
      </c>
      <c r="H31" s="120" t="str">
        <f>'2.2.'!H11</f>
        <v/>
      </c>
      <c r="I31" s="120" t="str">
        <f>'2.2.'!I11</f>
        <v/>
      </c>
    </row>
    <row r="32" ht="14.25" customHeight="1">
      <c r="A32" s="171" t="str">
        <f>'2.2.'!A12</f>
        <v/>
      </c>
      <c r="B32" s="74" t="str">
        <f>'2.2.'!B12</f>
        <v/>
      </c>
      <c r="C32" s="74" t="str">
        <f>'2.2.'!C12</f>
        <v/>
      </c>
      <c r="D32" s="171" t="str">
        <f>'2.2.'!D12</f>
        <v/>
      </c>
      <c r="E32" s="171" t="str">
        <f>'2.2.'!E12</f>
        <v/>
      </c>
      <c r="F32" s="173" t="str">
        <f>'2.2.'!F12</f>
        <v/>
      </c>
      <c r="G32" s="189">
        <f>'2.2.'!G12</f>
        <v>0</v>
      </c>
      <c r="H32" s="120" t="str">
        <f>'2.2.'!H12</f>
        <v/>
      </c>
      <c r="I32" s="120" t="str">
        <f>'2.2.'!I12</f>
        <v/>
      </c>
    </row>
    <row r="33" ht="14.25" customHeight="1">
      <c r="A33" s="171" t="str">
        <f>'2.2.'!A13</f>
        <v/>
      </c>
      <c r="B33" s="74" t="str">
        <f>'2.2.'!B13</f>
        <v/>
      </c>
      <c r="C33" s="74" t="str">
        <f>'2.2.'!C13</f>
        <v/>
      </c>
      <c r="D33" s="171" t="str">
        <f>'2.2.'!D13</f>
        <v/>
      </c>
      <c r="E33" s="171" t="str">
        <f>'2.2.'!E13</f>
        <v/>
      </c>
      <c r="F33" s="173" t="str">
        <f>'2.2.'!F13</f>
        <v/>
      </c>
      <c r="G33" s="189">
        <f>'2.2.'!G13</f>
        <v>0</v>
      </c>
      <c r="H33" s="120" t="str">
        <f>'2.2.'!H13</f>
        <v/>
      </c>
      <c r="I33" s="120" t="str">
        <f>'2.2.'!I13</f>
        <v/>
      </c>
    </row>
    <row r="34" ht="14.25" customHeight="1">
      <c r="A34" s="171" t="str">
        <f>'2.2.'!A14</f>
        <v/>
      </c>
      <c r="B34" s="74" t="str">
        <f>'2.2.'!B14</f>
        <v/>
      </c>
      <c r="C34" s="74" t="str">
        <f>'2.2.'!C14</f>
        <v/>
      </c>
      <c r="D34" s="171" t="str">
        <f>'2.2.'!D14</f>
        <v/>
      </c>
      <c r="E34" s="171" t="str">
        <f>'2.2.'!E14</f>
        <v/>
      </c>
      <c r="F34" s="173" t="str">
        <f>'2.2.'!F14</f>
        <v/>
      </c>
      <c r="G34" s="189">
        <f>'2.2.'!G14</f>
        <v>0</v>
      </c>
      <c r="H34" s="120" t="str">
        <f>'2.2.'!H14</f>
        <v/>
      </c>
      <c r="I34" s="120" t="str">
        <f>'2.2.'!I14</f>
        <v/>
      </c>
    </row>
    <row r="35" ht="14.25" customHeight="1">
      <c r="A35" s="171" t="str">
        <f>'2.2.'!A15</f>
        <v/>
      </c>
      <c r="B35" s="74" t="str">
        <f>'2.2.'!B15</f>
        <v/>
      </c>
      <c r="C35" s="74" t="str">
        <f>'2.2.'!C15</f>
        <v/>
      </c>
      <c r="D35" s="171" t="str">
        <f>'2.2.'!D15</f>
        <v/>
      </c>
      <c r="E35" s="171" t="str">
        <f>'2.2.'!E15</f>
        <v/>
      </c>
      <c r="F35" s="173" t="str">
        <f>'2.2.'!F15</f>
        <v/>
      </c>
      <c r="G35" s="189">
        <f>'2.2.'!G15</f>
        <v>0</v>
      </c>
      <c r="H35" s="120" t="str">
        <f>'2.2.'!H15</f>
        <v/>
      </c>
      <c r="I35" s="120" t="str">
        <f>'2.2.'!I15</f>
        <v/>
      </c>
      <c r="J35" s="74"/>
      <c r="K35" s="74"/>
      <c r="L35" s="74"/>
    </row>
    <row r="36" ht="14.25" customHeight="1">
      <c r="A36" s="171" t="str">
        <f>'2.2.'!A16</f>
        <v/>
      </c>
      <c r="B36" s="74" t="str">
        <f>'2.2.'!B16</f>
        <v/>
      </c>
      <c r="C36" s="74" t="str">
        <f>'2.2.'!C16</f>
        <v/>
      </c>
      <c r="D36" s="171" t="str">
        <f>'2.2.'!D16</f>
        <v/>
      </c>
      <c r="E36" s="171" t="str">
        <f>'2.2.'!E16</f>
        <v/>
      </c>
      <c r="F36" s="173" t="str">
        <f>'2.2.'!F16</f>
        <v/>
      </c>
      <c r="G36" s="189">
        <f>'2.2.'!G16</f>
        <v>0</v>
      </c>
      <c r="H36" s="120" t="str">
        <f>'2.2.'!H16</f>
        <v/>
      </c>
      <c r="I36" s="120" t="str">
        <f>'2.2.'!I16</f>
        <v/>
      </c>
      <c r="J36" s="74"/>
      <c r="K36" s="74"/>
      <c r="L36" s="74"/>
    </row>
    <row r="37" ht="14.25" customHeight="1">
      <c r="A37" s="171" t="str">
        <f>'2.2.'!A17</f>
        <v/>
      </c>
      <c r="B37" s="74" t="str">
        <f>'2.2.'!B17</f>
        <v/>
      </c>
      <c r="C37" s="74" t="str">
        <f>'2.2.'!C17</f>
        <v/>
      </c>
      <c r="D37" s="171" t="str">
        <f>'2.2.'!D17</f>
        <v/>
      </c>
      <c r="E37" s="171" t="str">
        <f>'2.2.'!E17</f>
        <v/>
      </c>
      <c r="F37" s="173" t="str">
        <f>'2.2.'!F17</f>
        <v/>
      </c>
      <c r="G37" s="189">
        <f>'2.2.'!G17</f>
        <v>0</v>
      </c>
      <c r="H37" s="120" t="str">
        <f>'2.2.'!H17</f>
        <v/>
      </c>
      <c r="I37" s="120" t="str">
        <f>'2.2.'!I17</f>
        <v/>
      </c>
    </row>
    <row r="38" ht="14.25" customHeight="1">
      <c r="A38" s="171" t="str">
        <f>'2.2.'!A18</f>
        <v/>
      </c>
      <c r="B38" s="74" t="str">
        <f>'2.2.'!B18</f>
        <v/>
      </c>
      <c r="C38" s="74" t="str">
        <f>'2.2.'!C18</f>
        <v/>
      </c>
      <c r="D38" s="171" t="str">
        <f>'2.2.'!D18</f>
        <v/>
      </c>
      <c r="E38" s="171" t="str">
        <f>'2.2.'!E18</f>
        <v/>
      </c>
      <c r="F38" s="173" t="str">
        <f>'2.2.'!F18</f>
        <v/>
      </c>
      <c r="G38" s="189">
        <f>'2.2.'!G18</f>
        <v>0</v>
      </c>
      <c r="H38" s="120" t="str">
        <f>'2.2.'!H18</f>
        <v/>
      </c>
      <c r="I38" s="120" t="str">
        <f>'2.2.'!I18</f>
        <v/>
      </c>
    </row>
    <row r="39" ht="14.25" customHeight="1">
      <c r="A39" s="127" t="str">
        <f>'2.2.'!A19</f>
        <v/>
      </c>
      <c r="B39" s="127" t="str">
        <f>'2.2.'!B19</f>
        <v/>
      </c>
      <c r="C39" s="127" t="str">
        <f>'2.2.'!C19</f>
        <v/>
      </c>
      <c r="D39" s="127" t="str">
        <f>'2.2.'!D19</f>
        <v/>
      </c>
      <c r="E39" s="127" t="str">
        <f>'2.2.'!E19</f>
        <v/>
      </c>
      <c r="F39" s="126" t="str">
        <f>'2.2.'!F19</f>
        <v/>
      </c>
      <c r="G39" s="3" t="str">
        <f>'2.2.'!G19</f>
        <v/>
      </c>
      <c r="H39" s="120" t="str">
        <f>'2.2.'!H19</f>
        <v/>
      </c>
      <c r="I39" s="120" t="str">
        <f>'2.2.'!I19</f>
        <v/>
      </c>
    </row>
    <row r="40" ht="14.25" customHeight="1">
      <c r="A40" s="190" t="str">
        <f>'2.2.'!A20</f>
        <v>TOTAL MATERIALES</v>
      </c>
      <c r="B40" s="191" t="str">
        <f>'2.2.'!B20</f>
        <v/>
      </c>
      <c r="C40" s="191" t="str">
        <f>'2.2.'!C20</f>
        <v/>
      </c>
      <c r="D40" s="191" t="str">
        <f>'2.2.'!D20</f>
        <v/>
      </c>
      <c r="E40" s="191" t="str">
        <f>'2.2.'!E20</f>
        <v/>
      </c>
      <c r="F40" s="191" t="str">
        <f>'2.2.'!F20</f>
        <v/>
      </c>
      <c r="G40" s="177" t="str">
        <f>'2.2.'!G20</f>
        <v/>
      </c>
      <c r="H40" s="191" t="str">
        <f>'2.2.'!H20</f>
        <v/>
      </c>
      <c r="I40" s="192">
        <f>'2.2.'!I20</f>
        <v>0</v>
      </c>
    </row>
    <row r="41" ht="14.25" customHeight="1">
      <c r="A41" s="74"/>
      <c r="B41" s="74"/>
      <c r="C41" s="74"/>
      <c r="D41" s="74"/>
      <c r="E41" s="74"/>
      <c r="F41" s="126"/>
      <c r="G41" s="184"/>
      <c r="H41" s="120"/>
      <c r="I41" s="120"/>
    </row>
    <row r="42" ht="14.25" customHeight="1">
      <c r="A42" s="74"/>
      <c r="B42" s="74"/>
      <c r="C42" s="74"/>
      <c r="D42" s="74"/>
      <c r="E42" s="74"/>
      <c r="F42" s="126"/>
      <c r="G42" s="184"/>
      <c r="H42" s="120"/>
      <c r="I42" s="120"/>
    </row>
    <row r="43">
      <c r="A43" s="162">
        <f>'2.3.'!A3</f>
        <v>45353</v>
      </c>
      <c r="B43" s="163" t="str">
        <f>'2.3.'!B3</f>
        <v>RELLENO, COMPACTACION Y NIVELACION CON SUELO SELECCIONADO TIPO A4 (En sectores de intertrabado y deck de cemento)</v>
      </c>
      <c r="C43" s="164"/>
      <c r="D43" s="164"/>
      <c r="E43" s="164"/>
      <c r="F43" s="164"/>
      <c r="G43" s="165" t="str">
        <f>'2.3.'!G3</f>
        <v/>
      </c>
      <c r="H43" s="166">
        <f>'2.3.'!H3</f>
        <v>278.991</v>
      </c>
      <c r="I43" s="167" t="str">
        <f>'2.3.'!I3</f>
        <v>m³</v>
      </c>
    </row>
    <row r="44" ht="14.25" customHeight="1">
      <c r="G44" s="3"/>
    </row>
    <row r="45" ht="14.25" customHeight="1">
      <c r="A45" s="168" t="str">
        <f>'2.3.'!A5</f>
        <v>MATERIALES</v>
      </c>
      <c r="B45" s="76" t="str">
        <f>'2.3.'!B5</f>
        <v/>
      </c>
      <c r="C45" s="76" t="str">
        <f>'2.3.'!C5</f>
        <v/>
      </c>
      <c r="D45" s="76" t="str">
        <f>'2.3.'!D5</f>
        <v/>
      </c>
      <c r="E45" s="76" t="str">
        <f>'2.3.'!E5</f>
        <v/>
      </c>
      <c r="F45" s="76" t="str">
        <f>'2.3.'!F5</f>
        <v/>
      </c>
      <c r="G45" s="2" t="str">
        <f>'2.3.'!G5</f>
        <v/>
      </c>
      <c r="H45" s="76" t="str">
        <f>'2.3.'!H5</f>
        <v/>
      </c>
      <c r="I45" s="76" t="str">
        <f>'2.3.'!I5</f>
        <v/>
      </c>
    </row>
    <row r="46" ht="14.25" customHeight="1">
      <c r="A46" s="169" t="str">
        <f>'2.3.'!A6</f>
        <v>Código</v>
      </c>
      <c r="B46" s="169" t="str">
        <f>'2.3.'!B6</f>
        <v>Descripción</v>
      </c>
      <c r="C46" s="169" t="str">
        <f>'2.3.'!C6</f>
        <v>Unidad</v>
      </c>
      <c r="D46" s="170" t="str">
        <f>'2.3.'!D6</f>
        <v>Cantidad</v>
      </c>
      <c r="E46" s="164"/>
      <c r="F46" s="169" t="str">
        <f>'2.3.'!F6</f>
        <v>Desperdicio</v>
      </c>
      <c r="G46" s="4" t="str">
        <f>'2.3.'!G6</f>
        <v>Cantidad + Desperdicio</v>
      </c>
      <c r="H46" s="169" t="str">
        <f>'2.3.'!H6</f>
        <v>Precio Unitario</v>
      </c>
      <c r="I46" s="169" t="str">
        <f>'2.3.'!I6</f>
        <v>Subtotal</v>
      </c>
    </row>
    <row r="47" ht="14.25" customHeight="1">
      <c r="A47" s="171" t="str">
        <f>'2.3.'!A7</f>
        <v>TOS8</v>
      </c>
      <c r="B47" s="74" t="str">
        <f>'2.3.'!B7</f>
        <v>Tosca</v>
      </c>
      <c r="C47" s="74" t="str">
        <f>'2.3.'!C7</f>
        <v>m3</v>
      </c>
      <c r="D47" s="172" t="str">
        <f>#REF!</f>
        <v>#REF!</v>
      </c>
      <c r="E47" s="171" t="str">
        <f>'2.3.'!E7</f>
        <v/>
      </c>
      <c r="F47" s="173" t="str">
        <f>#REF!</f>
        <v>#REF!</v>
      </c>
      <c r="G47" s="189">
        <f>'2.3.'!G7</f>
        <v>430</v>
      </c>
      <c r="H47" s="120">
        <f>'2.3.'!H7</f>
        <v>30000</v>
      </c>
      <c r="I47" s="120">
        <f>'2.3.'!I7</f>
        <v>12900000</v>
      </c>
    </row>
    <row r="48" ht="14.25" customHeight="1">
      <c r="A48" s="171" t="str">
        <f>'2.3.'!A8</f>
        <v/>
      </c>
      <c r="B48" s="74" t="str">
        <f>'2.3.'!B8</f>
        <v/>
      </c>
      <c r="C48" s="74" t="str">
        <f>'2.3.'!C8</f>
        <v/>
      </c>
      <c r="D48" s="171" t="str">
        <f>'2.3.'!D8</f>
        <v/>
      </c>
      <c r="E48" s="171" t="str">
        <f>'2.3.'!E8</f>
        <v/>
      </c>
      <c r="F48" s="173" t="str">
        <f>'2.3.'!F8</f>
        <v/>
      </c>
      <c r="G48" s="189">
        <f>'2.3.'!G8</f>
        <v>0</v>
      </c>
      <c r="H48" s="120" t="str">
        <f>'2.3.'!H8</f>
        <v/>
      </c>
      <c r="I48" s="120" t="str">
        <f>'2.3.'!I8</f>
        <v/>
      </c>
    </row>
    <row r="49" ht="14.25" customHeight="1">
      <c r="A49" s="171" t="str">
        <f>'2.3.'!A9</f>
        <v/>
      </c>
      <c r="B49" s="74" t="str">
        <f>'2.3.'!B9</f>
        <v/>
      </c>
      <c r="C49" s="74" t="str">
        <f>'2.3.'!C9</f>
        <v/>
      </c>
      <c r="D49" s="171" t="str">
        <f>'2.3.'!D9</f>
        <v/>
      </c>
      <c r="E49" s="171" t="str">
        <f>'2.3.'!E9</f>
        <v/>
      </c>
      <c r="F49" s="173" t="str">
        <f>'2.3.'!F9</f>
        <v/>
      </c>
      <c r="G49" s="189">
        <f>'2.3.'!G9</f>
        <v>0</v>
      </c>
      <c r="H49" s="120" t="str">
        <f>'2.3.'!H9</f>
        <v/>
      </c>
      <c r="I49" s="120" t="str">
        <f>'2.3.'!I9</f>
        <v/>
      </c>
      <c r="J49" s="74"/>
      <c r="K49" s="74"/>
      <c r="L49" s="74"/>
    </row>
    <row r="50" ht="14.25" customHeight="1">
      <c r="A50" s="171" t="str">
        <f>'2.3.'!A10</f>
        <v/>
      </c>
      <c r="B50" s="74" t="str">
        <f>'2.3.'!B10</f>
        <v/>
      </c>
      <c r="C50" s="74" t="str">
        <f>'2.3.'!C10</f>
        <v/>
      </c>
      <c r="D50" s="171" t="str">
        <f>'2.3.'!D10</f>
        <v/>
      </c>
      <c r="E50" s="171" t="str">
        <f>'2.3.'!E10</f>
        <v/>
      </c>
      <c r="F50" s="173" t="str">
        <f>'2.3.'!F10</f>
        <v/>
      </c>
      <c r="G50" s="189">
        <f>'2.3.'!G10</f>
        <v>0</v>
      </c>
      <c r="H50" s="120" t="str">
        <f>'2.3.'!H10</f>
        <v/>
      </c>
      <c r="I50" s="120" t="str">
        <f>'2.3.'!I10</f>
        <v/>
      </c>
      <c r="J50" s="74"/>
      <c r="K50" s="74"/>
      <c r="L50" s="74"/>
    </row>
    <row r="51" ht="14.25" customHeight="1">
      <c r="A51" s="171" t="str">
        <f>'2.3.'!A11</f>
        <v/>
      </c>
      <c r="B51" s="74" t="str">
        <f>'2.3.'!B11</f>
        <v/>
      </c>
      <c r="C51" s="74" t="str">
        <f>'2.3.'!C11</f>
        <v/>
      </c>
      <c r="D51" s="171" t="str">
        <f>'2.3.'!D11</f>
        <v/>
      </c>
      <c r="E51" s="171" t="str">
        <f>'2.3.'!E11</f>
        <v/>
      </c>
      <c r="F51" s="173" t="str">
        <f>'2.3.'!F11</f>
        <v/>
      </c>
      <c r="G51" s="189">
        <f>'2.3.'!G11</f>
        <v>0</v>
      </c>
      <c r="H51" s="120" t="str">
        <f>'2.3.'!H11</f>
        <v/>
      </c>
      <c r="I51" s="120" t="str">
        <f>'2.3.'!I11</f>
        <v/>
      </c>
    </row>
    <row r="52" ht="14.25" customHeight="1">
      <c r="A52" s="171" t="str">
        <f>'2.3.'!A12</f>
        <v/>
      </c>
      <c r="B52" s="74" t="str">
        <f>'2.3.'!B12</f>
        <v/>
      </c>
      <c r="C52" s="74" t="str">
        <f>'2.3.'!C12</f>
        <v/>
      </c>
      <c r="D52" s="171" t="str">
        <f>'2.3.'!D12</f>
        <v/>
      </c>
      <c r="E52" s="171" t="str">
        <f>'2.3.'!E12</f>
        <v/>
      </c>
      <c r="F52" s="173" t="str">
        <f>'2.3.'!F12</f>
        <v/>
      </c>
      <c r="G52" s="189">
        <f>'2.3.'!G12</f>
        <v>0</v>
      </c>
      <c r="H52" s="120" t="str">
        <f>'2.3.'!H12</f>
        <v/>
      </c>
      <c r="I52" s="120" t="str">
        <f>'2.3.'!I12</f>
        <v/>
      </c>
    </row>
    <row r="53" ht="14.25" customHeight="1">
      <c r="A53" s="171" t="str">
        <f>'2.3.'!A13</f>
        <v/>
      </c>
      <c r="B53" s="74" t="str">
        <f>'2.3.'!B13</f>
        <v/>
      </c>
      <c r="C53" s="74" t="str">
        <f>'2.3.'!C13</f>
        <v/>
      </c>
      <c r="D53" s="171" t="str">
        <f>'2.3.'!D13</f>
        <v/>
      </c>
      <c r="E53" s="171" t="str">
        <f>'2.3.'!E13</f>
        <v/>
      </c>
      <c r="F53" s="173" t="str">
        <f>'2.3.'!F13</f>
        <v/>
      </c>
      <c r="G53" s="189">
        <f>'2.3.'!G13</f>
        <v>0</v>
      </c>
      <c r="H53" s="120" t="str">
        <f>'2.3.'!H13</f>
        <v/>
      </c>
      <c r="I53" s="120" t="str">
        <f>'2.3.'!I13</f>
        <v/>
      </c>
    </row>
    <row r="54" ht="14.25" customHeight="1">
      <c r="A54" s="171" t="str">
        <f>'2.3.'!A14</f>
        <v/>
      </c>
      <c r="B54" s="74" t="str">
        <f>'2.3.'!B14</f>
        <v/>
      </c>
      <c r="C54" s="74" t="str">
        <f>'2.3.'!C14</f>
        <v/>
      </c>
      <c r="D54" s="171" t="str">
        <f>'2.3.'!D14</f>
        <v/>
      </c>
      <c r="E54" s="171" t="str">
        <f>'2.3.'!E14</f>
        <v/>
      </c>
      <c r="F54" s="173" t="str">
        <f>'2.3.'!F14</f>
        <v/>
      </c>
      <c r="G54" s="189">
        <f>'2.3.'!G14</f>
        <v>0</v>
      </c>
      <c r="H54" s="120" t="str">
        <f>'2.3.'!H14</f>
        <v/>
      </c>
      <c r="I54" s="120" t="str">
        <f>'2.3.'!I14</f>
        <v/>
      </c>
    </row>
    <row r="55" ht="14.25" customHeight="1">
      <c r="A55" s="171" t="str">
        <f>'2.3.'!A15</f>
        <v/>
      </c>
      <c r="B55" s="74" t="str">
        <f>'2.3.'!B15</f>
        <v/>
      </c>
      <c r="C55" s="74" t="str">
        <f>'2.3.'!C15</f>
        <v/>
      </c>
      <c r="D55" s="171" t="str">
        <f>'2.3.'!D15</f>
        <v/>
      </c>
      <c r="E55" s="171" t="str">
        <f>'2.3.'!E15</f>
        <v/>
      </c>
      <c r="F55" s="173" t="str">
        <f>'2.3.'!F15</f>
        <v/>
      </c>
      <c r="G55" s="189">
        <f>'2.3.'!G15</f>
        <v>0</v>
      </c>
      <c r="H55" s="120" t="str">
        <f>'2.3.'!H15</f>
        <v/>
      </c>
      <c r="I55" s="120" t="str">
        <f>'2.3.'!I15</f>
        <v/>
      </c>
    </row>
    <row r="56" ht="14.25" customHeight="1">
      <c r="A56" s="171" t="str">
        <f>'2.3.'!A16</f>
        <v/>
      </c>
      <c r="B56" s="74" t="str">
        <f>'2.3.'!B16</f>
        <v/>
      </c>
      <c r="C56" s="74" t="str">
        <f>'2.3.'!C16</f>
        <v/>
      </c>
      <c r="D56" s="171" t="str">
        <f>'2.3.'!D16</f>
        <v/>
      </c>
      <c r="E56" s="171" t="str">
        <f>'2.3.'!E16</f>
        <v/>
      </c>
      <c r="F56" s="173" t="str">
        <f>'2.3.'!F16</f>
        <v/>
      </c>
      <c r="G56" s="189">
        <f>'2.3.'!G16</f>
        <v>0</v>
      </c>
      <c r="H56" s="120" t="str">
        <f>'2.3.'!H16</f>
        <v/>
      </c>
      <c r="I56" s="120" t="str">
        <f>'2.3.'!I16</f>
        <v/>
      </c>
    </row>
    <row r="57" ht="14.25" customHeight="1">
      <c r="A57" s="171" t="str">
        <f>'2.3.'!A17</f>
        <v/>
      </c>
      <c r="B57" s="74" t="str">
        <f>'2.3.'!B17</f>
        <v/>
      </c>
      <c r="C57" s="74" t="str">
        <f>'2.3.'!C17</f>
        <v/>
      </c>
      <c r="D57" s="171" t="str">
        <f>'2.3.'!D17</f>
        <v/>
      </c>
      <c r="E57" s="171" t="str">
        <f>'2.3.'!E17</f>
        <v/>
      </c>
      <c r="F57" s="173" t="str">
        <f>'2.3.'!F17</f>
        <v/>
      </c>
      <c r="G57" s="189">
        <f>'2.3.'!G17</f>
        <v>0</v>
      </c>
      <c r="H57" s="120" t="str">
        <f>'2.3.'!H17</f>
        <v/>
      </c>
      <c r="I57" s="120" t="str">
        <f>'2.3.'!I17</f>
        <v/>
      </c>
    </row>
    <row r="58" ht="14.25" customHeight="1">
      <c r="A58" s="171" t="str">
        <f>'2.3.'!A18</f>
        <v/>
      </c>
      <c r="B58" s="74" t="str">
        <f>'2.3.'!B18</f>
        <v/>
      </c>
      <c r="C58" s="74" t="str">
        <f>'2.3.'!C18</f>
        <v/>
      </c>
      <c r="D58" s="171" t="str">
        <f>'2.3.'!D18</f>
        <v/>
      </c>
      <c r="E58" s="171" t="str">
        <f>'2.3.'!E18</f>
        <v/>
      </c>
      <c r="F58" s="173" t="str">
        <f>'2.3.'!F18</f>
        <v/>
      </c>
      <c r="G58" s="189">
        <f>'2.3.'!G18</f>
        <v>0</v>
      </c>
      <c r="H58" s="120" t="str">
        <f>'2.3.'!H18</f>
        <v/>
      </c>
      <c r="I58" s="120" t="str">
        <f>'2.3.'!I18</f>
        <v/>
      </c>
    </row>
    <row r="59" ht="14.25" customHeight="1">
      <c r="A59" s="127" t="str">
        <f>'2.3.'!A19</f>
        <v/>
      </c>
      <c r="B59" s="127" t="str">
        <f>'2.3.'!B19</f>
        <v/>
      </c>
      <c r="C59" s="127" t="str">
        <f>'2.3.'!C19</f>
        <v/>
      </c>
      <c r="D59" s="127" t="str">
        <f>'2.3.'!D19</f>
        <v/>
      </c>
      <c r="E59" s="127" t="str">
        <f>'2.3.'!E19</f>
        <v/>
      </c>
      <c r="F59" s="126" t="str">
        <f>'2.3.'!F19</f>
        <v/>
      </c>
      <c r="G59" s="3" t="str">
        <f>'2.3.'!G19</f>
        <v/>
      </c>
      <c r="H59" s="120" t="str">
        <f>'2.3.'!H19</f>
        <v/>
      </c>
      <c r="I59" s="120" t="str">
        <f>'2.3.'!I19</f>
        <v/>
      </c>
    </row>
    <row r="60" ht="14.25" customHeight="1">
      <c r="A60" s="190" t="str">
        <f>'2.3.'!A20</f>
        <v>TOTAL MATERIALES</v>
      </c>
      <c r="B60" s="191" t="str">
        <f>'2.3.'!B20</f>
        <v/>
      </c>
      <c r="C60" s="191" t="str">
        <f>'2.3.'!C20</f>
        <v/>
      </c>
      <c r="D60" s="191" t="str">
        <f>'2.3.'!D20</f>
        <v/>
      </c>
      <c r="E60" s="191" t="str">
        <f>'2.3.'!E20</f>
        <v/>
      </c>
      <c r="F60" s="191" t="str">
        <f>'2.3.'!F20</f>
        <v/>
      </c>
      <c r="G60" s="177" t="str">
        <f>'2.3.'!G20</f>
        <v/>
      </c>
      <c r="H60" s="191" t="str">
        <f>'2.3.'!H20</f>
        <v/>
      </c>
      <c r="I60" s="192">
        <f>'2.3.'!I20</f>
        <v>12900000</v>
      </c>
    </row>
    <row r="61" ht="14.25" customHeight="1">
      <c r="F61" s="126"/>
      <c r="G61" s="3"/>
      <c r="H61" s="120"/>
      <c r="I61" s="120"/>
    </row>
    <row r="62" ht="14.25" customHeight="1">
      <c r="A62" s="193"/>
      <c r="B62" s="74"/>
      <c r="C62" s="74"/>
      <c r="D62" s="74"/>
      <c r="E62" s="74"/>
      <c r="F62" s="74"/>
      <c r="G62" s="3"/>
      <c r="H62" s="74"/>
      <c r="I62" s="195"/>
    </row>
    <row r="63">
      <c r="A63" s="162">
        <f>'3.1'!A3</f>
        <v>45660</v>
      </c>
      <c r="B63" s="163" t="str">
        <f>'3.1'!B3</f>
        <v>EJECUCION DE CONTRAPISO DE H8 EN VEREDA ATERRAZADA </v>
      </c>
      <c r="C63" s="164"/>
      <c r="D63" s="164"/>
      <c r="E63" s="164"/>
      <c r="F63" s="164"/>
      <c r="G63" s="165" t="str">
        <f>'3.1'!G3</f>
        <v/>
      </c>
      <c r="H63" s="166">
        <f>'3.1'!H3</f>
        <v>719.3</v>
      </c>
      <c r="I63" s="167" t="str">
        <f>'3.1'!I3</f>
        <v>m²</v>
      </c>
      <c r="J63" s="74"/>
      <c r="K63" s="74"/>
      <c r="L63" s="74"/>
    </row>
    <row r="64" ht="14.25" customHeight="1">
      <c r="A64" s="127" t="str">
        <f>'3.1'!A4</f>
        <v/>
      </c>
      <c r="B64" s="127" t="str">
        <f>'3.1'!B4</f>
        <v/>
      </c>
      <c r="C64" s="127" t="str">
        <f>'3.1'!C4</f>
        <v/>
      </c>
      <c r="D64" s="127" t="str">
        <f>'3.1'!D4</f>
        <v/>
      </c>
      <c r="E64" s="127" t="str">
        <f>'3.1'!E4</f>
        <v/>
      </c>
      <c r="F64" s="127" t="str">
        <f>'3.1'!F4</f>
        <v/>
      </c>
      <c r="G64" s="3" t="str">
        <f>'3.1'!G4</f>
        <v/>
      </c>
      <c r="H64" s="127" t="str">
        <f>'3.1'!H4</f>
        <v/>
      </c>
      <c r="I64" s="127" t="str">
        <f>'3.1'!I4</f>
        <v/>
      </c>
      <c r="J64" s="74"/>
      <c r="K64" s="74"/>
      <c r="L64" s="74"/>
    </row>
    <row r="65" ht="14.25" customHeight="1">
      <c r="A65" s="168" t="str">
        <f>'3.1'!A5</f>
        <v>MATERIALES</v>
      </c>
      <c r="B65" s="76" t="str">
        <f>'3.1'!B5</f>
        <v/>
      </c>
      <c r="C65" s="76" t="str">
        <f>'3.1'!C5</f>
        <v/>
      </c>
      <c r="D65" s="76" t="str">
        <f>'3.1'!D5</f>
        <v/>
      </c>
      <c r="E65" s="76" t="str">
        <f>'3.1'!E5</f>
        <v/>
      </c>
      <c r="F65" s="76" t="str">
        <f>'3.1'!F5</f>
        <v/>
      </c>
      <c r="G65" s="2" t="str">
        <f>'3.1'!G5</f>
        <v/>
      </c>
      <c r="H65" s="76" t="str">
        <f>'3.1'!H5</f>
        <v/>
      </c>
      <c r="I65" s="76" t="str">
        <f>'3.1'!I5</f>
        <v/>
      </c>
    </row>
    <row r="66" ht="14.25" customHeight="1">
      <c r="A66" s="169" t="str">
        <f>'3.1'!A6</f>
        <v>Código</v>
      </c>
      <c r="B66" s="169" t="str">
        <f>'3.1'!B6</f>
        <v>Descripción</v>
      </c>
      <c r="C66" s="169" t="str">
        <f>'3.1'!C6</f>
        <v>Unidad</v>
      </c>
      <c r="D66" s="170" t="str">
        <f>'3.1'!D6</f>
        <v>Cantidad</v>
      </c>
      <c r="E66" s="164"/>
      <c r="F66" s="169" t="str">
        <f>'3.1'!F6</f>
        <v>Desperdicio</v>
      </c>
      <c r="G66" s="4" t="str">
        <f>'3.1'!G6</f>
        <v>Cantidad + Desperdicio</v>
      </c>
      <c r="H66" s="169" t="str">
        <f>'3.1'!H6</f>
        <v>Precio Unitario</v>
      </c>
      <c r="I66" s="169" t="str">
        <f>'3.1'!I6</f>
        <v>Subtotal</v>
      </c>
    </row>
    <row r="67" ht="14.25" customHeight="1">
      <c r="A67" s="171" t="str">
        <f>'3.1'!A7</f>
        <v>A-NY200100m2</v>
      </c>
      <c r="B67" s="74" t="str">
        <f>'3.1'!B7</f>
        <v>Nylon 200 Micrones (100 m2 x rollo)</v>
      </c>
      <c r="C67" s="74" t="str">
        <f>'3.1'!C7</f>
        <v>u</v>
      </c>
      <c r="D67" s="171">
        <f>'3.1'!D7</f>
        <v>7.193</v>
      </c>
      <c r="E67" s="171" t="str">
        <f>'3.1'!E7</f>
        <v/>
      </c>
      <c r="F67" s="173">
        <f>'3.1'!F7</f>
        <v>0</v>
      </c>
      <c r="G67" s="189">
        <f>'3.1'!G7</f>
        <v>8</v>
      </c>
      <c r="H67" s="120">
        <f>'3.1'!H7</f>
        <v>81655</v>
      </c>
      <c r="I67" s="120">
        <f>'3.1'!I7</f>
        <v>653240</v>
      </c>
    </row>
    <row r="68" ht="14.25" customHeight="1">
      <c r="A68" s="171" t="str">
        <f>'3.1'!A8</f>
        <v>m5,5</v>
      </c>
      <c r="B68" s="74" t="str">
        <f>'3.1'!B8</f>
        <v>Malla Φ 5,5 (2 m x 5 m) (hierros cada 0,18 x 0,18 m) - menos de 50 u (u)</v>
      </c>
      <c r="C68" s="74" t="str">
        <f>'3.1'!C8</f>
        <v>u</v>
      </c>
      <c r="D68" s="171">
        <f>'3.1'!D8</f>
        <v>71.93</v>
      </c>
      <c r="E68" s="171" t="str">
        <f>'3.1'!E8</f>
        <v/>
      </c>
      <c r="F68" s="173">
        <f>'3.1'!F8</f>
        <v>0.1</v>
      </c>
      <c r="G68" s="189">
        <f>'3.1'!G8</f>
        <v>80</v>
      </c>
      <c r="H68" s="120">
        <f>'3.1'!H8</f>
        <v>34628.09917</v>
      </c>
      <c r="I68" s="120">
        <f>'3.1'!I8</f>
        <v>2770247.934</v>
      </c>
    </row>
    <row r="69" ht="14.25" customHeight="1">
      <c r="A69" s="171" t="str">
        <f>'3.1'!A9</f>
        <v>H8</v>
      </c>
      <c r="B69" s="74" t="str">
        <f>'3.1'!B9</f>
        <v>Hormigon H8</v>
      </c>
      <c r="C69" s="74" t="str">
        <f>'3.1'!C9</f>
        <v>m3</v>
      </c>
      <c r="D69" s="171">
        <f>'3.1'!D9</f>
        <v>71.93</v>
      </c>
      <c r="E69" s="171" t="str">
        <f>'3.1'!E9</f>
        <v/>
      </c>
      <c r="F69" s="173">
        <f>'3.1'!F9</f>
        <v>0.1</v>
      </c>
      <c r="G69" s="189">
        <f>'3.1'!G9</f>
        <v>80</v>
      </c>
      <c r="H69" s="120">
        <f>'3.1'!H9</f>
        <v>101500</v>
      </c>
      <c r="I69" s="120">
        <f>'3.1'!I9</f>
        <v>8120000</v>
      </c>
    </row>
    <row r="70" ht="14.25" customHeight="1">
      <c r="A70" s="171" t="str">
        <f>'3.1'!A10</f>
        <v>HBP</v>
      </c>
      <c r="B70" s="74" t="str">
        <f>'3.1'!B10</f>
        <v>BOMBA PLUMA</v>
      </c>
      <c r="C70" s="74" t="str">
        <f>'3.1'!C10</f>
        <v>m3</v>
      </c>
      <c r="D70" s="171">
        <f>'3.1'!D10</f>
        <v>71.93</v>
      </c>
      <c r="E70" s="171" t="str">
        <f>'3.1'!E10</f>
        <v/>
      </c>
      <c r="F70" s="173">
        <f>'3.1'!F10</f>
        <v>0.1</v>
      </c>
      <c r="G70" s="189">
        <f>'3.1'!G10</f>
        <v>80</v>
      </c>
      <c r="H70" s="120">
        <f>'3.1'!H10</f>
        <v>5200</v>
      </c>
      <c r="I70" s="120">
        <f>'3.1'!I10</f>
        <v>416000</v>
      </c>
    </row>
    <row r="71" ht="14.25" customHeight="1">
      <c r="A71" s="171" t="str">
        <f>'3.1'!A11</f>
        <v>HBPT</v>
      </c>
      <c r="B71" s="74" t="str">
        <f>'3.1'!B11</f>
        <v>TRASLADO BOMBA PLUMA</v>
      </c>
      <c r="C71" s="74" t="str">
        <f>'3.1'!C11</f>
        <v>u</v>
      </c>
      <c r="D71" s="171">
        <f>'3.1'!D11</f>
        <v>1</v>
      </c>
      <c r="E71" s="171" t="str">
        <f>'3.1'!E11</f>
        <v/>
      </c>
      <c r="F71" s="173">
        <f>'3.1'!F11</f>
        <v>0</v>
      </c>
      <c r="G71" s="189">
        <f>'3.1'!G11</f>
        <v>1</v>
      </c>
      <c r="H71" s="120">
        <f>'3.1'!H11</f>
        <v>520000</v>
      </c>
      <c r="I71" s="120">
        <f>'3.1'!I11</f>
        <v>520000</v>
      </c>
    </row>
    <row r="72" ht="14.25" customHeight="1">
      <c r="A72" s="171" t="str">
        <f>'3.1'!A12</f>
        <v/>
      </c>
      <c r="B72" s="74" t="str">
        <f>'3.1'!B12</f>
        <v/>
      </c>
      <c r="C72" s="74" t="str">
        <f>'3.1'!C12</f>
        <v/>
      </c>
      <c r="D72" s="171" t="str">
        <f>'3.1'!D12</f>
        <v/>
      </c>
      <c r="E72" s="171" t="str">
        <f>'3.1'!E12</f>
        <v/>
      </c>
      <c r="F72" s="173" t="str">
        <f>'3.1'!F12</f>
        <v/>
      </c>
      <c r="G72" s="189">
        <f>'3.1'!G12</f>
        <v>0</v>
      </c>
      <c r="H72" s="120" t="str">
        <f>'3.1'!H12</f>
        <v/>
      </c>
      <c r="I72" s="120">
        <f>'3.1'!I12</f>
        <v>0</v>
      </c>
    </row>
    <row r="73" ht="14.25" customHeight="1">
      <c r="A73" s="171" t="str">
        <f>'3.1'!A13</f>
        <v/>
      </c>
      <c r="B73" s="74" t="str">
        <f>'3.1'!B13</f>
        <v/>
      </c>
      <c r="C73" s="74" t="str">
        <f>'3.1'!C13</f>
        <v/>
      </c>
      <c r="D73" s="171" t="str">
        <f>'3.1'!D13</f>
        <v/>
      </c>
      <c r="E73" s="171" t="str">
        <f>'3.1'!E13</f>
        <v/>
      </c>
      <c r="F73" s="173" t="str">
        <f>'3.1'!F13</f>
        <v/>
      </c>
      <c r="G73" s="189">
        <f>'3.1'!G13</f>
        <v>0</v>
      </c>
      <c r="H73" s="120" t="str">
        <f>'3.1'!H13</f>
        <v/>
      </c>
      <c r="I73" s="120" t="str">
        <f>'3.1'!I13</f>
        <v/>
      </c>
    </row>
    <row r="74" ht="14.25" customHeight="1">
      <c r="A74" s="171" t="str">
        <f>'3.1'!A14</f>
        <v/>
      </c>
      <c r="B74" s="74" t="str">
        <f>'3.1'!B14</f>
        <v/>
      </c>
      <c r="C74" s="74" t="str">
        <f>'3.1'!C14</f>
        <v/>
      </c>
      <c r="D74" s="171" t="str">
        <f>'3.1'!D14</f>
        <v/>
      </c>
      <c r="E74" s="171" t="str">
        <f>'3.1'!E14</f>
        <v/>
      </c>
      <c r="F74" s="173" t="str">
        <f>'3.1'!F14</f>
        <v/>
      </c>
      <c r="G74" s="189">
        <f>'3.1'!G14</f>
        <v>0</v>
      </c>
      <c r="H74" s="120" t="str">
        <f>'3.1'!H14</f>
        <v/>
      </c>
      <c r="I74" s="120" t="str">
        <f>'3.1'!I14</f>
        <v/>
      </c>
    </row>
    <row r="75" ht="14.25" customHeight="1">
      <c r="A75" s="171" t="str">
        <f>'3.1'!A15</f>
        <v/>
      </c>
      <c r="B75" s="74" t="str">
        <f>'3.1'!B15</f>
        <v/>
      </c>
      <c r="C75" s="74" t="str">
        <f>'3.1'!C15</f>
        <v/>
      </c>
      <c r="D75" s="171" t="str">
        <f>'3.1'!D15</f>
        <v/>
      </c>
      <c r="E75" s="171" t="str">
        <f>'3.1'!E15</f>
        <v/>
      </c>
      <c r="F75" s="173" t="str">
        <f>'3.1'!F15</f>
        <v/>
      </c>
      <c r="G75" s="189">
        <f>'3.1'!G15</f>
        <v>0</v>
      </c>
      <c r="H75" s="120" t="str">
        <f>'3.1'!H15</f>
        <v/>
      </c>
      <c r="I75" s="120" t="str">
        <f>'3.1'!I15</f>
        <v/>
      </c>
    </row>
    <row r="76" ht="14.25" customHeight="1">
      <c r="A76" s="171" t="str">
        <f>'3.1'!A16</f>
        <v/>
      </c>
      <c r="B76" s="74" t="str">
        <f>'3.1'!B16</f>
        <v/>
      </c>
      <c r="C76" s="74" t="str">
        <f>'3.1'!C16</f>
        <v/>
      </c>
      <c r="D76" s="171" t="str">
        <f>'3.1'!D16</f>
        <v/>
      </c>
      <c r="E76" s="171" t="str">
        <f>'3.1'!E16</f>
        <v/>
      </c>
      <c r="F76" s="173" t="str">
        <f>'3.1'!F16</f>
        <v/>
      </c>
      <c r="G76" s="189">
        <f>'3.1'!G16</f>
        <v>0</v>
      </c>
      <c r="H76" s="120" t="str">
        <f>'3.1'!H16</f>
        <v/>
      </c>
      <c r="I76" s="120" t="str">
        <f>'3.1'!I16</f>
        <v/>
      </c>
    </row>
    <row r="77" ht="14.25" customHeight="1">
      <c r="A77" s="171" t="str">
        <f>'3.1'!A17</f>
        <v/>
      </c>
      <c r="B77" s="74" t="str">
        <f>'3.1'!B17</f>
        <v/>
      </c>
      <c r="C77" s="74" t="str">
        <f>'3.1'!C17</f>
        <v/>
      </c>
      <c r="D77" s="171" t="str">
        <f>'3.1'!D17</f>
        <v/>
      </c>
      <c r="E77" s="171" t="str">
        <f>'3.1'!E17</f>
        <v/>
      </c>
      <c r="F77" s="173" t="str">
        <f>'3.1'!F17</f>
        <v/>
      </c>
      <c r="G77" s="189">
        <f>'3.1'!G17</f>
        <v>0</v>
      </c>
      <c r="H77" s="120" t="str">
        <f>'3.1'!H17</f>
        <v/>
      </c>
      <c r="I77" s="120" t="str">
        <f>'3.1'!I17</f>
        <v/>
      </c>
      <c r="J77" s="74"/>
      <c r="K77" s="74"/>
      <c r="L77" s="74"/>
    </row>
    <row r="78" ht="14.25" customHeight="1">
      <c r="A78" s="171" t="str">
        <f>'3.1'!A18</f>
        <v/>
      </c>
      <c r="B78" s="74" t="str">
        <f>'3.1'!B18</f>
        <v/>
      </c>
      <c r="C78" s="74" t="str">
        <f>'3.1'!C18</f>
        <v/>
      </c>
      <c r="D78" s="171" t="str">
        <f>'3.1'!D18</f>
        <v/>
      </c>
      <c r="E78" s="171" t="str">
        <f>'3.1'!E18</f>
        <v/>
      </c>
      <c r="F78" s="173" t="str">
        <f>'3.1'!F18</f>
        <v/>
      </c>
      <c r="G78" s="189">
        <f>'3.1'!G18</f>
        <v>0</v>
      </c>
      <c r="H78" s="120" t="str">
        <f>'3.1'!H18</f>
        <v/>
      </c>
      <c r="I78" s="120" t="str">
        <f>'3.1'!I18</f>
        <v/>
      </c>
      <c r="J78" s="74"/>
      <c r="K78" s="74"/>
      <c r="L78" s="74"/>
    </row>
    <row r="79" ht="14.25" customHeight="1">
      <c r="A79" s="127" t="str">
        <f>'3.1'!A19</f>
        <v/>
      </c>
      <c r="B79" s="127" t="str">
        <f>'3.1'!B19</f>
        <v/>
      </c>
      <c r="C79" s="127" t="str">
        <f>'3.1'!C19</f>
        <v/>
      </c>
      <c r="D79" s="127" t="str">
        <f>'3.1'!D19</f>
        <v/>
      </c>
      <c r="E79" s="127" t="str">
        <f>'3.1'!E19</f>
        <v/>
      </c>
      <c r="F79" s="126" t="str">
        <f>'3.1'!F19</f>
        <v/>
      </c>
      <c r="G79" s="3" t="str">
        <f>'3.1'!G19</f>
        <v/>
      </c>
      <c r="H79" s="120" t="str">
        <f>'3.1'!H19</f>
        <v/>
      </c>
      <c r="I79" s="120" t="str">
        <f>'3.1'!I19</f>
        <v/>
      </c>
    </row>
    <row r="80" ht="14.25" customHeight="1">
      <c r="A80" s="190" t="str">
        <f>'3.1'!A20</f>
        <v>TOTAL MATERIALES</v>
      </c>
      <c r="B80" s="191" t="str">
        <f>'3.1'!B20</f>
        <v/>
      </c>
      <c r="C80" s="191" t="str">
        <f>'3.1'!C20</f>
        <v/>
      </c>
      <c r="D80" s="191" t="str">
        <f>'3.1'!D20</f>
        <v/>
      </c>
      <c r="E80" s="191" t="str">
        <f>'3.1'!E20</f>
        <v/>
      </c>
      <c r="F80" s="191" t="str">
        <f>'3.1'!F20</f>
        <v/>
      </c>
      <c r="G80" s="177" t="str">
        <f>'3.1'!G20</f>
        <v/>
      </c>
      <c r="H80" s="191" t="str">
        <f>'3.1'!H20</f>
        <v/>
      </c>
      <c r="I80" s="192">
        <f>'3.1'!I20</f>
        <v>12479487.93</v>
      </c>
    </row>
    <row r="81" ht="14.25" customHeight="1">
      <c r="G81" s="3"/>
    </row>
    <row r="82" ht="14.25" customHeight="1">
      <c r="A82" s="196"/>
      <c r="B82" s="197"/>
      <c r="C82" s="197"/>
      <c r="D82" s="197"/>
      <c r="E82" s="197"/>
      <c r="F82" s="197"/>
      <c r="G82" s="3"/>
      <c r="H82" s="197"/>
      <c r="I82" s="197"/>
    </row>
    <row r="83">
      <c r="A83" s="162">
        <f>'3.3'!A3</f>
        <v>45719</v>
      </c>
      <c r="B83" s="163" t="str">
        <f>'3.3'!B3</f>
        <v>EJECUCION DE ESCALON DE HORMIGON ARMADO CURVO CON ZAPATA PARA CONTECION DE SUELO</v>
      </c>
      <c r="C83" s="164"/>
      <c r="D83" s="164"/>
      <c r="E83" s="164"/>
      <c r="F83" s="164"/>
      <c r="G83" s="165" t="str">
        <f>'3.3'!G3</f>
        <v/>
      </c>
      <c r="H83" s="166">
        <f>'3.3'!H3</f>
        <v>435.5</v>
      </c>
      <c r="I83" s="167" t="str">
        <f>'3.3'!I3</f>
        <v>m</v>
      </c>
    </row>
    <row r="84" ht="14.25" customHeight="1">
      <c r="A84" s="127" t="str">
        <f>'3.3'!A4</f>
        <v/>
      </c>
      <c r="B84" s="127" t="str">
        <f>'3.3'!B4</f>
        <v/>
      </c>
      <c r="C84" s="127" t="str">
        <f>'3.3'!C4</f>
        <v/>
      </c>
      <c r="D84" s="127" t="str">
        <f>'3.3'!D4</f>
        <v/>
      </c>
      <c r="E84" s="127" t="str">
        <f>'3.3'!E4</f>
        <v/>
      </c>
      <c r="F84" s="127" t="str">
        <f>'3.3'!F4</f>
        <v/>
      </c>
      <c r="G84" s="3" t="str">
        <f>'3.3'!G4</f>
        <v/>
      </c>
      <c r="H84" s="127" t="str">
        <f>'3.3'!H4</f>
        <v/>
      </c>
      <c r="I84" s="127" t="str">
        <f>'3.3'!I4</f>
        <v/>
      </c>
    </row>
    <row r="85" ht="14.25" customHeight="1">
      <c r="A85" s="168" t="str">
        <f>'3.3'!A5</f>
        <v>MATERIALES</v>
      </c>
      <c r="B85" s="76" t="str">
        <f>'3.3'!B5</f>
        <v/>
      </c>
      <c r="C85" s="76" t="str">
        <f>'3.3'!C5</f>
        <v/>
      </c>
      <c r="D85" s="76" t="str">
        <f>'3.3'!D5</f>
        <v/>
      </c>
      <c r="E85" s="76" t="str">
        <f>'3.3'!E5</f>
        <v/>
      </c>
      <c r="F85" s="76" t="str">
        <f>'3.3'!F5</f>
        <v/>
      </c>
      <c r="G85" s="2" t="str">
        <f>'3.3'!G5</f>
        <v/>
      </c>
      <c r="H85" s="76" t="str">
        <f>'3.3'!H5</f>
        <v/>
      </c>
      <c r="I85" s="76" t="str">
        <f>'3.3'!I5</f>
        <v/>
      </c>
    </row>
    <row r="86" ht="14.25" customHeight="1">
      <c r="A86" s="169" t="str">
        <f>'3.3'!A6</f>
        <v>Código</v>
      </c>
      <c r="B86" s="169" t="str">
        <f>'3.3'!B6</f>
        <v>Descripción</v>
      </c>
      <c r="C86" s="169" t="str">
        <f>'3.3'!C6</f>
        <v>Unidad</v>
      </c>
      <c r="D86" s="170" t="str">
        <f>'3.3'!D6</f>
        <v>Cantidad</v>
      </c>
      <c r="E86" s="164"/>
      <c r="F86" s="169" t="str">
        <f>'3.3'!F6</f>
        <v>Desperdicio</v>
      </c>
      <c r="G86" s="4" t="str">
        <f>'3.3'!G6</f>
        <v>Cantidad + Desperdicio</v>
      </c>
      <c r="H86" s="169" t="str">
        <f>'3.3'!H6</f>
        <v>Precio Unitario</v>
      </c>
      <c r="I86" s="169" t="str">
        <f>'3.3'!I6</f>
        <v>Subtotal</v>
      </c>
    </row>
    <row r="87" ht="14.25" customHeight="1">
      <c r="A87" s="171" t="str">
        <f>'3.3'!A7</f>
        <v/>
      </c>
      <c r="B87" s="74" t="str">
        <f>'3.3'!B7</f>
        <v/>
      </c>
      <c r="C87" s="74" t="str">
        <f>'3.3'!C7</f>
        <v/>
      </c>
      <c r="D87" s="171" t="str">
        <f>'3.3'!D7</f>
        <v/>
      </c>
      <c r="E87" s="171" t="str">
        <f>'3.3'!E7</f>
        <v/>
      </c>
      <c r="F87" s="173" t="str">
        <f>'3.3'!F7</f>
        <v/>
      </c>
      <c r="G87" s="189">
        <f>'3.3'!G7</f>
        <v>0</v>
      </c>
      <c r="H87" s="120" t="str">
        <f>'3.3'!H7</f>
        <v/>
      </c>
      <c r="I87" s="120">
        <f>'3.3'!I7</f>
        <v>0</v>
      </c>
    </row>
    <row r="88" ht="14.25" customHeight="1">
      <c r="A88" s="171" t="str">
        <f>'3.3'!A8</f>
        <v>HADN6</v>
      </c>
      <c r="B88" s="74" t="str">
        <f>'3.3'!B8</f>
        <v>Hierros ADN 420 Φ 6 </v>
      </c>
      <c r="C88" s="74" t="str">
        <f>'3.3'!C8</f>
        <v>u</v>
      </c>
      <c r="D88" s="171">
        <f>'3.3'!D8</f>
        <v>108.875</v>
      </c>
      <c r="E88" s="171" t="str">
        <f>'3.3'!E8</f>
        <v/>
      </c>
      <c r="F88" s="173">
        <f>'3.3'!F8</f>
        <v>0.15</v>
      </c>
      <c r="G88" s="189">
        <f>'3.3'!G8</f>
        <v>126</v>
      </c>
      <c r="H88" s="120">
        <f>'3.3'!H8</f>
        <v>5250</v>
      </c>
      <c r="I88" s="120">
        <f>'3.3'!I8</f>
        <v>661500</v>
      </c>
    </row>
    <row r="89" ht="14.25" customHeight="1">
      <c r="A89" s="171" t="str">
        <f>'3.3'!A9</f>
        <v>HADN12</v>
      </c>
      <c r="B89" s="74" t="str">
        <f>'3.3'!B9</f>
        <v>Hierros ADN 420 Φ 12</v>
      </c>
      <c r="C89" s="74" t="str">
        <f>'3.3'!C9</f>
        <v>u</v>
      </c>
      <c r="D89" s="171">
        <f>'3.3'!D9</f>
        <v>36.29166667</v>
      </c>
      <c r="E89" s="171" t="str">
        <f>'3.3'!E9</f>
        <v/>
      </c>
      <c r="F89" s="173">
        <f>'3.3'!F9</f>
        <v>0.4</v>
      </c>
      <c r="G89" s="189">
        <f>'3.3'!G9</f>
        <v>51</v>
      </c>
      <c r="H89" s="120">
        <f>'3.3'!H9</f>
        <v>20442.5</v>
      </c>
      <c r="I89" s="120">
        <f>'3.3'!I9</f>
        <v>1042567.5</v>
      </c>
    </row>
    <row r="90" ht="14.25" customHeight="1">
      <c r="A90" s="171" t="str">
        <f>'3.3'!A10</f>
        <v>F-TSAL</v>
      </c>
      <c r="B90" s="74" t="str">
        <f>'3.3'!B10</f>
        <v>Tabla saligna 1"x5" 3m</v>
      </c>
      <c r="C90" s="74" t="str">
        <f>'3.3'!C10</f>
        <v>u</v>
      </c>
      <c r="D90" s="171">
        <f>'3.3'!D10</f>
        <v>580.6666667</v>
      </c>
      <c r="E90" s="171" t="str">
        <f>'3.3'!E10</f>
        <v/>
      </c>
      <c r="F90" s="173">
        <f>'3.3'!F10</f>
        <v>0.15</v>
      </c>
      <c r="G90" s="189">
        <f>'3.3'!G10</f>
        <v>668</v>
      </c>
      <c r="H90" s="120">
        <f>'3.3'!H10</f>
        <v>2900</v>
      </c>
      <c r="I90" s="120">
        <f>'3.3'!I10</f>
        <v>1937200</v>
      </c>
    </row>
    <row r="91" ht="14.25" customHeight="1">
      <c r="A91" s="171" t="str">
        <f>'3.3'!A11</f>
        <v>pie</v>
      </c>
      <c r="B91" s="74" t="str">
        <f>'3.3'!B11</f>
        <v>Bolson de Piedra (1m3)</v>
      </c>
      <c r="C91" s="74" t="str">
        <f>'3.3'!C11</f>
        <v>m3</v>
      </c>
      <c r="D91" s="171">
        <f>'3.3'!D11</f>
        <v>32.6625</v>
      </c>
      <c r="E91" s="171" t="str">
        <f>'3.3'!E11</f>
        <v/>
      </c>
      <c r="F91" s="173">
        <f>'3.3'!F11</f>
        <v>0.1</v>
      </c>
      <c r="G91" s="189">
        <f>'3.3'!G11</f>
        <v>36</v>
      </c>
      <c r="H91" s="120">
        <f>'3.3'!H11</f>
        <v>49586.77686</v>
      </c>
      <c r="I91" s="120">
        <f>'3.3'!I11</f>
        <v>1785123.967</v>
      </c>
    </row>
    <row r="92" ht="14.25" customHeight="1">
      <c r="A92" s="171" t="str">
        <f>'3.3'!A12</f>
        <v>ar</v>
      </c>
      <c r="B92" s="74" t="str">
        <f>'3.3'!B12</f>
        <v>Bolson de Arena (1m3) </v>
      </c>
      <c r="C92" s="74" t="str">
        <f>'3.3'!C12</f>
        <v>m3</v>
      </c>
      <c r="D92" s="171">
        <f>'3.3'!D12</f>
        <v>32.6625</v>
      </c>
      <c r="E92" s="171" t="str">
        <f>'3.3'!E12</f>
        <v/>
      </c>
      <c r="F92" s="173">
        <f>'3.3'!F12</f>
        <v>0.1</v>
      </c>
      <c r="G92" s="189">
        <f>'3.3'!G12</f>
        <v>36</v>
      </c>
      <c r="H92" s="120">
        <f>'3.3'!H12</f>
        <v>31040</v>
      </c>
      <c r="I92" s="120">
        <f>'3.3'!I12</f>
        <v>1117440</v>
      </c>
    </row>
    <row r="93" ht="14.25" customHeight="1">
      <c r="A93" s="171" t="str">
        <f>'3.3'!A13</f>
        <v>cem</v>
      </c>
      <c r="B93" s="74" t="str">
        <f>'3.3'!B13</f>
        <v>Bolsa Cemento "Loma Negra" 50 k (u)</v>
      </c>
      <c r="C93" s="74" t="str">
        <f>'3.3'!C13</f>
        <v>u</v>
      </c>
      <c r="D93" s="171">
        <f>'3.3'!D13</f>
        <v>228.6375</v>
      </c>
      <c r="E93" s="171" t="str">
        <f>'3.3'!E13</f>
        <v/>
      </c>
      <c r="F93" s="173">
        <f>'3.3'!F13</f>
        <v>0.1</v>
      </c>
      <c r="G93" s="189">
        <f>'3.3'!G13</f>
        <v>252</v>
      </c>
      <c r="H93" s="120">
        <f>'3.3'!H13</f>
        <v>10675</v>
      </c>
      <c r="I93" s="120">
        <f>'3.3'!I13</f>
        <v>2690100</v>
      </c>
    </row>
    <row r="94" ht="14.25" customHeight="1">
      <c r="A94" s="171" t="str">
        <f>'3.3'!A14</f>
        <v/>
      </c>
      <c r="B94" s="74" t="str">
        <f>'3.3'!B14</f>
        <v/>
      </c>
      <c r="C94" s="74" t="str">
        <f>'3.3'!C14</f>
        <v/>
      </c>
      <c r="D94" s="171" t="str">
        <f>'3.3'!D14</f>
        <v/>
      </c>
      <c r="E94" s="171" t="str">
        <f>'3.3'!E14</f>
        <v/>
      </c>
      <c r="F94" s="173" t="str">
        <f>'3.3'!F14</f>
        <v/>
      </c>
      <c r="G94" s="189">
        <f>'3.3'!G14</f>
        <v>0</v>
      </c>
      <c r="H94" s="120" t="str">
        <f>'3.3'!H14</f>
        <v/>
      </c>
      <c r="I94" s="120" t="str">
        <f>'3.3'!I14</f>
        <v/>
      </c>
    </row>
    <row r="95" ht="14.25" customHeight="1">
      <c r="A95" s="171" t="str">
        <f>'3.3'!A15</f>
        <v/>
      </c>
      <c r="B95" s="74" t="str">
        <f>'3.3'!B15</f>
        <v/>
      </c>
      <c r="C95" s="74" t="str">
        <f>'3.3'!C15</f>
        <v/>
      </c>
      <c r="D95" s="171" t="str">
        <f>'3.3'!D15</f>
        <v/>
      </c>
      <c r="E95" s="171" t="str">
        <f>'3.3'!E15</f>
        <v/>
      </c>
      <c r="F95" s="173" t="str">
        <f>'3.3'!F15</f>
        <v/>
      </c>
      <c r="G95" s="189">
        <f>'3.3'!G15</f>
        <v>0</v>
      </c>
      <c r="H95" s="120" t="str">
        <f>'3.3'!H15</f>
        <v/>
      </c>
      <c r="I95" s="120" t="str">
        <f>'3.3'!I15</f>
        <v/>
      </c>
    </row>
    <row r="96" ht="14.25" customHeight="1">
      <c r="A96" s="171" t="str">
        <f>'3.3'!A16</f>
        <v/>
      </c>
      <c r="B96" s="74" t="str">
        <f>'3.3'!B16</f>
        <v/>
      </c>
      <c r="C96" s="74" t="str">
        <f>'3.3'!C16</f>
        <v/>
      </c>
      <c r="D96" s="171" t="str">
        <f>'3.3'!D16</f>
        <v/>
      </c>
      <c r="E96" s="171" t="str">
        <f>'3.3'!E16</f>
        <v/>
      </c>
      <c r="F96" s="173" t="str">
        <f>'3.3'!F16</f>
        <v/>
      </c>
      <c r="G96" s="189">
        <f>'3.3'!G16</f>
        <v>0</v>
      </c>
      <c r="H96" s="120" t="str">
        <f>'3.3'!H16</f>
        <v/>
      </c>
      <c r="I96" s="120" t="str">
        <f>'3.3'!I16</f>
        <v/>
      </c>
    </row>
    <row r="97" ht="14.25" customHeight="1">
      <c r="A97" s="171" t="str">
        <f>'3.3'!A17</f>
        <v/>
      </c>
      <c r="B97" s="74" t="str">
        <f>'3.3'!B17</f>
        <v/>
      </c>
      <c r="C97" s="74" t="str">
        <f>'3.3'!C17</f>
        <v/>
      </c>
      <c r="D97" s="171" t="str">
        <f>'3.3'!D17</f>
        <v/>
      </c>
      <c r="E97" s="171" t="str">
        <f>'3.3'!E17</f>
        <v/>
      </c>
      <c r="F97" s="173" t="str">
        <f>'3.3'!F17</f>
        <v/>
      </c>
      <c r="G97" s="189">
        <f>'3.3'!G17</f>
        <v>0</v>
      </c>
      <c r="H97" s="120" t="str">
        <f>'3.3'!H17</f>
        <v/>
      </c>
      <c r="I97" s="120" t="str">
        <f>'3.3'!I17</f>
        <v/>
      </c>
    </row>
    <row r="98" ht="14.25" customHeight="1">
      <c r="A98" s="171" t="str">
        <f>'3.3'!A18</f>
        <v/>
      </c>
      <c r="B98" s="74" t="str">
        <f>'3.3'!B18</f>
        <v/>
      </c>
      <c r="C98" s="74" t="str">
        <f>'3.3'!C18</f>
        <v/>
      </c>
      <c r="D98" s="171" t="str">
        <f>'3.3'!D18</f>
        <v/>
      </c>
      <c r="E98" s="171" t="str">
        <f>'3.3'!E18</f>
        <v/>
      </c>
      <c r="F98" s="173" t="str">
        <f>'3.3'!F18</f>
        <v/>
      </c>
      <c r="G98" s="189">
        <f>'3.3'!G18</f>
        <v>0</v>
      </c>
      <c r="H98" s="120" t="str">
        <f>'3.3'!H18</f>
        <v/>
      </c>
      <c r="I98" s="120" t="str">
        <f>'3.3'!I18</f>
        <v/>
      </c>
    </row>
    <row r="99" ht="14.25" customHeight="1">
      <c r="A99" s="127" t="str">
        <f>'3.3'!A19</f>
        <v/>
      </c>
      <c r="B99" s="127" t="str">
        <f>'3.3'!B19</f>
        <v/>
      </c>
      <c r="C99" s="127" t="str">
        <f>'3.3'!C19</f>
        <v/>
      </c>
      <c r="D99" s="127" t="str">
        <f>'3.3'!D19</f>
        <v/>
      </c>
      <c r="E99" s="127" t="str">
        <f>'3.3'!E19</f>
        <v/>
      </c>
      <c r="F99" s="126" t="str">
        <f>'3.3'!F19</f>
        <v/>
      </c>
      <c r="G99" s="3" t="str">
        <f>'3.3'!G19</f>
        <v/>
      </c>
      <c r="H99" s="120" t="str">
        <f>'3.3'!H19</f>
        <v/>
      </c>
      <c r="I99" s="120" t="str">
        <f>'3.3'!I19</f>
        <v/>
      </c>
    </row>
    <row r="100" ht="14.25" customHeight="1">
      <c r="A100" s="190" t="str">
        <f>'3.3'!A20</f>
        <v>TOTAL MATERIALES</v>
      </c>
      <c r="B100" s="191" t="str">
        <f>'3.3'!B20</f>
        <v/>
      </c>
      <c r="C100" s="191" t="str">
        <f>'3.3'!C20</f>
        <v/>
      </c>
      <c r="D100" s="191" t="str">
        <f>'3.3'!D20</f>
        <v/>
      </c>
      <c r="E100" s="191" t="str">
        <f>'3.3'!E20</f>
        <v/>
      </c>
      <c r="F100" s="191" t="str">
        <f>'3.3'!F20</f>
        <v/>
      </c>
      <c r="G100" s="177" t="str">
        <f>'3.3'!G20</f>
        <v/>
      </c>
      <c r="H100" s="191" t="str">
        <f>'3.3'!H20</f>
        <v/>
      </c>
      <c r="I100" s="192">
        <f>'3.3'!I20</f>
        <v>9233931.467</v>
      </c>
    </row>
    <row r="101" ht="14.25" customHeight="1">
      <c r="G101" s="3"/>
    </row>
    <row r="102" ht="14.25" customHeight="1">
      <c r="G102" s="3"/>
    </row>
    <row r="103">
      <c r="A103" s="162">
        <f>'3.4'!A3</f>
        <v>45750</v>
      </c>
      <c r="B103" s="163" t="str">
        <f>'3.4'!B3</f>
        <v>CORDON PERIMETRAL DE 10X10 SOBRE LATERAL DE CALLE</v>
      </c>
      <c r="C103" s="164"/>
      <c r="D103" s="164"/>
      <c r="E103" s="164"/>
      <c r="F103" s="164"/>
      <c r="G103" s="165" t="str">
        <f>'3.4'!G3</f>
        <v/>
      </c>
      <c r="H103" s="166">
        <f>'3.4'!H3</f>
        <v>156.1</v>
      </c>
      <c r="I103" s="167" t="str">
        <f>'3.4'!I3</f>
        <v>m</v>
      </c>
    </row>
    <row r="104" ht="14.25" customHeight="1">
      <c r="A104" s="127" t="str">
        <f>'3.4'!A4</f>
        <v/>
      </c>
      <c r="B104" s="127" t="str">
        <f>'3.4'!B4</f>
        <v/>
      </c>
      <c r="C104" s="127" t="str">
        <f>'3.4'!C4</f>
        <v/>
      </c>
      <c r="D104" s="127" t="str">
        <f>'3.4'!D4</f>
        <v/>
      </c>
      <c r="E104" s="127" t="str">
        <f>'3.4'!E4</f>
        <v/>
      </c>
      <c r="F104" s="127" t="str">
        <f>'3.4'!F4</f>
        <v/>
      </c>
      <c r="G104" s="3" t="str">
        <f>'3.4'!G4</f>
        <v/>
      </c>
      <c r="H104" s="127" t="str">
        <f>'3.4'!H4</f>
        <v/>
      </c>
      <c r="I104" s="127" t="str">
        <f>'3.4'!I4</f>
        <v/>
      </c>
    </row>
    <row r="105" ht="14.25" customHeight="1">
      <c r="A105" s="168" t="str">
        <f>'3.4'!A5</f>
        <v>MATERIALES</v>
      </c>
      <c r="B105" s="76" t="str">
        <f>'3.4'!B5</f>
        <v/>
      </c>
      <c r="C105" s="76" t="str">
        <f>'3.4'!C5</f>
        <v/>
      </c>
      <c r="D105" s="76" t="str">
        <f>'3.4'!D5</f>
        <v/>
      </c>
      <c r="E105" s="76" t="str">
        <f>'3.4'!E5</f>
        <v/>
      </c>
      <c r="F105" s="76" t="str">
        <f>'3.4'!F5</f>
        <v/>
      </c>
      <c r="G105" s="2" t="str">
        <f>'3.4'!G5</f>
        <v/>
      </c>
      <c r="H105" s="76" t="str">
        <f>'3.4'!H5</f>
        <v/>
      </c>
      <c r="I105" s="76" t="str">
        <f>'3.4'!I5</f>
        <v/>
      </c>
    </row>
    <row r="106" ht="14.25" customHeight="1">
      <c r="A106" s="169" t="str">
        <f>'3.4'!A6</f>
        <v>Código</v>
      </c>
      <c r="B106" s="169" t="str">
        <f>'3.4'!B6</f>
        <v>Descripción</v>
      </c>
      <c r="C106" s="169" t="str">
        <f>'3.4'!C6</f>
        <v>Unidad</v>
      </c>
      <c r="D106" s="170" t="str">
        <f>'3.4'!D6</f>
        <v>Cantidad</v>
      </c>
      <c r="E106" s="164"/>
      <c r="F106" s="169" t="str">
        <f>'3.4'!F6</f>
        <v>Desperdicio</v>
      </c>
      <c r="G106" s="4" t="str">
        <f>'3.4'!G6</f>
        <v>Cantidad + Desperdicio</v>
      </c>
      <c r="H106" s="169" t="str">
        <f>'3.4'!H6</f>
        <v>Precio Unitario</v>
      </c>
      <c r="I106" s="169" t="str">
        <f>'3.4'!I6</f>
        <v>Subtotal</v>
      </c>
    </row>
    <row r="107" ht="14.25" customHeight="1">
      <c r="A107" s="171" t="str">
        <f>'3.4'!A7</f>
        <v/>
      </c>
      <c r="B107" s="74" t="str">
        <f>'3.4'!B7</f>
        <v/>
      </c>
      <c r="C107" s="74" t="str">
        <f>'3.4'!C7</f>
        <v/>
      </c>
      <c r="D107" s="171" t="str">
        <f>'3.4'!D7</f>
        <v/>
      </c>
      <c r="E107" s="171" t="str">
        <f>'3.4'!E7</f>
        <v/>
      </c>
      <c r="F107" s="173" t="str">
        <f>'3.4'!F7</f>
        <v/>
      </c>
      <c r="G107" s="189">
        <f>'3.4'!G7</f>
        <v>0</v>
      </c>
      <c r="H107" s="120" t="str">
        <f>'3.4'!H7</f>
        <v/>
      </c>
      <c r="I107" s="120">
        <f>'3.4'!I7</f>
        <v>0</v>
      </c>
    </row>
    <row r="108" ht="14.25" customHeight="1">
      <c r="A108" s="171" t="str">
        <f>'3.4'!A8</f>
        <v>HADN6</v>
      </c>
      <c r="B108" s="74" t="str">
        <f>'3.4'!B8</f>
        <v>Hierros ADN 420 Φ 6 </v>
      </c>
      <c r="C108" s="74" t="str">
        <f>'3.4'!C8</f>
        <v>u</v>
      </c>
      <c r="D108" s="171">
        <f>'3.4'!D8</f>
        <v>13.00833333</v>
      </c>
      <c r="E108" s="171" t="str">
        <f>'3.4'!E8</f>
        <v/>
      </c>
      <c r="F108" s="173">
        <f>'3.4'!F8</f>
        <v>0.15</v>
      </c>
      <c r="G108" s="189">
        <f>'3.4'!G8</f>
        <v>15</v>
      </c>
      <c r="H108" s="120">
        <f>'3.4'!H8</f>
        <v>5250</v>
      </c>
      <c r="I108" s="120">
        <f>'3.4'!I8</f>
        <v>78750</v>
      </c>
    </row>
    <row r="109" ht="14.25" customHeight="1">
      <c r="A109" s="171" t="str">
        <f t="shared" ref="A109:H109" si="15">#REF!</f>
        <v>#REF!</v>
      </c>
      <c r="B109" s="74" t="str">
        <f t="shared" si="15"/>
        <v>#REF!</v>
      </c>
      <c r="C109" s="74" t="str">
        <f t="shared" si="15"/>
        <v>#REF!</v>
      </c>
      <c r="D109" s="171" t="str">
        <f t="shared" si="15"/>
        <v>#REF!</v>
      </c>
      <c r="E109" s="171" t="str">
        <f t="shared" si="15"/>
        <v>#REF!</v>
      </c>
      <c r="F109" s="173" t="str">
        <f t="shared" si="15"/>
        <v>#REF!</v>
      </c>
      <c r="G109" s="189" t="str">
        <f t="shared" si="15"/>
        <v>#REF!</v>
      </c>
      <c r="H109" s="120" t="str">
        <f t="shared" si="15"/>
        <v>#REF!</v>
      </c>
      <c r="I109" s="120">
        <f>'3.4'!I9</f>
        <v>163540</v>
      </c>
    </row>
    <row r="110" ht="14.25" customHeight="1">
      <c r="A110" s="171" t="str">
        <f>'3.4'!A9</f>
        <v>HADN12</v>
      </c>
      <c r="B110" s="74" t="str">
        <f>'3.4'!B9</f>
        <v>Hierros ADN 420 Φ 12</v>
      </c>
      <c r="C110" s="74" t="str">
        <f>'3.4'!C9</f>
        <v>u</v>
      </c>
      <c r="D110" s="171">
        <f>'3.4'!D9</f>
        <v>6.504166667</v>
      </c>
      <c r="E110" s="171" t="str">
        <f>'3.4'!E9</f>
        <v/>
      </c>
      <c r="F110" s="173">
        <f>'3.4'!F9</f>
        <v>0.15</v>
      </c>
      <c r="G110" s="189">
        <f>'3.4'!G9</f>
        <v>8</v>
      </c>
      <c r="H110" s="120">
        <f>'3.4'!H9</f>
        <v>20442.5</v>
      </c>
      <c r="I110" s="120">
        <f>'3.4'!I10</f>
        <v>174000</v>
      </c>
    </row>
    <row r="111" ht="14.25" customHeight="1">
      <c r="A111" s="171" t="str">
        <f>'3.4'!A10</f>
        <v>F-TSAL</v>
      </c>
      <c r="B111" s="74" t="str">
        <f>'3.4'!B10</f>
        <v>Tabla saligna 1"x5" 3m</v>
      </c>
      <c r="C111" s="74" t="str">
        <f>'3.4'!C10</f>
        <v>u</v>
      </c>
      <c r="D111" s="171">
        <f>'3.4'!D10</f>
        <v>52.03333333</v>
      </c>
      <c r="E111" s="171" t="str">
        <f>'3.4'!E10</f>
        <v/>
      </c>
      <c r="F111" s="173">
        <f>'3.4'!F10</f>
        <v>0.15</v>
      </c>
      <c r="G111" s="189">
        <f>'3.4'!G10</f>
        <v>60</v>
      </c>
      <c r="H111" s="120">
        <f>'3.4'!H10</f>
        <v>2900</v>
      </c>
      <c r="I111" s="120">
        <f>'3.4'!I11</f>
        <v>99173.55372</v>
      </c>
    </row>
    <row r="112" ht="14.25" customHeight="1">
      <c r="A112" s="171" t="str">
        <f>'3.4'!A11</f>
        <v>pie</v>
      </c>
      <c r="B112" s="74" t="str">
        <f>'3.4'!B11</f>
        <v>Bolson de Piedra (1m3)</v>
      </c>
      <c r="C112" s="74" t="str">
        <f>'3.4'!C11</f>
        <v>m3</v>
      </c>
      <c r="D112" s="171">
        <f>'3.4'!D11</f>
        <v>1.561</v>
      </c>
      <c r="E112" s="171" t="str">
        <f>'3.4'!E11</f>
        <v/>
      </c>
      <c r="F112" s="173">
        <f>'3.4'!F11</f>
        <v>0.1</v>
      </c>
      <c r="G112" s="189">
        <f>'3.4'!G11</f>
        <v>2</v>
      </c>
      <c r="H112" s="120">
        <f>'3.4'!H11</f>
        <v>49586.77686</v>
      </c>
      <c r="I112" s="120">
        <f>'3.4'!I12</f>
        <v>62080</v>
      </c>
    </row>
    <row r="113" ht="14.25" customHeight="1">
      <c r="A113" s="171" t="str">
        <f>'3.4'!A12</f>
        <v>ar</v>
      </c>
      <c r="B113" s="74" t="str">
        <f>'3.4'!B12</f>
        <v>Bolson de Arena (1m3) </v>
      </c>
      <c r="C113" s="74" t="str">
        <f>'3.4'!C12</f>
        <v>m3</v>
      </c>
      <c r="D113" s="171">
        <f>'3.4'!D12</f>
        <v>1.561</v>
      </c>
      <c r="E113" s="171" t="str">
        <f>'3.4'!E12</f>
        <v/>
      </c>
      <c r="F113" s="173">
        <f>'3.4'!F12</f>
        <v>0.1</v>
      </c>
      <c r="G113" s="189">
        <f>'3.4'!G12</f>
        <v>2</v>
      </c>
      <c r="H113" s="120">
        <f>'3.4'!H12</f>
        <v>31040</v>
      </c>
      <c r="I113" s="120">
        <f>'3.4'!I13</f>
        <v>21350</v>
      </c>
    </row>
    <row r="114" ht="14.25" customHeight="1">
      <c r="A114" s="171" t="str">
        <f>'3.4'!A13</f>
        <v>cem</v>
      </c>
      <c r="B114" s="74" t="str">
        <f>'3.4'!B13</f>
        <v>Bolsa Cemento "Loma Negra" 50 k (u)</v>
      </c>
      <c r="C114" s="74" t="str">
        <f>'3.4'!C13</f>
        <v>u</v>
      </c>
      <c r="D114" s="171">
        <f>'3.4'!D13</f>
        <v>1.561</v>
      </c>
      <c r="E114" s="171" t="str">
        <f>'3.4'!E13</f>
        <v/>
      </c>
      <c r="F114" s="173">
        <f>'3.4'!F13</f>
        <v>0.1</v>
      </c>
      <c r="G114" s="189">
        <f>'3.4'!G13</f>
        <v>2</v>
      </c>
      <c r="H114" s="120">
        <f>'3.4'!H13</f>
        <v>10675</v>
      </c>
      <c r="I114" s="120">
        <f>'3.4'!I14</f>
        <v>0</v>
      </c>
    </row>
    <row r="115" ht="14.25" customHeight="1">
      <c r="A115" s="171" t="str">
        <f>'3.4'!A15</f>
        <v/>
      </c>
      <c r="B115" s="74" t="str">
        <f>'3.4'!B15</f>
        <v/>
      </c>
      <c r="C115" s="74" t="str">
        <f>'3.4'!C15</f>
        <v/>
      </c>
      <c r="D115" s="171" t="str">
        <f>'3.4'!D15</f>
        <v/>
      </c>
      <c r="E115" s="171" t="str">
        <f>'3.4'!E15</f>
        <v/>
      </c>
      <c r="F115" s="173" t="str">
        <f>'3.4'!F15</f>
        <v/>
      </c>
      <c r="G115" s="189">
        <f>'3.4'!G15</f>
        <v>0</v>
      </c>
      <c r="H115" s="120" t="str">
        <f>'3.4'!H15</f>
        <v/>
      </c>
      <c r="I115" s="120">
        <f>'3.4'!I15</f>
        <v>0</v>
      </c>
    </row>
    <row r="116" ht="14.25" customHeight="1">
      <c r="A116" s="171" t="str">
        <f>'3.4'!A16</f>
        <v/>
      </c>
      <c r="B116" s="74" t="str">
        <f>'3.4'!B16</f>
        <v/>
      </c>
      <c r="C116" s="74" t="str">
        <f>'3.4'!C16</f>
        <v/>
      </c>
      <c r="D116" s="171" t="str">
        <f>'3.4'!D16</f>
        <v/>
      </c>
      <c r="E116" s="171" t="str">
        <f>'3.4'!E16</f>
        <v/>
      </c>
      <c r="F116" s="173" t="str">
        <f>'3.4'!F16</f>
        <v/>
      </c>
      <c r="G116" s="189">
        <f>'3.4'!G16</f>
        <v>0</v>
      </c>
      <c r="H116" s="120" t="str">
        <f>'3.4'!H16</f>
        <v/>
      </c>
      <c r="I116" s="120">
        <f>'3.4'!I16</f>
        <v>0</v>
      </c>
    </row>
    <row r="117" ht="14.25" customHeight="1">
      <c r="A117" s="171" t="str">
        <f>'3.4'!A17</f>
        <v/>
      </c>
      <c r="B117" s="74" t="str">
        <f>'3.4'!B17</f>
        <v/>
      </c>
      <c r="C117" s="74" t="str">
        <f>'3.4'!C17</f>
        <v/>
      </c>
      <c r="D117" s="171" t="str">
        <f>'3.4'!D17</f>
        <v/>
      </c>
      <c r="E117" s="171" t="str">
        <f>'3.4'!E17</f>
        <v/>
      </c>
      <c r="F117" s="173" t="str">
        <f>'3.4'!F17</f>
        <v/>
      </c>
      <c r="G117" s="189">
        <f>'3.4'!G17</f>
        <v>0</v>
      </c>
      <c r="H117" s="120" t="str">
        <f>'3.4'!H17</f>
        <v/>
      </c>
      <c r="I117" s="120">
        <f>'3.4'!I17</f>
        <v>0</v>
      </c>
    </row>
    <row r="118" ht="14.25" customHeight="1">
      <c r="A118" s="171" t="str">
        <f>'3.4'!A18</f>
        <v/>
      </c>
      <c r="B118" s="74" t="str">
        <f>'3.4'!B18</f>
        <v/>
      </c>
      <c r="C118" s="74" t="str">
        <f>'3.4'!C18</f>
        <v/>
      </c>
      <c r="D118" s="171" t="str">
        <f>'3.4'!D18</f>
        <v/>
      </c>
      <c r="E118" s="171" t="str">
        <f>'3.4'!E18</f>
        <v/>
      </c>
      <c r="F118" s="173" t="str">
        <f>'3.4'!F18</f>
        <v/>
      </c>
      <c r="G118" s="189">
        <f>'3.4'!G18</f>
        <v>0</v>
      </c>
      <c r="H118" s="120" t="str">
        <f>'3.4'!H18</f>
        <v/>
      </c>
      <c r="I118" s="120" t="str">
        <f>'3.4'!I18</f>
        <v/>
      </c>
    </row>
    <row r="119" ht="14.25" customHeight="1">
      <c r="A119" s="127" t="str">
        <f>'3.4'!A19</f>
        <v/>
      </c>
      <c r="B119" s="127" t="str">
        <f>'3.4'!B19</f>
        <v/>
      </c>
      <c r="C119" s="127" t="str">
        <f>'3.4'!C19</f>
        <v/>
      </c>
      <c r="D119" s="127" t="str">
        <f>'3.4'!D19</f>
        <v/>
      </c>
      <c r="E119" s="127" t="str">
        <f>'3.4'!E19</f>
        <v/>
      </c>
      <c r="F119" s="126" t="str">
        <f>'3.4'!F19</f>
        <v/>
      </c>
      <c r="G119" s="3" t="str">
        <f>'3.4'!G19</f>
        <v/>
      </c>
      <c r="H119" s="120" t="str">
        <f>'3.4'!H19</f>
        <v/>
      </c>
      <c r="I119" s="120" t="str">
        <f>'3.4'!I19</f>
        <v/>
      </c>
    </row>
    <row r="120" ht="14.25" customHeight="1">
      <c r="A120" s="190" t="str">
        <f>'3.4'!A20</f>
        <v>TOTAL MATERIALES</v>
      </c>
      <c r="B120" s="191" t="str">
        <f>'3.4'!B20</f>
        <v/>
      </c>
      <c r="C120" s="191" t="str">
        <f>'3.4'!C20</f>
        <v/>
      </c>
      <c r="D120" s="191" t="str">
        <f>'3.4'!D20</f>
        <v/>
      </c>
      <c r="E120" s="191" t="str">
        <f>'3.4'!E20</f>
        <v/>
      </c>
      <c r="F120" s="191" t="str">
        <f>'3.4'!F20</f>
        <v/>
      </c>
      <c r="G120" s="177" t="str">
        <f>'3.4'!G20</f>
        <v/>
      </c>
      <c r="H120" s="191" t="str">
        <f>'3.4'!H20</f>
        <v/>
      </c>
      <c r="I120" s="192">
        <f>'3.4'!I20</f>
        <v>598893.5537</v>
      </c>
    </row>
    <row r="121" ht="14.25" customHeight="1">
      <c r="G121" s="3"/>
    </row>
    <row r="122" ht="14.25" customHeight="1">
      <c r="G122" s="3"/>
    </row>
    <row r="123">
      <c r="A123" s="162">
        <f>'3.5'!A3</f>
        <v>45780</v>
      </c>
      <c r="B123" s="163" t="str">
        <f>'3.5'!B3</f>
        <v>COLOCACION DE GARDEN BLOCK</v>
      </c>
      <c r="C123" s="164"/>
      <c r="D123" s="164"/>
      <c r="E123" s="164"/>
      <c r="F123" s="164"/>
      <c r="G123" s="165" t="str">
        <f>'3.5'!G3</f>
        <v/>
      </c>
      <c r="H123" s="166">
        <f>'3.5'!H3</f>
        <v>427</v>
      </c>
      <c r="I123" s="167" t="str">
        <f>'3.5'!I3</f>
        <v>m²</v>
      </c>
    </row>
    <row r="124" ht="14.25" customHeight="1">
      <c r="A124" s="127" t="str">
        <f>'3.5'!A4</f>
        <v/>
      </c>
      <c r="B124" s="127" t="str">
        <f>'3.5'!B4</f>
        <v/>
      </c>
      <c r="C124" s="127" t="str">
        <f>'3.5'!C4</f>
        <v/>
      </c>
      <c r="D124" s="127" t="str">
        <f>'3.5'!D4</f>
        <v/>
      </c>
      <c r="E124" s="127" t="str">
        <f>'3.5'!E4</f>
        <v/>
      </c>
      <c r="F124" s="127" t="str">
        <f>'3.5'!F4</f>
        <v/>
      </c>
      <c r="G124" s="3" t="str">
        <f>'3.5'!G4</f>
        <v/>
      </c>
      <c r="H124" s="127" t="str">
        <f>'3.5'!H4</f>
        <v/>
      </c>
      <c r="I124" s="127" t="str">
        <f>'3.5'!I4</f>
        <v/>
      </c>
    </row>
    <row r="125" ht="14.25" customHeight="1">
      <c r="A125" s="168" t="str">
        <f>'3.5'!A5</f>
        <v>MATERIALES</v>
      </c>
      <c r="B125" s="76" t="str">
        <f>'3.5'!B5</f>
        <v/>
      </c>
      <c r="C125" s="76" t="str">
        <f>'3.5'!C5</f>
        <v/>
      </c>
      <c r="D125" s="76" t="str">
        <f>'3.5'!D5</f>
        <v/>
      </c>
      <c r="E125" s="76" t="str">
        <f>'3.5'!E5</f>
        <v/>
      </c>
      <c r="F125" s="76" t="str">
        <f>'3.5'!F5</f>
        <v/>
      </c>
      <c r="G125" s="2" t="str">
        <f>'3.5'!G5</f>
        <v/>
      </c>
      <c r="H125" s="76" t="str">
        <f>'3.5'!H5</f>
        <v/>
      </c>
      <c r="I125" s="76" t="str">
        <f>'3.5'!I5</f>
        <v/>
      </c>
    </row>
    <row r="126" ht="14.25" customHeight="1">
      <c r="A126" s="169" t="str">
        <f>'3.5'!A6</f>
        <v>Código</v>
      </c>
      <c r="B126" s="169" t="str">
        <f>'3.5'!B6</f>
        <v>Descripción</v>
      </c>
      <c r="C126" s="169" t="str">
        <f>'3.5'!C6</f>
        <v>Unidad</v>
      </c>
      <c r="D126" s="170" t="str">
        <f>'3.5'!D6</f>
        <v>Cantidad</v>
      </c>
      <c r="E126" s="164"/>
      <c r="F126" s="169" t="str">
        <f>'3.5'!F6</f>
        <v>Desperdicio</v>
      </c>
      <c r="G126" s="4" t="str">
        <f>'3.5'!G6</f>
        <v>Cantidad + Desperdicio</v>
      </c>
      <c r="H126" s="169" t="str">
        <f>'3.5'!H6</f>
        <v>Precio Unitario</v>
      </c>
      <c r="I126" s="169" t="str">
        <f>'3.5'!I6</f>
        <v>Subtotal</v>
      </c>
    </row>
    <row r="127" ht="14.25" customHeight="1">
      <c r="A127" s="171" t="str">
        <f>'3.5'!A7</f>
        <v>LGB</v>
      </c>
      <c r="B127" s="74" t="str">
        <f>'3.5'!B7</f>
        <v>Garden Block 38x38x8cm (1m2)</v>
      </c>
      <c r="C127" s="74" t="str">
        <f>'3.5'!C7</f>
        <v>m2</v>
      </c>
      <c r="D127" s="172">
        <f>'3.5'!D7</f>
        <v>427</v>
      </c>
      <c r="E127" s="171" t="str">
        <f>'3.5'!E7</f>
        <v/>
      </c>
      <c r="F127" s="173">
        <f>'3.5'!F7</f>
        <v>0.15</v>
      </c>
      <c r="G127" s="189">
        <f>'3.5'!G7</f>
        <v>492</v>
      </c>
      <c r="H127" s="120">
        <f>'3.5'!H7</f>
        <v>22500</v>
      </c>
      <c r="I127" s="120">
        <f>'3.5'!I7</f>
        <v>11070000</v>
      </c>
    </row>
    <row r="128" ht="14.25" customHeight="1">
      <c r="A128" s="171" t="str">
        <f>'3.5'!A8</f>
        <v>ar</v>
      </c>
      <c r="B128" s="74" t="str">
        <f>'3.5'!B8</f>
        <v>Bolson de Arena (1m3) </v>
      </c>
      <c r="C128" s="74" t="str">
        <f>'3.5'!C8</f>
        <v>m3</v>
      </c>
      <c r="D128" s="171">
        <f>'3.5'!D8</f>
        <v>35.58333333</v>
      </c>
      <c r="E128" s="171" t="str">
        <f>'3.5'!E8</f>
        <v/>
      </c>
      <c r="F128" s="173">
        <f>'3.5'!F8</f>
        <v>0.1</v>
      </c>
      <c r="G128" s="189">
        <f>'3.5'!G8</f>
        <v>40</v>
      </c>
      <c r="H128" s="120">
        <f>'3.5'!H8</f>
        <v>31040</v>
      </c>
      <c r="I128" s="120">
        <f>'3.5'!I8</f>
        <v>1241600</v>
      </c>
    </row>
    <row r="129" ht="14.25" customHeight="1">
      <c r="A129" s="171" t="str">
        <f>'3.5'!A9</f>
        <v/>
      </c>
      <c r="B129" s="74" t="str">
        <f>'3.5'!B9</f>
        <v/>
      </c>
      <c r="C129" s="74" t="str">
        <f>'3.5'!C9</f>
        <v/>
      </c>
      <c r="D129" s="171" t="str">
        <f>'3.5'!D9</f>
        <v/>
      </c>
      <c r="E129" s="171" t="str">
        <f>'3.5'!E9</f>
        <v/>
      </c>
      <c r="F129" s="173" t="str">
        <f>'3.5'!F9</f>
        <v/>
      </c>
      <c r="G129" s="189">
        <f>'3.5'!G9</f>
        <v>0</v>
      </c>
      <c r="H129" s="120" t="str">
        <f>'3.5'!H9</f>
        <v/>
      </c>
      <c r="I129" s="120" t="str">
        <f>'3.5'!I9</f>
        <v/>
      </c>
    </row>
    <row r="130" ht="14.25" customHeight="1">
      <c r="A130" s="171" t="str">
        <f>'3.5'!A10</f>
        <v/>
      </c>
      <c r="B130" s="74" t="str">
        <f>'3.5'!B10</f>
        <v/>
      </c>
      <c r="C130" s="74" t="str">
        <f>'3.5'!C10</f>
        <v/>
      </c>
      <c r="D130" s="171" t="str">
        <f>'3.5'!D10</f>
        <v/>
      </c>
      <c r="E130" s="171" t="str">
        <f>'3.5'!E10</f>
        <v/>
      </c>
      <c r="F130" s="173" t="str">
        <f>'3.5'!F10</f>
        <v/>
      </c>
      <c r="G130" s="189">
        <f>'3.5'!G10</f>
        <v>0</v>
      </c>
      <c r="H130" s="120" t="str">
        <f>'3.5'!H10</f>
        <v/>
      </c>
      <c r="I130" s="120" t="str">
        <f>'3.5'!I10</f>
        <v/>
      </c>
    </row>
    <row r="131" ht="14.25" customHeight="1">
      <c r="A131" s="171" t="str">
        <f>'3.5'!A11</f>
        <v/>
      </c>
      <c r="B131" s="74" t="str">
        <f>'3.5'!B11</f>
        <v/>
      </c>
      <c r="C131" s="74" t="str">
        <f>'3.5'!C11</f>
        <v/>
      </c>
      <c r="D131" s="171" t="str">
        <f>'3.5'!D11</f>
        <v/>
      </c>
      <c r="E131" s="171" t="str">
        <f>'3.5'!E11</f>
        <v/>
      </c>
      <c r="F131" s="173" t="str">
        <f>'3.5'!F11</f>
        <v/>
      </c>
      <c r="G131" s="189">
        <f>'3.5'!G11</f>
        <v>0</v>
      </c>
      <c r="H131" s="120" t="str">
        <f>'3.5'!H11</f>
        <v/>
      </c>
      <c r="I131" s="120" t="str">
        <f>'3.5'!I11</f>
        <v/>
      </c>
    </row>
    <row r="132" ht="14.25" customHeight="1">
      <c r="A132" s="171" t="str">
        <f>'3.5'!A12</f>
        <v/>
      </c>
      <c r="B132" s="74" t="str">
        <f>'3.5'!B12</f>
        <v/>
      </c>
      <c r="C132" s="74" t="str">
        <f>'3.5'!C12</f>
        <v/>
      </c>
      <c r="D132" s="171" t="str">
        <f>'3.5'!D12</f>
        <v/>
      </c>
      <c r="E132" s="171" t="str">
        <f>'3.5'!E12</f>
        <v/>
      </c>
      <c r="F132" s="173" t="str">
        <f>'3.5'!F12</f>
        <v/>
      </c>
      <c r="G132" s="189">
        <f>'3.5'!G12</f>
        <v>0</v>
      </c>
      <c r="H132" s="120" t="str">
        <f>'3.5'!H12</f>
        <v/>
      </c>
      <c r="I132" s="120" t="str">
        <f>'3.5'!I12</f>
        <v/>
      </c>
    </row>
    <row r="133" ht="14.25" customHeight="1">
      <c r="A133" s="171" t="str">
        <f>'3.5'!A13</f>
        <v/>
      </c>
      <c r="B133" s="74" t="str">
        <f>'3.5'!B13</f>
        <v/>
      </c>
      <c r="C133" s="74" t="str">
        <f>'3.5'!C13</f>
        <v/>
      </c>
      <c r="D133" s="171" t="str">
        <f>'3.5'!D13</f>
        <v/>
      </c>
      <c r="E133" s="171" t="str">
        <f>'3.5'!E13</f>
        <v/>
      </c>
      <c r="F133" s="173" t="str">
        <f>'3.5'!F13</f>
        <v/>
      </c>
      <c r="G133" s="189">
        <f>'3.5'!G13</f>
        <v>0</v>
      </c>
      <c r="H133" s="120" t="str">
        <f>'3.5'!H13</f>
        <v/>
      </c>
      <c r="I133" s="120" t="str">
        <f>'3.5'!I13</f>
        <v/>
      </c>
    </row>
    <row r="134" ht="14.25" customHeight="1">
      <c r="A134" s="171" t="str">
        <f>'3.5'!A14</f>
        <v/>
      </c>
      <c r="B134" s="74" t="str">
        <f>'3.5'!B14</f>
        <v/>
      </c>
      <c r="C134" s="74" t="str">
        <f>'3.5'!C14</f>
        <v/>
      </c>
      <c r="D134" s="171" t="str">
        <f>'3.5'!D14</f>
        <v/>
      </c>
      <c r="E134" s="171" t="str">
        <f>'3.5'!E14</f>
        <v/>
      </c>
      <c r="F134" s="173" t="str">
        <f>'3.5'!F14</f>
        <v/>
      </c>
      <c r="G134" s="189">
        <f>'3.5'!G14</f>
        <v>0</v>
      </c>
      <c r="H134" s="120" t="str">
        <f>'3.5'!H14</f>
        <v/>
      </c>
      <c r="I134" s="120" t="str">
        <f>'3.5'!I14</f>
        <v/>
      </c>
    </row>
    <row r="135" ht="14.25" customHeight="1">
      <c r="A135" s="171" t="str">
        <f>'3.5'!A15</f>
        <v/>
      </c>
      <c r="B135" s="74" t="str">
        <f>'3.5'!B15</f>
        <v/>
      </c>
      <c r="C135" s="74" t="str">
        <f>'3.5'!C15</f>
        <v/>
      </c>
      <c r="D135" s="171" t="str">
        <f>'3.5'!D15</f>
        <v/>
      </c>
      <c r="E135" s="171" t="str">
        <f>'3.5'!E15</f>
        <v/>
      </c>
      <c r="F135" s="173" t="str">
        <f>'3.5'!F15</f>
        <v/>
      </c>
      <c r="G135" s="189">
        <f>'3.5'!G15</f>
        <v>0</v>
      </c>
      <c r="H135" s="120" t="str">
        <f>'3.5'!H15</f>
        <v/>
      </c>
      <c r="I135" s="120" t="str">
        <f>'3.5'!I15</f>
        <v/>
      </c>
    </row>
    <row r="136" ht="14.25" customHeight="1">
      <c r="A136" s="171" t="str">
        <f>'3.5'!A16</f>
        <v/>
      </c>
      <c r="B136" s="74" t="str">
        <f>'3.5'!B16</f>
        <v/>
      </c>
      <c r="C136" s="74" t="str">
        <f>'3.5'!C16</f>
        <v/>
      </c>
      <c r="D136" s="171" t="str">
        <f>'3.5'!D16</f>
        <v/>
      </c>
      <c r="E136" s="171" t="str">
        <f>'3.5'!E16</f>
        <v/>
      </c>
      <c r="F136" s="173" t="str">
        <f>'3.5'!F16</f>
        <v/>
      </c>
      <c r="G136" s="189">
        <f>'3.5'!G16</f>
        <v>0</v>
      </c>
      <c r="H136" s="120" t="str">
        <f>'3.5'!H16</f>
        <v/>
      </c>
      <c r="I136" s="120" t="str">
        <f>'3.5'!I16</f>
        <v/>
      </c>
    </row>
    <row r="137" ht="14.25" customHeight="1">
      <c r="A137" s="171" t="str">
        <f>'3.5'!A17</f>
        <v/>
      </c>
      <c r="B137" s="74" t="str">
        <f>'3.5'!B17</f>
        <v/>
      </c>
      <c r="C137" s="74" t="str">
        <f>'3.5'!C17</f>
        <v/>
      </c>
      <c r="D137" s="171" t="str">
        <f>'3.5'!D17</f>
        <v/>
      </c>
      <c r="E137" s="171" t="str">
        <f>'3.5'!E17</f>
        <v/>
      </c>
      <c r="F137" s="173" t="str">
        <f>'3.5'!F17</f>
        <v/>
      </c>
      <c r="G137" s="189">
        <f>'3.5'!G17</f>
        <v>0</v>
      </c>
      <c r="H137" s="120" t="str">
        <f>'3.5'!H17</f>
        <v/>
      </c>
      <c r="I137" s="120" t="str">
        <f>'3.5'!I17</f>
        <v/>
      </c>
    </row>
    <row r="138" ht="14.25" customHeight="1">
      <c r="A138" s="171" t="str">
        <f>'3.5'!A18</f>
        <v/>
      </c>
      <c r="B138" s="74" t="str">
        <f>'3.5'!B18</f>
        <v/>
      </c>
      <c r="C138" s="74" t="str">
        <f>'3.5'!C18</f>
        <v/>
      </c>
      <c r="D138" s="171" t="str">
        <f>'3.5'!D18</f>
        <v/>
      </c>
      <c r="E138" s="171" t="str">
        <f>'3.5'!E18</f>
        <v/>
      </c>
      <c r="F138" s="173" t="str">
        <f>'3.5'!F18</f>
        <v/>
      </c>
      <c r="G138" s="189">
        <f>'3.5'!G18</f>
        <v>0</v>
      </c>
      <c r="H138" s="120" t="str">
        <f>'3.5'!H18</f>
        <v/>
      </c>
      <c r="I138" s="120" t="str">
        <f>'3.5'!I18</f>
        <v/>
      </c>
    </row>
    <row r="139" ht="14.25" customHeight="1">
      <c r="A139" s="127" t="str">
        <f>'3.5'!A19</f>
        <v/>
      </c>
      <c r="B139" s="127" t="str">
        <f>'3.5'!B19</f>
        <v/>
      </c>
      <c r="C139" s="127" t="str">
        <f>'3.5'!C19</f>
        <v/>
      </c>
      <c r="D139" s="127" t="str">
        <f>'3.5'!D19</f>
        <v/>
      </c>
      <c r="E139" s="127" t="str">
        <f>'3.5'!E19</f>
        <v/>
      </c>
      <c r="F139" s="126" t="str">
        <f>'3.5'!F19</f>
        <v/>
      </c>
      <c r="G139" s="3" t="str">
        <f>'3.5'!G19</f>
        <v/>
      </c>
      <c r="H139" s="120" t="str">
        <f>'3.5'!H19</f>
        <v/>
      </c>
      <c r="I139" s="120" t="str">
        <f>'3.5'!I19</f>
        <v/>
      </c>
    </row>
    <row r="140" ht="14.25" customHeight="1">
      <c r="A140" s="190" t="str">
        <f>'3.5'!A20</f>
        <v>TOTAL MATERIALES</v>
      </c>
      <c r="B140" s="191" t="str">
        <f>'3.5'!B20</f>
        <v/>
      </c>
      <c r="C140" s="191" t="str">
        <f>'3.5'!C20</f>
        <v/>
      </c>
      <c r="D140" s="191" t="str">
        <f>'3.5'!D20</f>
        <v/>
      </c>
      <c r="E140" s="191" t="str">
        <f>'3.5'!E20</f>
        <v/>
      </c>
      <c r="F140" s="191" t="str">
        <f>'3.5'!F20</f>
        <v/>
      </c>
      <c r="G140" s="177" t="str">
        <f>'3.5'!G20</f>
        <v/>
      </c>
      <c r="H140" s="191" t="str">
        <f>'3.5'!H20</f>
        <v/>
      </c>
      <c r="I140" s="192">
        <f>'3.5'!I20</f>
        <v>12311600</v>
      </c>
    </row>
    <row r="141" ht="14.25" customHeight="1">
      <c r="G141" s="3"/>
    </row>
    <row r="142" ht="14.25" customHeight="1">
      <c r="G142" s="3"/>
    </row>
    <row r="143">
      <c r="A143" s="162">
        <f>'3.6'!A3</f>
        <v>45811</v>
      </c>
      <c r="B143" s="163" t="str">
        <f>'3.6'!B3</f>
        <v>COLOCACION DE BLOQUES INTERTRABADO DE CEMENTO</v>
      </c>
      <c r="C143" s="164"/>
      <c r="D143" s="164"/>
      <c r="E143" s="164"/>
      <c r="F143" s="164"/>
      <c r="G143" s="165" t="str">
        <f>'3.6'!G3</f>
        <v/>
      </c>
      <c r="H143" s="166">
        <f>'3.6'!H3</f>
        <v>1006</v>
      </c>
      <c r="I143" s="167" t="str">
        <f>'3.6'!I3</f>
        <v>m²</v>
      </c>
    </row>
    <row r="144" ht="14.25" customHeight="1">
      <c r="A144" s="127" t="str">
        <f>'3.6'!A4</f>
        <v/>
      </c>
      <c r="B144" s="127" t="str">
        <f>'3.6'!B4</f>
        <v/>
      </c>
      <c r="C144" s="127" t="str">
        <f>'3.6'!C4</f>
        <v/>
      </c>
      <c r="D144" s="127" t="str">
        <f>'3.6'!D4</f>
        <v/>
      </c>
      <c r="E144" s="127" t="str">
        <f>'3.6'!E4</f>
        <v/>
      </c>
      <c r="F144" s="127" t="str">
        <f>'3.6'!F4</f>
        <v/>
      </c>
      <c r="G144" s="3" t="str">
        <f>'3.6'!G4</f>
        <v/>
      </c>
      <c r="H144" s="127" t="str">
        <f>'3.6'!H4</f>
        <v/>
      </c>
      <c r="I144" s="127" t="str">
        <f>'3.6'!I4</f>
        <v/>
      </c>
    </row>
    <row r="145" ht="14.25" customHeight="1">
      <c r="A145" s="168" t="str">
        <f>'3.6'!A5</f>
        <v>MATERIALES</v>
      </c>
      <c r="B145" s="76" t="str">
        <f>'3.6'!B5</f>
        <v/>
      </c>
      <c r="C145" s="76" t="str">
        <f>'3.6'!C5</f>
        <v/>
      </c>
      <c r="D145" s="76" t="str">
        <f>'3.6'!D5</f>
        <v/>
      </c>
      <c r="E145" s="76" t="str">
        <f>'3.6'!E5</f>
        <v/>
      </c>
      <c r="F145" s="76" t="str">
        <f>'3.6'!F5</f>
        <v/>
      </c>
      <c r="G145" s="2" t="str">
        <f>'3.6'!G5</f>
        <v/>
      </c>
      <c r="H145" s="76" t="str">
        <f>'3.6'!H5</f>
        <v/>
      </c>
      <c r="I145" s="76" t="str">
        <f>'3.6'!I5</f>
        <v/>
      </c>
    </row>
    <row r="146" ht="14.25" customHeight="1">
      <c r="A146" s="169" t="str">
        <f>'3.6'!A6</f>
        <v>Código</v>
      </c>
      <c r="B146" s="169" t="str">
        <f>'3.6'!B6</f>
        <v>Descripción</v>
      </c>
      <c r="C146" s="169" t="str">
        <f>'3.6'!C6</f>
        <v>Unidad</v>
      </c>
      <c r="D146" s="170" t="str">
        <f>'3.6'!D6</f>
        <v>Cantidad</v>
      </c>
      <c r="E146" s="164"/>
      <c r="F146" s="169" t="str">
        <f>'3.6'!F6</f>
        <v>Desperdicio</v>
      </c>
      <c r="G146" s="4" t="str">
        <f>'3.6'!G6</f>
        <v>Cantidad + Desperdicio</v>
      </c>
      <c r="H146" s="169" t="str">
        <f>'3.6'!H6</f>
        <v>Precio Unitario</v>
      </c>
      <c r="I146" s="169" t="str">
        <f>'3.6'!I6</f>
        <v>Subtotal</v>
      </c>
    </row>
    <row r="147" ht="14.25" customHeight="1">
      <c r="A147" s="171" t="str">
        <f>'3.6'!A7</f>
        <v>ar</v>
      </c>
      <c r="B147" s="74" t="str">
        <f>'3.6'!B7</f>
        <v>Bolson de Arena (1m3) </v>
      </c>
      <c r="C147" s="74" t="str">
        <f>'3.6'!C7</f>
        <v>m3</v>
      </c>
      <c r="D147" s="172">
        <f>'3.6'!D7</f>
        <v>20.12</v>
      </c>
      <c r="E147" s="171" t="str">
        <f>'3.6'!E7</f>
        <v/>
      </c>
      <c r="F147" s="173">
        <f>'3.6'!F7</f>
        <v>0.1</v>
      </c>
      <c r="G147" s="189">
        <f>'3.6'!G7</f>
        <v>23</v>
      </c>
      <c r="H147" s="120">
        <f>'3.6'!H7</f>
        <v>31040</v>
      </c>
      <c r="I147" s="120">
        <f>'3.6'!I7</f>
        <v>713920</v>
      </c>
    </row>
    <row r="148" ht="14.25" customHeight="1">
      <c r="A148" s="171" t="str">
        <f>'3.6'!A8</f>
        <v>lpint</v>
      </c>
      <c r="B148" s="74" t="str">
        <f>'3.6'!B8</f>
        <v>Pavimento Intertrabado</v>
      </c>
      <c r="C148" s="74" t="str">
        <f>'3.6'!C8</f>
        <v>m2</v>
      </c>
      <c r="D148" s="172">
        <f>'3.6'!D8</f>
        <v>1006</v>
      </c>
      <c r="E148" s="171" t="str">
        <f>'3.6'!E8</f>
        <v/>
      </c>
      <c r="F148" s="173">
        <f>'3.6'!F8</f>
        <v>0.2</v>
      </c>
      <c r="G148" s="189">
        <f>'3.6'!G8</f>
        <v>1208</v>
      </c>
      <c r="H148" s="120">
        <f>'3.6'!H8</f>
        <v>37600</v>
      </c>
      <c r="I148" s="120">
        <f>'3.6'!I8</f>
        <v>45420800</v>
      </c>
    </row>
    <row r="149" ht="14.25" customHeight="1">
      <c r="A149" s="171" t="str">
        <f>'3.6'!A9</f>
        <v>ar</v>
      </c>
      <c r="B149" s="74" t="str">
        <f>'3.6'!B9</f>
        <v>Bolson de Arena (1m3) </v>
      </c>
      <c r="C149" s="74" t="str">
        <f>'3.6'!C9</f>
        <v>m3</v>
      </c>
      <c r="D149" s="172">
        <f>'3.6'!D9</f>
        <v>14.37142857</v>
      </c>
      <c r="E149" s="171" t="str">
        <f>'3.6'!E9</f>
        <v/>
      </c>
      <c r="F149" s="173">
        <f>'3.6'!F9</f>
        <v>0.1</v>
      </c>
      <c r="G149" s="189">
        <f>'3.6'!G9</f>
        <v>16</v>
      </c>
      <c r="H149" s="120">
        <f>'3.6'!H9</f>
        <v>31040</v>
      </c>
      <c r="I149" s="120">
        <f>'3.6'!I9</f>
        <v>496640</v>
      </c>
    </row>
    <row r="150" ht="14.25" customHeight="1">
      <c r="A150" s="171" t="str">
        <f>'3.6'!A10</f>
        <v>cem</v>
      </c>
      <c r="B150" s="74" t="str">
        <f>'3.6'!B10</f>
        <v>Bolsa Cemento "Loma Negra" 50 k (u)</v>
      </c>
      <c r="C150" s="74" t="str">
        <f>'3.6'!C10</f>
        <v>u</v>
      </c>
      <c r="D150" s="172">
        <f>'3.6'!D10</f>
        <v>100.6</v>
      </c>
      <c r="E150" s="171" t="str">
        <f>'3.6'!E10</f>
        <v/>
      </c>
      <c r="F150" s="173">
        <f>'3.6'!F10</f>
        <v>0.1</v>
      </c>
      <c r="G150" s="189">
        <f>'3.6'!G10</f>
        <v>111</v>
      </c>
      <c r="H150" s="120">
        <f>'3.6'!H10</f>
        <v>10675</v>
      </c>
      <c r="I150" s="120">
        <f>'3.6'!I10</f>
        <v>1184925</v>
      </c>
    </row>
    <row r="151" ht="14.25" customHeight="1">
      <c r="A151" s="171" t="str">
        <f>'3.6'!A11</f>
        <v/>
      </c>
      <c r="B151" s="74" t="str">
        <f>'3.6'!B11</f>
        <v/>
      </c>
      <c r="C151" s="74" t="str">
        <f>'3.6'!C11</f>
        <v/>
      </c>
      <c r="D151" s="172" t="str">
        <f>'3.6'!D11</f>
        <v/>
      </c>
      <c r="E151" s="171" t="str">
        <f>'3.6'!E11</f>
        <v/>
      </c>
      <c r="F151" s="173" t="str">
        <f>'3.6'!F11</f>
        <v/>
      </c>
      <c r="G151" s="189">
        <f>'3.6'!G11</f>
        <v>0</v>
      </c>
      <c r="H151" s="120" t="str">
        <f>'3.6'!H11</f>
        <v/>
      </c>
      <c r="I151" s="120">
        <f>'3.6'!I11</f>
        <v>0</v>
      </c>
    </row>
    <row r="152" ht="14.25" customHeight="1">
      <c r="A152" s="171" t="str">
        <f>'3.6'!A12</f>
        <v/>
      </c>
      <c r="B152" s="74" t="str">
        <f>'3.6'!B12</f>
        <v/>
      </c>
      <c r="C152" s="74" t="str">
        <f>'3.6'!C12</f>
        <v/>
      </c>
      <c r="D152" s="171" t="str">
        <f>'3.6'!D12</f>
        <v/>
      </c>
      <c r="E152" s="171" t="str">
        <f>'3.6'!E12</f>
        <v/>
      </c>
      <c r="F152" s="173" t="str">
        <f>'3.6'!F12</f>
        <v/>
      </c>
      <c r="G152" s="189">
        <f>'3.6'!G12</f>
        <v>0</v>
      </c>
      <c r="H152" s="120" t="str">
        <f>'3.6'!H12</f>
        <v/>
      </c>
      <c r="I152" s="120" t="str">
        <f>'3.6'!I12</f>
        <v/>
      </c>
    </row>
    <row r="153" ht="14.25" customHeight="1">
      <c r="A153" s="171" t="str">
        <f>'3.6'!A13</f>
        <v/>
      </c>
      <c r="B153" s="74" t="str">
        <f>'3.6'!B13</f>
        <v/>
      </c>
      <c r="C153" s="74" t="str">
        <f>'3.6'!C13</f>
        <v/>
      </c>
      <c r="D153" s="171" t="str">
        <f>'3.6'!D13</f>
        <v/>
      </c>
      <c r="E153" s="171" t="str">
        <f>'3.6'!E13</f>
        <v/>
      </c>
      <c r="F153" s="173" t="str">
        <f>'3.6'!F13</f>
        <v/>
      </c>
      <c r="G153" s="189">
        <f>'3.6'!G13</f>
        <v>0</v>
      </c>
      <c r="H153" s="120" t="str">
        <f>'3.6'!H13</f>
        <v/>
      </c>
      <c r="I153" s="120" t="str">
        <f>'3.6'!I13</f>
        <v/>
      </c>
    </row>
    <row r="154" ht="14.25" customHeight="1">
      <c r="A154" s="171" t="str">
        <f>'3.6'!A14</f>
        <v/>
      </c>
      <c r="B154" s="74" t="str">
        <f>'3.6'!B14</f>
        <v/>
      </c>
      <c r="C154" s="74" t="str">
        <f>'3.6'!C14</f>
        <v/>
      </c>
      <c r="D154" s="171" t="str">
        <f>'3.6'!D14</f>
        <v/>
      </c>
      <c r="E154" s="171" t="str">
        <f>'3.6'!E14</f>
        <v/>
      </c>
      <c r="F154" s="173" t="str">
        <f>'3.6'!F14</f>
        <v/>
      </c>
      <c r="G154" s="189">
        <f>'3.6'!G14</f>
        <v>0</v>
      </c>
      <c r="H154" s="120" t="str">
        <f>'3.6'!H14</f>
        <v/>
      </c>
      <c r="I154" s="120" t="str">
        <f>'3.6'!I14</f>
        <v/>
      </c>
    </row>
    <row r="155" ht="14.25" customHeight="1">
      <c r="A155" s="171" t="str">
        <f>'3.6'!A15</f>
        <v/>
      </c>
      <c r="B155" s="74" t="str">
        <f>'3.6'!B15</f>
        <v/>
      </c>
      <c r="C155" s="74" t="str">
        <f>'3.6'!C15</f>
        <v/>
      </c>
      <c r="D155" s="171" t="str">
        <f>'3.6'!D15</f>
        <v/>
      </c>
      <c r="E155" s="171" t="str">
        <f>'3.6'!E15</f>
        <v/>
      </c>
      <c r="F155" s="173" t="str">
        <f>'3.6'!F15</f>
        <v/>
      </c>
      <c r="G155" s="189">
        <f>'3.6'!G15</f>
        <v>0</v>
      </c>
      <c r="H155" s="120" t="str">
        <f>'3.6'!H15</f>
        <v/>
      </c>
      <c r="I155" s="120" t="str">
        <f>'3.6'!I15</f>
        <v/>
      </c>
    </row>
    <row r="156" ht="14.25" customHeight="1">
      <c r="A156" s="171" t="str">
        <f>'3.6'!A16</f>
        <v/>
      </c>
      <c r="B156" s="74" t="str">
        <f>'3.6'!B16</f>
        <v/>
      </c>
      <c r="C156" s="74" t="str">
        <f>'3.6'!C16</f>
        <v/>
      </c>
      <c r="D156" s="171" t="str">
        <f>'3.6'!D16</f>
        <v/>
      </c>
      <c r="E156" s="171" t="str">
        <f>'3.6'!E16</f>
        <v/>
      </c>
      <c r="F156" s="173" t="str">
        <f>'3.6'!F16</f>
        <v/>
      </c>
      <c r="G156" s="189">
        <f>'3.6'!G16</f>
        <v>0</v>
      </c>
      <c r="H156" s="120" t="str">
        <f>'3.6'!H16</f>
        <v/>
      </c>
      <c r="I156" s="120" t="str">
        <f>'3.6'!I16</f>
        <v/>
      </c>
    </row>
    <row r="157" ht="14.25" customHeight="1">
      <c r="A157" s="171" t="str">
        <f>'3.6'!A17</f>
        <v/>
      </c>
      <c r="B157" s="74" t="str">
        <f>'3.6'!B17</f>
        <v/>
      </c>
      <c r="C157" s="74" t="str">
        <f>'3.6'!C17</f>
        <v/>
      </c>
      <c r="D157" s="171" t="str">
        <f>'3.6'!D17</f>
        <v/>
      </c>
      <c r="E157" s="171" t="str">
        <f>'3.6'!E17</f>
        <v/>
      </c>
      <c r="F157" s="173" t="str">
        <f>'3.6'!F17</f>
        <v/>
      </c>
      <c r="G157" s="189">
        <f>'3.6'!G17</f>
        <v>0</v>
      </c>
      <c r="H157" s="120" t="str">
        <f>'3.6'!H17</f>
        <v/>
      </c>
      <c r="I157" s="120" t="str">
        <f>'3.6'!I17</f>
        <v/>
      </c>
    </row>
    <row r="158" ht="14.25" customHeight="1">
      <c r="A158" s="171" t="str">
        <f>'3.6'!A18</f>
        <v/>
      </c>
      <c r="B158" s="74" t="str">
        <f>'3.6'!B18</f>
        <v/>
      </c>
      <c r="C158" s="74" t="str">
        <f>'3.6'!C18</f>
        <v/>
      </c>
      <c r="D158" s="171" t="str">
        <f>'3.6'!D18</f>
        <v/>
      </c>
      <c r="E158" s="171" t="str">
        <f>'3.6'!E18</f>
        <v/>
      </c>
      <c r="F158" s="173" t="str">
        <f>'3.6'!F18</f>
        <v/>
      </c>
      <c r="G158" s="189">
        <f>'3.6'!G18</f>
        <v>0</v>
      </c>
      <c r="H158" s="120" t="str">
        <f>'3.6'!H18</f>
        <v/>
      </c>
      <c r="I158" s="120" t="str">
        <f>'3.6'!I18</f>
        <v/>
      </c>
    </row>
    <row r="159" ht="14.25" customHeight="1">
      <c r="A159" s="127" t="str">
        <f>'3.6'!A19</f>
        <v/>
      </c>
      <c r="B159" s="127" t="str">
        <f>'3.6'!B19</f>
        <v/>
      </c>
      <c r="C159" s="127" t="str">
        <f>'3.6'!C19</f>
        <v/>
      </c>
      <c r="D159" s="127" t="str">
        <f>'3.6'!D19</f>
        <v/>
      </c>
      <c r="E159" s="127" t="str">
        <f>'3.6'!E19</f>
        <v/>
      </c>
      <c r="F159" s="126" t="str">
        <f>'3.6'!F19</f>
        <v/>
      </c>
      <c r="G159" s="3" t="str">
        <f>'3.6'!G19</f>
        <v/>
      </c>
      <c r="H159" s="120" t="str">
        <f>'3.6'!H19</f>
        <v/>
      </c>
      <c r="I159" s="120" t="str">
        <f>'3.6'!I19</f>
        <v/>
      </c>
    </row>
    <row r="160" ht="14.25" customHeight="1">
      <c r="A160" s="190" t="str">
        <f>'3.6'!A20</f>
        <v>TOTAL MATERIALES</v>
      </c>
      <c r="B160" s="191" t="str">
        <f>'3.6'!B20</f>
        <v/>
      </c>
      <c r="C160" s="191" t="str">
        <f>'3.6'!C20</f>
        <v/>
      </c>
      <c r="D160" s="191" t="str">
        <f>'3.6'!D20</f>
        <v/>
      </c>
      <c r="E160" s="191" t="str">
        <f>'3.6'!E20</f>
        <v/>
      </c>
      <c r="F160" s="191" t="str">
        <f>'3.6'!F20</f>
        <v/>
      </c>
      <c r="G160" s="177" t="str">
        <f>'3.6'!G20</f>
        <v/>
      </c>
      <c r="H160" s="191" t="str">
        <f>'3.6'!H20</f>
        <v/>
      </c>
      <c r="I160" s="192">
        <f>'3.6'!I20</f>
        <v>47816285</v>
      </c>
    </row>
    <row r="161" ht="14.25" customHeight="1">
      <c r="G161" s="3"/>
    </row>
    <row r="162" ht="14.25" customHeight="1">
      <c r="G162" s="3"/>
    </row>
    <row r="163">
      <c r="A163" s="162">
        <f>'3.7'!A3</f>
        <v>45841</v>
      </c>
      <c r="B163" s="163" t="str">
        <f>'3.7'!B3</f>
        <v>COLOCACION DE PISO DECK DE CEMENTO</v>
      </c>
      <c r="C163" s="164"/>
      <c r="D163" s="164"/>
      <c r="E163" s="164"/>
      <c r="F163" s="164"/>
      <c r="G163" s="165" t="str">
        <f>'3.7'!G3</f>
        <v/>
      </c>
      <c r="H163" s="166">
        <f>'3.7'!H3</f>
        <v>27.3</v>
      </c>
      <c r="I163" s="167" t="str">
        <f>'3.7'!I3</f>
        <v>m²</v>
      </c>
    </row>
    <row r="164" ht="14.25" customHeight="1">
      <c r="A164" s="127" t="str">
        <f>'3.7'!A4</f>
        <v/>
      </c>
      <c r="B164" s="127" t="str">
        <f>'3.7'!B4</f>
        <v/>
      </c>
      <c r="C164" s="127" t="str">
        <f>'3.7'!C4</f>
        <v/>
      </c>
      <c r="D164" s="127" t="str">
        <f>'3.7'!D4</f>
        <v/>
      </c>
      <c r="E164" s="127" t="str">
        <f>'3.7'!E4</f>
        <v/>
      </c>
      <c r="F164" s="127" t="str">
        <f>'3.7'!F4</f>
        <v/>
      </c>
      <c r="G164" s="3" t="str">
        <f>'3.7'!G4</f>
        <v/>
      </c>
      <c r="H164" s="127" t="str">
        <f>'3.7'!H4</f>
        <v/>
      </c>
      <c r="I164" s="127" t="str">
        <f>'3.7'!I4</f>
        <v/>
      </c>
    </row>
    <row r="165" ht="14.25" customHeight="1">
      <c r="A165" s="168" t="str">
        <f>'3.7'!A5</f>
        <v>MATERIALES</v>
      </c>
      <c r="B165" s="76" t="str">
        <f>'3.7'!B5</f>
        <v/>
      </c>
      <c r="C165" s="76" t="str">
        <f>'3.7'!C5</f>
        <v/>
      </c>
      <c r="D165" s="76" t="str">
        <f>'3.7'!D5</f>
        <v/>
      </c>
      <c r="E165" s="76" t="str">
        <f>'3.7'!E5</f>
        <v/>
      </c>
      <c r="F165" s="76" t="str">
        <f>'3.7'!F5</f>
        <v/>
      </c>
      <c r="G165" s="2" t="str">
        <f>'3.7'!G5</f>
        <v/>
      </c>
      <c r="H165" s="76" t="str">
        <f>'3.7'!H5</f>
        <v/>
      </c>
      <c r="I165" s="76" t="str">
        <f>'3.7'!I5</f>
        <v/>
      </c>
    </row>
    <row r="166" ht="14.25" customHeight="1">
      <c r="A166" s="169" t="str">
        <f>'3.7'!A6</f>
        <v>Código</v>
      </c>
      <c r="B166" s="169" t="str">
        <f>'3.7'!B6</f>
        <v>Descripción</v>
      </c>
      <c r="C166" s="169" t="str">
        <f>'3.7'!C6</f>
        <v>Unidad</v>
      </c>
      <c r="D166" s="170" t="str">
        <f>'3.7'!D6</f>
        <v>Cantidad</v>
      </c>
      <c r="E166" s="164"/>
      <c r="F166" s="169" t="str">
        <f>'3.7'!F6</f>
        <v>Desperdicio</v>
      </c>
      <c r="G166" s="4" t="str">
        <f>'3.7'!G6</f>
        <v>Cantidad + Desperdicio</v>
      </c>
      <c r="H166" s="169" t="str">
        <f>'3.7'!H6</f>
        <v>Precio Unitario</v>
      </c>
      <c r="I166" s="169" t="str">
        <f>'3.7'!I6</f>
        <v>Subtotal</v>
      </c>
    </row>
    <row r="167" ht="14.25" customHeight="1">
      <c r="A167" s="171" t="str">
        <f>'3.7'!A7</f>
        <v>LDC</v>
      </c>
      <c r="B167" s="74" t="str">
        <f>'3.7'!B7</f>
        <v>Deck Liston Hormigon Cemento Piso Durmiente 100 X 12 Cms (1m2)</v>
      </c>
      <c r="C167" s="74" t="str">
        <f>'3.7'!C7</f>
        <v/>
      </c>
      <c r="D167" s="172">
        <f>'3.7'!D7</f>
        <v>27.3</v>
      </c>
      <c r="E167" s="171" t="str">
        <f>'3.7'!E7</f>
        <v/>
      </c>
      <c r="F167" s="173">
        <f>'3.7'!F7</f>
        <v>0.15</v>
      </c>
      <c r="G167" s="189">
        <f>'3.7'!G7</f>
        <v>32</v>
      </c>
      <c r="H167" s="120">
        <f>'3.7'!H7</f>
        <v>41000</v>
      </c>
      <c r="I167" s="120">
        <f>'3.7'!I7</f>
        <v>1312000</v>
      </c>
    </row>
    <row r="168" ht="14.25" customHeight="1">
      <c r="A168" s="171" t="str">
        <f>'3.7'!A8</f>
        <v/>
      </c>
      <c r="B168" s="74" t="str">
        <f>'3.7'!B8</f>
        <v/>
      </c>
      <c r="C168" s="74" t="str">
        <f>'3.7'!C8</f>
        <v/>
      </c>
      <c r="D168" s="171" t="str">
        <f>'3.7'!D8</f>
        <v/>
      </c>
      <c r="E168" s="171" t="str">
        <f>'3.7'!E8</f>
        <v/>
      </c>
      <c r="F168" s="173" t="str">
        <f>'3.7'!F8</f>
        <v/>
      </c>
      <c r="G168" s="189">
        <f>'3.7'!G8</f>
        <v>0</v>
      </c>
      <c r="H168" s="120" t="str">
        <f>'3.7'!H8</f>
        <v/>
      </c>
      <c r="I168" s="120">
        <f>'3.7'!I8</f>
        <v>0</v>
      </c>
    </row>
    <row r="169" ht="14.25" customHeight="1">
      <c r="A169" s="171" t="str">
        <f>'3.7'!A9</f>
        <v/>
      </c>
      <c r="B169" s="74" t="str">
        <f>'3.7'!B9</f>
        <v/>
      </c>
      <c r="C169" s="74" t="str">
        <f>'3.7'!C9</f>
        <v/>
      </c>
      <c r="D169" s="171" t="str">
        <f>'3.7'!D9</f>
        <v/>
      </c>
      <c r="E169" s="171" t="str">
        <f>'3.7'!E9</f>
        <v/>
      </c>
      <c r="F169" s="173" t="str">
        <f>'3.7'!F9</f>
        <v/>
      </c>
      <c r="G169" s="189">
        <f>'3.7'!G9</f>
        <v>0</v>
      </c>
      <c r="H169" s="120" t="str">
        <f>'3.7'!H9</f>
        <v/>
      </c>
      <c r="I169" s="120" t="str">
        <f>'3.7'!I9</f>
        <v/>
      </c>
    </row>
    <row r="170" ht="14.25" customHeight="1">
      <c r="A170" s="171" t="str">
        <f>'3.7'!A10</f>
        <v/>
      </c>
      <c r="B170" s="74" t="str">
        <f>'3.7'!B10</f>
        <v/>
      </c>
      <c r="C170" s="74" t="str">
        <f>'3.7'!C10</f>
        <v/>
      </c>
      <c r="D170" s="171" t="str">
        <f>'3.7'!D10</f>
        <v/>
      </c>
      <c r="E170" s="171" t="str">
        <f>'3.7'!E10</f>
        <v/>
      </c>
      <c r="F170" s="173" t="str">
        <f>'3.7'!F10</f>
        <v/>
      </c>
      <c r="G170" s="189">
        <f>'3.7'!G10</f>
        <v>0</v>
      </c>
      <c r="H170" s="120" t="str">
        <f>'3.7'!H10</f>
        <v/>
      </c>
      <c r="I170" s="120" t="str">
        <f>'3.7'!I10</f>
        <v/>
      </c>
    </row>
    <row r="171" ht="14.25" customHeight="1">
      <c r="A171" s="171" t="str">
        <f>'3.7'!A11</f>
        <v/>
      </c>
      <c r="B171" s="74" t="str">
        <f>'3.7'!B11</f>
        <v/>
      </c>
      <c r="C171" s="74" t="str">
        <f>'3.7'!C11</f>
        <v/>
      </c>
      <c r="D171" s="171" t="str">
        <f>'3.7'!D11</f>
        <v/>
      </c>
      <c r="E171" s="171" t="str">
        <f>'3.7'!E11</f>
        <v/>
      </c>
      <c r="F171" s="173" t="str">
        <f>'3.7'!F11</f>
        <v/>
      </c>
      <c r="G171" s="189">
        <f>'3.7'!G11</f>
        <v>0</v>
      </c>
      <c r="H171" s="120" t="str">
        <f>'3.7'!H11</f>
        <v/>
      </c>
      <c r="I171" s="120" t="str">
        <f>'3.7'!I11</f>
        <v/>
      </c>
    </row>
    <row r="172" ht="14.25" customHeight="1">
      <c r="A172" s="171" t="str">
        <f>'3.7'!A12</f>
        <v/>
      </c>
      <c r="B172" s="74" t="str">
        <f>'3.7'!B12</f>
        <v/>
      </c>
      <c r="C172" s="74" t="str">
        <f>'3.7'!C12</f>
        <v/>
      </c>
      <c r="D172" s="171" t="str">
        <f>'3.7'!D12</f>
        <v/>
      </c>
      <c r="E172" s="171" t="str">
        <f>'3.7'!E12</f>
        <v/>
      </c>
      <c r="F172" s="173" t="str">
        <f>'3.7'!F12</f>
        <v/>
      </c>
      <c r="G172" s="189">
        <f>'3.7'!G12</f>
        <v>0</v>
      </c>
      <c r="H172" s="120" t="str">
        <f>'3.7'!H12</f>
        <v/>
      </c>
      <c r="I172" s="120" t="str">
        <f>'3.7'!I12</f>
        <v/>
      </c>
    </row>
    <row r="173" ht="14.25" customHeight="1">
      <c r="A173" s="171" t="str">
        <f>'3.7'!A13</f>
        <v/>
      </c>
      <c r="B173" s="74" t="str">
        <f>'3.7'!B13</f>
        <v/>
      </c>
      <c r="C173" s="74" t="str">
        <f>'3.7'!C13</f>
        <v/>
      </c>
      <c r="D173" s="171" t="str">
        <f>'3.7'!D13</f>
        <v/>
      </c>
      <c r="E173" s="171" t="str">
        <f>'3.7'!E13</f>
        <v/>
      </c>
      <c r="F173" s="173" t="str">
        <f>'3.7'!F13</f>
        <v/>
      </c>
      <c r="G173" s="189">
        <f>'3.7'!G13</f>
        <v>0</v>
      </c>
      <c r="H173" s="120" t="str">
        <f>'3.7'!H13</f>
        <v/>
      </c>
      <c r="I173" s="120" t="str">
        <f>'3.7'!I13</f>
        <v/>
      </c>
    </row>
    <row r="174" ht="14.25" customHeight="1">
      <c r="A174" s="171" t="str">
        <f>'3.7'!A14</f>
        <v/>
      </c>
      <c r="B174" s="74" t="str">
        <f>'3.7'!B14</f>
        <v/>
      </c>
      <c r="C174" s="74" t="str">
        <f>'3.7'!C14</f>
        <v/>
      </c>
      <c r="D174" s="171" t="str">
        <f>'3.7'!D14</f>
        <v/>
      </c>
      <c r="E174" s="171" t="str">
        <f>'3.7'!E14</f>
        <v/>
      </c>
      <c r="F174" s="173" t="str">
        <f>'3.7'!F14</f>
        <v/>
      </c>
      <c r="G174" s="189">
        <f>'3.7'!G14</f>
        <v>0</v>
      </c>
      <c r="H174" s="120" t="str">
        <f>'3.7'!H14</f>
        <v/>
      </c>
      <c r="I174" s="120" t="str">
        <f>'3.7'!I14</f>
        <v/>
      </c>
    </row>
    <row r="175" ht="14.25" customHeight="1">
      <c r="A175" s="171" t="str">
        <f>'3.7'!A15</f>
        <v/>
      </c>
      <c r="B175" s="74" t="str">
        <f>'3.7'!B15</f>
        <v/>
      </c>
      <c r="C175" s="74" t="str">
        <f>'3.7'!C15</f>
        <v/>
      </c>
      <c r="D175" s="171" t="str">
        <f>'3.7'!D15</f>
        <v/>
      </c>
      <c r="E175" s="171" t="str">
        <f>'3.7'!E15</f>
        <v/>
      </c>
      <c r="F175" s="173" t="str">
        <f>'3.7'!F15</f>
        <v/>
      </c>
      <c r="G175" s="189">
        <f>'3.7'!G15</f>
        <v>0</v>
      </c>
      <c r="H175" s="120" t="str">
        <f>'3.7'!H15</f>
        <v/>
      </c>
      <c r="I175" s="120" t="str">
        <f>'3.7'!I15</f>
        <v/>
      </c>
    </row>
    <row r="176" ht="14.25" customHeight="1">
      <c r="A176" s="171" t="str">
        <f>'3.7'!A16</f>
        <v/>
      </c>
      <c r="B176" s="74" t="str">
        <f>'3.7'!B16</f>
        <v/>
      </c>
      <c r="C176" s="74" t="str">
        <f>'3.7'!C16</f>
        <v/>
      </c>
      <c r="D176" s="171" t="str">
        <f>'3.7'!D16</f>
        <v/>
      </c>
      <c r="E176" s="171" t="str">
        <f>'3.7'!E16</f>
        <v/>
      </c>
      <c r="F176" s="173" t="str">
        <f>'3.7'!F16</f>
        <v/>
      </c>
      <c r="G176" s="189">
        <f>'3.7'!G16</f>
        <v>0</v>
      </c>
      <c r="H176" s="120" t="str">
        <f>'3.7'!H16</f>
        <v/>
      </c>
      <c r="I176" s="120" t="str">
        <f>'3.7'!I16</f>
        <v/>
      </c>
    </row>
    <row r="177" ht="14.25" customHeight="1">
      <c r="A177" s="171" t="str">
        <f>'3.7'!A17</f>
        <v/>
      </c>
      <c r="B177" s="74" t="str">
        <f>'3.7'!B17</f>
        <v/>
      </c>
      <c r="C177" s="74" t="str">
        <f>'3.7'!C17</f>
        <v/>
      </c>
      <c r="D177" s="171" t="str">
        <f>'3.7'!D17</f>
        <v/>
      </c>
      <c r="E177" s="171" t="str">
        <f>'3.7'!E17</f>
        <v/>
      </c>
      <c r="F177" s="173" t="str">
        <f>'3.7'!F17</f>
        <v/>
      </c>
      <c r="G177" s="189">
        <f>'3.7'!G17</f>
        <v>0</v>
      </c>
      <c r="H177" s="120" t="str">
        <f>'3.7'!H17</f>
        <v/>
      </c>
      <c r="I177" s="120" t="str">
        <f>'3.7'!I17</f>
        <v/>
      </c>
    </row>
    <row r="178" ht="14.25" customHeight="1">
      <c r="A178" s="171" t="str">
        <f>'3.7'!A18</f>
        <v/>
      </c>
      <c r="B178" s="74" t="str">
        <f>'3.7'!B18</f>
        <v/>
      </c>
      <c r="C178" s="74" t="str">
        <f>'3.7'!C18</f>
        <v/>
      </c>
      <c r="D178" s="171" t="str">
        <f>'3.7'!D18</f>
        <v/>
      </c>
      <c r="E178" s="171" t="str">
        <f>'3.7'!E18</f>
        <v/>
      </c>
      <c r="F178" s="173" t="str">
        <f>'3.7'!F18</f>
        <v/>
      </c>
      <c r="G178" s="189">
        <f>'3.7'!G18</f>
        <v>0</v>
      </c>
      <c r="H178" s="120" t="str">
        <f>'3.7'!H18</f>
        <v/>
      </c>
      <c r="I178" s="120" t="str">
        <f>'3.7'!I18</f>
        <v/>
      </c>
    </row>
    <row r="179" ht="14.25" customHeight="1">
      <c r="A179" s="127" t="str">
        <f>'3.7'!A19</f>
        <v/>
      </c>
      <c r="B179" s="127" t="str">
        <f>'3.7'!B19</f>
        <v/>
      </c>
      <c r="C179" s="127" t="str">
        <f>'3.7'!C19</f>
        <v/>
      </c>
      <c r="D179" s="127" t="str">
        <f>'3.7'!D19</f>
        <v/>
      </c>
      <c r="E179" s="127" t="str">
        <f>'3.7'!E19</f>
        <v/>
      </c>
      <c r="F179" s="126" t="str">
        <f>'3.7'!F19</f>
        <v/>
      </c>
      <c r="G179" s="3" t="str">
        <f>'3.7'!G19</f>
        <v/>
      </c>
      <c r="H179" s="120" t="str">
        <f>'3.7'!H19</f>
        <v/>
      </c>
      <c r="I179" s="120" t="str">
        <f>'3.7'!I19</f>
        <v/>
      </c>
    </row>
    <row r="180" ht="14.25" customHeight="1">
      <c r="A180" s="190" t="str">
        <f>'3.7'!A20</f>
        <v>TOTAL MATERIALES</v>
      </c>
      <c r="B180" s="191" t="str">
        <f>'3.7'!B20</f>
        <v/>
      </c>
      <c r="C180" s="191" t="str">
        <f>'3.7'!C20</f>
        <v/>
      </c>
      <c r="D180" s="191" t="str">
        <f>'3.7'!D20</f>
        <v/>
      </c>
      <c r="E180" s="191" t="str">
        <f>'3.7'!E20</f>
        <v/>
      </c>
      <c r="F180" s="191" t="str">
        <f>'3.7'!F20</f>
        <v/>
      </c>
      <c r="G180" s="177" t="str">
        <f>'3.7'!G20</f>
        <v/>
      </c>
      <c r="H180" s="191" t="str">
        <f>'3.7'!H20</f>
        <v/>
      </c>
      <c r="I180" s="192">
        <f>'3.7'!I20</f>
        <v>1312000</v>
      </c>
    </row>
    <row r="181" ht="14.25" customHeight="1">
      <c r="G181" s="3"/>
    </row>
    <row r="182" ht="14.25" customHeight="1">
      <c r="G182" s="3"/>
    </row>
    <row r="183">
      <c r="A183" s="162">
        <f>'4.2'!A3</f>
        <v>45692</v>
      </c>
      <c r="B183" s="163" t="str">
        <f>'4.2'!B3</f>
        <v>INSTALACION DE CANILLAS DE SERVICIO (no incluye materiales ni mano de caños)</v>
      </c>
      <c r="C183" s="164"/>
      <c r="D183" s="164"/>
      <c r="E183" s="164"/>
      <c r="F183" s="164"/>
      <c r="G183" s="165" t="str">
        <f>'4.2'!G3</f>
        <v/>
      </c>
      <c r="H183" s="166">
        <f>'4.2'!H3</f>
        <v>4</v>
      </c>
      <c r="I183" s="167" t="str">
        <f>'4.2'!I3</f>
        <v>unid</v>
      </c>
    </row>
    <row r="184" ht="14.25" customHeight="1">
      <c r="A184" s="127" t="str">
        <f>'4.2'!A4</f>
        <v/>
      </c>
      <c r="B184" s="127" t="str">
        <f>'4.2'!B4</f>
        <v/>
      </c>
      <c r="C184" s="127" t="str">
        <f>'4.2'!C4</f>
        <v/>
      </c>
      <c r="D184" s="127" t="str">
        <f>'4.2'!D4</f>
        <v/>
      </c>
      <c r="E184" s="127" t="str">
        <f>'4.2'!E4</f>
        <v/>
      </c>
      <c r="F184" s="127" t="str">
        <f>'4.2'!F4</f>
        <v/>
      </c>
      <c r="G184" s="3" t="str">
        <f>'4.2'!G4</f>
        <v/>
      </c>
      <c r="H184" s="127" t="str">
        <f>'4.2'!H4</f>
        <v/>
      </c>
      <c r="I184" s="127" t="str">
        <f>'4.2'!I4</f>
        <v/>
      </c>
    </row>
    <row r="185" ht="14.25" customHeight="1">
      <c r="A185" s="168" t="str">
        <f>'4.2'!A5</f>
        <v>MATERIALES</v>
      </c>
      <c r="B185" s="76" t="str">
        <f>'4.2'!B5</f>
        <v/>
      </c>
      <c r="C185" s="76" t="str">
        <f>'4.2'!C5</f>
        <v/>
      </c>
      <c r="D185" s="76" t="str">
        <f>'4.2'!D5</f>
        <v/>
      </c>
      <c r="E185" s="76" t="str">
        <f>'4.2'!E5</f>
        <v/>
      </c>
      <c r="F185" s="76" t="str">
        <f>'4.2'!F5</f>
        <v/>
      </c>
      <c r="G185" s="2" t="str">
        <f>'4.2'!G5</f>
        <v/>
      </c>
      <c r="H185" s="76" t="str">
        <f>'4.2'!H5</f>
        <v/>
      </c>
      <c r="I185" s="76" t="str">
        <f>'4.2'!I5</f>
        <v/>
      </c>
    </row>
    <row r="186" ht="14.25" customHeight="1">
      <c r="A186" s="169" t="str">
        <f>'4.2'!A6</f>
        <v>Código</v>
      </c>
      <c r="B186" s="169" t="str">
        <f>'4.2'!B6</f>
        <v>Descripción</v>
      </c>
      <c r="C186" s="169" t="str">
        <f>'4.2'!C6</f>
        <v>Unidad</v>
      </c>
      <c r="D186" s="170" t="str">
        <f>'4.2'!D6</f>
        <v>Cantidad</v>
      </c>
      <c r="E186" s="164"/>
      <c r="F186" s="169" t="str">
        <f>'4.2'!F6</f>
        <v>Desperdicio</v>
      </c>
      <c r="G186" s="4" t="str">
        <f>'4.2'!G6</f>
        <v>Cantidad + Desperdicio</v>
      </c>
      <c r="H186" s="169" t="str">
        <f>'4.2'!H6</f>
        <v>Precio Unitario</v>
      </c>
      <c r="I186" s="169" t="str">
        <f>'4.2'!I6</f>
        <v>Subtotal</v>
      </c>
    </row>
    <row r="187" ht="14.25" customHeight="1">
      <c r="A187" s="171" t="str">
        <f>'4.2'!A7</f>
        <v>GRIF-CS</v>
      </c>
      <c r="B187" s="74" t="str">
        <f>'4.2'!B7</f>
        <v>Griferia CANILLA DE SERVICIO</v>
      </c>
      <c r="C187" s="74" t="str">
        <f>'4.2'!C7</f>
        <v>u</v>
      </c>
      <c r="D187" s="172">
        <f>'4.2'!D7</f>
        <v>4</v>
      </c>
      <c r="E187" s="171" t="str">
        <f>'4.2'!E7</f>
        <v/>
      </c>
      <c r="F187" s="173">
        <f>'4.2'!F7</f>
        <v>0.5</v>
      </c>
      <c r="G187" s="189">
        <f>'4.2'!G7</f>
        <v>6</v>
      </c>
      <c r="H187" s="120">
        <f>'4.2'!H7</f>
        <v>10000</v>
      </c>
      <c r="I187" s="120">
        <f>'4.2'!I7</f>
        <v>60000</v>
      </c>
    </row>
    <row r="188" ht="14.25" customHeight="1">
      <c r="A188" s="171" t="str">
        <f>'4.2'!A8</f>
        <v/>
      </c>
      <c r="B188" s="74" t="str">
        <f>'4.2'!B8</f>
        <v/>
      </c>
      <c r="C188" s="74" t="str">
        <f>'4.2'!C8</f>
        <v/>
      </c>
      <c r="D188" s="171" t="str">
        <f>'4.2'!D8</f>
        <v/>
      </c>
      <c r="E188" s="171" t="str">
        <f>'4.2'!E8</f>
        <v/>
      </c>
      <c r="F188" s="173" t="str">
        <f>'4.2'!F8</f>
        <v/>
      </c>
      <c r="G188" s="189">
        <f>'4.2'!G8</f>
        <v>0</v>
      </c>
      <c r="H188" s="120" t="str">
        <f>'4.2'!H8</f>
        <v/>
      </c>
      <c r="I188" s="120">
        <f>'4.2'!I8</f>
        <v>0</v>
      </c>
    </row>
    <row r="189" ht="14.25" customHeight="1">
      <c r="A189" s="171" t="str">
        <f>'4.2'!A9</f>
        <v/>
      </c>
      <c r="B189" s="74" t="str">
        <f>'4.2'!B9</f>
        <v/>
      </c>
      <c r="C189" s="74" t="str">
        <f>'4.2'!C9</f>
        <v/>
      </c>
      <c r="D189" s="171" t="str">
        <f>'4.2'!D9</f>
        <v/>
      </c>
      <c r="E189" s="171" t="str">
        <f>'4.2'!E9</f>
        <v/>
      </c>
      <c r="F189" s="173" t="str">
        <f>'4.2'!F9</f>
        <v/>
      </c>
      <c r="G189" s="189">
        <f>'4.2'!G9</f>
        <v>0</v>
      </c>
      <c r="H189" s="120" t="str">
        <f>'4.2'!H9</f>
        <v/>
      </c>
      <c r="I189" s="120" t="str">
        <f>'4.2'!I9</f>
        <v/>
      </c>
    </row>
    <row r="190" ht="14.25" customHeight="1">
      <c r="A190" s="171" t="str">
        <f>'4.2'!A10</f>
        <v/>
      </c>
      <c r="B190" s="74" t="str">
        <f>'4.2'!B10</f>
        <v/>
      </c>
      <c r="C190" s="74" t="str">
        <f>'4.2'!C10</f>
        <v/>
      </c>
      <c r="D190" s="171" t="str">
        <f>'4.2'!D10</f>
        <v/>
      </c>
      <c r="E190" s="171" t="str">
        <f>'4.2'!E10</f>
        <v/>
      </c>
      <c r="F190" s="173" t="str">
        <f>'4.2'!F10</f>
        <v/>
      </c>
      <c r="G190" s="189">
        <f>'4.2'!G10</f>
        <v>0</v>
      </c>
      <c r="H190" s="120" t="str">
        <f>'4.2'!H10</f>
        <v/>
      </c>
      <c r="I190" s="120" t="str">
        <f>'4.2'!I10</f>
        <v/>
      </c>
    </row>
    <row r="191" ht="14.25" customHeight="1">
      <c r="A191" s="171" t="str">
        <f>'4.2'!A11</f>
        <v/>
      </c>
      <c r="B191" s="74" t="str">
        <f>'4.2'!B11</f>
        <v/>
      </c>
      <c r="C191" s="74" t="str">
        <f>'4.2'!C11</f>
        <v/>
      </c>
      <c r="D191" s="171" t="str">
        <f>'4.2'!D11</f>
        <v/>
      </c>
      <c r="E191" s="171" t="str">
        <f>'4.2'!E11</f>
        <v/>
      </c>
      <c r="F191" s="173" t="str">
        <f>'4.2'!F11</f>
        <v/>
      </c>
      <c r="G191" s="189">
        <f>'4.2'!G11</f>
        <v>0</v>
      </c>
      <c r="H191" s="120" t="str">
        <f>'4.2'!H11</f>
        <v/>
      </c>
      <c r="I191" s="120" t="str">
        <f>'4.2'!I11</f>
        <v/>
      </c>
    </row>
    <row r="192" ht="14.25" customHeight="1">
      <c r="A192" s="171" t="str">
        <f>'4.2'!A12</f>
        <v/>
      </c>
      <c r="B192" s="74" t="str">
        <f>'4.2'!B12</f>
        <v/>
      </c>
      <c r="C192" s="74" t="str">
        <f>'4.2'!C12</f>
        <v/>
      </c>
      <c r="D192" s="171" t="str">
        <f>'4.2'!D12</f>
        <v/>
      </c>
      <c r="E192" s="171" t="str">
        <f>'4.2'!E12</f>
        <v/>
      </c>
      <c r="F192" s="173" t="str">
        <f>'4.2'!F12</f>
        <v/>
      </c>
      <c r="G192" s="189">
        <f>'4.2'!G12</f>
        <v>0</v>
      </c>
      <c r="H192" s="120" t="str">
        <f>'4.2'!H12</f>
        <v/>
      </c>
      <c r="I192" s="120" t="str">
        <f>'4.2'!I12</f>
        <v/>
      </c>
    </row>
    <row r="193" ht="14.25" customHeight="1">
      <c r="A193" s="171" t="str">
        <f>'4.2'!A13</f>
        <v/>
      </c>
      <c r="B193" s="74" t="str">
        <f>'4.2'!B13</f>
        <v/>
      </c>
      <c r="C193" s="74" t="str">
        <f>'4.2'!C13</f>
        <v/>
      </c>
      <c r="D193" s="171" t="str">
        <f>'4.2'!D13</f>
        <v/>
      </c>
      <c r="E193" s="171" t="str">
        <f>'4.2'!E13</f>
        <v/>
      </c>
      <c r="F193" s="173" t="str">
        <f>'4.2'!F13</f>
        <v/>
      </c>
      <c r="G193" s="189">
        <f>'4.2'!G13</f>
        <v>0</v>
      </c>
      <c r="H193" s="120" t="str">
        <f>'4.2'!H13</f>
        <v/>
      </c>
      <c r="I193" s="120" t="str">
        <f>'4.2'!I13</f>
        <v/>
      </c>
    </row>
    <row r="194" ht="14.25" customHeight="1">
      <c r="A194" s="171" t="str">
        <f>'4.2'!A14</f>
        <v/>
      </c>
      <c r="B194" s="74" t="str">
        <f>'4.2'!B14</f>
        <v/>
      </c>
      <c r="C194" s="74" t="str">
        <f>'4.2'!C14</f>
        <v/>
      </c>
      <c r="D194" s="171" t="str">
        <f>'4.2'!D14</f>
        <v/>
      </c>
      <c r="E194" s="171" t="str">
        <f>'4.2'!E14</f>
        <v/>
      </c>
      <c r="F194" s="173" t="str">
        <f>'4.2'!F14</f>
        <v/>
      </c>
      <c r="G194" s="189">
        <f>'4.2'!G14</f>
        <v>0</v>
      </c>
      <c r="H194" s="120" t="str">
        <f>'4.2'!H14</f>
        <v/>
      </c>
      <c r="I194" s="120" t="str">
        <f>'4.2'!I14</f>
        <v/>
      </c>
    </row>
    <row r="195" ht="14.25" customHeight="1">
      <c r="A195" s="171" t="str">
        <f>'4.2'!A15</f>
        <v/>
      </c>
      <c r="B195" s="74" t="str">
        <f>'4.2'!B15</f>
        <v/>
      </c>
      <c r="C195" s="74" t="str">
        <f>'4.2'!C15</f>
        <v/>
      </c>
      <c r="D195" s="171" t="str">
        <f>'4.2'!D15</f>
        <v/>
      </c>
      <c r="E195" s="171" t="str">
        <f>'4.2'!E15</f>
        <v/>
      </c>
      <c r="F195" s="173" t="str">
        <f>'4.2'!F15</f>
        <v/>
      </c>
      <c r="G195" s="189">
        <f>'4.2'!G15</f>
        <v>0</v>
      </c>
      <c r="H195" s="120" t="str">
        <f>'4.2'!H15</f>
        <v/>
      </c>
      <c r="I195" s="120" t="str">
        <f>'4.2'!I15</f>
        <v/>
      </c>
    </row>
    <row r="196" ht="14.25" customHeight="1">
      <c r="A196" s="171" t="str">
        <f>'4.2'!A16</f>
        <v/>
      </c>
      <c r="B196" s="74" t="str">
        <f>'4.2'!B16</f>
        <v/>
      </c>
      <c r="C196" s="74" t="str">
        <f>'4.2'!C16</f>
        <v/>
      </c>
      <c r="D196" s="171" t="str">
        <f>'4.2'!D16</f>
        <v/>
      </c>
      <c r="E196" s="171" t="str">
        <f>'4.2'!E16</f>
        <v/>
      </c>
      <c r="F196" s="173" t="str">
        <f>'4.2'!F16</f>
        <v/>
      </c>
      <c r="G196" s="189">
        <f>'4.2'!G16</f>
        <v>0</v>
      </c>
      <c r="H196" s="120" t="str">
        <f>'4.2'!H16</f>
        <v/>
      </c>
      <c r="I196" s="120" t="str">
        <f>'4.2'!I16</f>
        <v/>
      </c>
    </row>
    <row r="197" ht="14.25" customHeight="1">
      <c r="A197" s="171" t="str">
        <f>'4.2'!A17</f>
        <v/>
      </c>
      <c r="B197" s="74" t="str">
        <f>'4.2'!B17</f>
        <v/>
      </c>
      <c r="C197" s="74" t="str">
        <f>'4.2'!C17</f>
        <v/>
      </c>
      <c r="D197" s="171" t="str">
        <f>'4.2'!D17</f>
        <v/>
      </c>
      <c r="E197" s="171" t="str">
        <f>'4.2'!E17</f>
        <v/>
      </c>
      <c r="F197" s="173" t="str">
        <f>'4.2'!F17</f>
        <v/>
      </c>
      <c r="G197" s="189">
        <f>'4.2'!G17</f>
        <v>0</v>
      </c>
      <c r="H197" s="120" t="str">
        <f>'4.2'!H17</f>
        <v/>
      </c>
      <c r="I197" s="120" t="str">
        <f>'4.2'!I17</f>
        <v/>
      </c>
    </row>
    <row r="198" ht="14.25" customHeight="1">
      <c r="A198" s="171" t="str">
        <f>'4.2'!A18</f>
        <v/>
      </c>
      <c r="B198" s="74" t="str">
        <f>'4.2'!B18</f>
        <v/>
      </c>
      <c r="C198" s="74" t="str">
        <f>'4.2'!C18</f>
        <v/>
      </c>
      <c r="D198" s="171" t="str">
        <f>'4.2'!D18</f>
        <v/>
      </c>
      <c r="E198" s="171" t="str">
        <f>'4.2'!E18</f>
        <v/>
      </c>
      <c r="F198" s="173" t="str">
        <f>'4.2'!F18</f>
        <v/>
      </c>
      <c r="G198" s="189">
        <f>'4.2'!G18</f>
        <v>0</v>
      </c>
      <c r="H198" s="120" t="str">
        <f>'4.2'!H18</f>
        <v/>
      </c>
      <c r="I198" s="120" t="str">
        <f>'4.2'!I18</f>
        <v/>
      </c>
    </row>
    <row r="199" ht="14.25" customHeight="1">
      <c r="A199" s="127" t="str">
        <f>'4.2'!A19</f>
        <v/>
      </c>
      <c r="B199" s="127" t="str">
        <f>'4.2'!B19</f>
        <v/>
      </c>
      <c r="C199" s="127" t="str">
        <f>'4.2'!C19</f>
        <v/>
      </c>
      <c r="D199" s="127" t="str">
        <f>'4.2'!D19</f>
        <v/>
      </c>
      <c r="E199" s="127" t="str">
        <f>'4.2'!E19</f>
        <v/>
      </c>
      <c r="F199" s="126" t="str">
        <f>'4.2'!F19</f>
        <v/>
      </c>
      <c r="G199" s="3" t="str">
        <f>'4.2'!G19</f>
        <v/>
      </c>
      <c r="H199" s="120" t="str">
        <f>'4.2'!H19</f>
        <v/>
      </c>
      <c r="I199" s="120" t="str">
        <f>'4.2'!I19</f>
        <v/>
      </c>
    </row>
    <row r="200" ht="14.25" customHeight="1">
      <c r="A200" s="190" t="str">
        <f>'4.2'!A20</f>
        <v>TOTAL MATERIALES</v>
      </c>
      <c r="B200" s="191" t="str">
        <f>'4.2'!B20</f>
        <v/>
      </c>
      <c r="C200" s="191" t="str">
        <f>'4.2'!C20</f>
        <v/>
      </c>
      <c r="D200" s="191" t="str">
        <f>'4.2'!D20</f>
        <v/>
      </c>
      <c r="E200" s="191" t="str">
        <f>'4.2'!E20</f>
        <v/>
      </c>
      <c r="F200" s="191" t="str">
        <f>'4.2'!F20</f>
        <v/>
      </c>
      <c r="G200" s="177" t="str">
        <f>'4.2'!G20</f>
        <v/>
      </c>
      <c r="H200" s="191" t="str">
        <f>'4.2'!H20</f>
        <v/>
      </c>
      <c r="I200" s="192">
        <f>'4.2'!I20</f>
        <v>60000</v>
      </c>
    </row>
    <row r="201" ht="14.25" customHeight="1">
      <c r="G201" s="3"/>
    </row>
    <row r="202" ht="14.25" customHeight="1">
      <c r="G202" s="3"/>
    </row>
    <row r="203">
      <c r="A203" s="162">
        <f>'4.1'!A3</f>
        <v>45661</v>
      </c>
      <c r="B203" s="163" t="str">
        <f>'4.1'!B3</f>
        <v>INSTALACION DE RIEGO. (Incluye manguera, abrazaderas, aspesrores)</v>
      </c>
      <c r="C203" s="164"/>
      <c r="D203" s="164"/>
      <c r="E203" s="164"/>
      <c r="F203" s="164"/>
      <c r="G203" s="165" t="str">
        <f>'4.1'!G3</f>
        <v/>
      </c>
      <c r="H203" s="166">
        <f>'4.1'!H3</f>
        <v>2060</v>
      </c>
      <c r="I203" s="167" t="str">
        <f>'4.1'!I3</f>
        <v>m²</v>
      </c>
    </row>
    <row r="204" ht="14.25" customHeight="1">
      <c r="A204" s="127" t="str">
        <f>'4.1'!A4</f>
        <v/>
      </c>
      <c r="B204" s="127" t="str">
        <f>'4.1'!B4</f>
        <v/>
      </c>
      <c r="C204" s="127" t="str">
        <f>'4.1'!C4</f>
        <v/>
      </c>
      <c r="D204" s="127" t="str">
        <f>'4.1'!D4</f>
        <v/>
      </c>
      <c r="E204" s="127" t="str">
        <f>'4.1'!E4</f>
        <v/>
      </c>
      <c r="F204" s="127" t="str">
        <f>'4.1'!F4</f>
        <v/>
      </c>
      <c r="G204" s="3" t="str">
        <f>'4.1'!G4</f>
        <v/>
      </c>
      <c r="H204" s="127" t="str">
        <f>'4.1'!H4</f>
        <v/>
      </c>
      <c r="I204" s="127" t="str">
        <f>'4.1'!I4</f>
        <v/>
      </c>
    </row>
    <row r="205" ht="14.25" customHeight="1">
      <c r="A205" s="168" t="str">
        <f>'4.1'!A5</f>
        <v>MATERIALES</v>
      </c>
      <c r="B205" s="76" t="str">
        <f>'4.1'!B5</f>
        <v/>
      </c>
      <c r="C205" s="76" t="str">
        <f>'4.1'!C5</f>
        <v/>
      </c>
      <c r="D205" s="76" t="str">
        <f>'4.1'!D5</f>
        <v/>
      </c>
      <c r="E205" s="76" t="str">
        <f>'4.1'!E5</f>
        <v/>
      </c>
      <c r="F205" s="76" t="str">
        <f>'4.1'!F5</f>
        <v/>
      </c>
      <c r="G205" s="2" t="str">
        <f>'4.1'!G5</f>
        <v/>
      </c>
      <c r="H205" s="76" t="str">
        <f>'4.1'!H5</f>
        <v/>
      </c>
      <c r="I205" s="76" t="str">
        <f>'4.1'!I5</f>
        <v/>
      </c>
    </row>
    <row r="206" ht="14.25" customHeight="1">
      <c r="A206" s="169" t="str">
        <f>'4.1'!A6</f>
        <v>Código</v>
      </c>
      <c r="B206" s="169" t="str">
        <f>'4.1'!B6</f>
        <v>Descripción</v>
      </c>
      <c r="C206" s="169" t="str">
        <f>'4.1'!C6</f>
        <v>Unidad</v>
      </c>
      <c r="D206" s="170" t="str">
        <f>'4.1'!D6</f>
        <v>Cantidad</v>
      </c>
      <c r="E206" s="164"/>
      <c r="F206" s="169" t="str">
        <f>'4.1'!F6</f>
        <v>Desperdicio</v>
      </c>
      <c r="G206" s="4" t="str">
        <f>'4.1'!G6</f>
        <v>Cantidad + Desperdicio</v>
      </c>
      <c r="H206" s="169" t="str">
        <f>'4.1'!H6</f>
        <v>Precio Unitario</v>
      </c>
      <c r="I206" s="169" t="str">
        <f>'4.1'!I6</f>
        <v>Subtotal</v>
      </c>
    </row>
    <row r="207" ht="14.25" customHeight="1">
      <c r="A207" s="171" t="str">
        <f>'4.1'!A7</f>
        <v/>
      </c>
      <c r="B207" s="74" t="str">
        <f>'4.1'!B7</f>
        <v>COMPUTADORA, MANGUERAS, ABRAZADERAS ASPERSORES</v>
      </c>
      <c r="C207" s="74" t="str">
        <f>'4.1'!C7</f>
        <v/>
      </c>
      <c r="D207" s="172">
        <f>'4.1'!D7</f>
        <v>2060</v>
      </c>
      <c r="E207" s="171" t="str">
        <f>'4.1'!E7</f>
        <v/>
      </c>
      <c r="F207" s="173">
        <f>'4.1'!F7</f>
        <v>0.05</v>
      </c>
      <c r="G207" s="189">
        <f>'4.1'!G7</f>
        <v>2163</v>
      </c>
      <c r="H207" s="120">
        <f>'4.1'!H7</f>
        <v>1100</v>
      </c>
      <c r="I207" s="120">
        <f>'4.1'!I7</f>
        <v>2379300</v>
      </c>
    </row>
    <row r="208" ht="14.25" customHeight="1">
      <c r="A208" s="171" t="str">
        <f>'4.1'!A8</f>
        <v/>
      </c>
      <c r="B208" s="74" t="str">
        <f>'4.1'!B8</f>
        <v/>
      </c>
      <c r="C208" s="74" t="str">
        <f>'4.1'!C8</f>
        <v/>
      </c>
      <c r="D208" s="171" t="str">
        <f>'4.1'!D8</f>
        <v/>
      </c>
      <c r="E208" s="171" t="str">
        <f>'4.1'!E8</f>
        <v/>
      </c>
      <c r="F208" s="173" t="str">
        <f>'4.1'!F8</f>
        <v/>
      </c>
      <c r="G208" s="189">
        <f>'4.1'!G8</f>
        <v>0</v>
      </c>
      <c r="H208" s="120" t="str">
        <f>'4.1'!H8</f>
        <v/>
      </c>
      <c r="I208" s="120" t="str">
        <f>'4.1'!I8</f>
        <v/>
      </c>
    </row>
    <row r="209" ht="14.25" customHeight="1">
      <c r="A209" s="171" t="str">
        <f>'4.1'!A9</f>
        <v/>
      </c>
      <c r="B209" s="74" t="str">
        <f>'4.1'!B9</f>
        <v/>
      </c>
      <c r="C209" s="74" t="str">
        <f>'4.1'!C9</f>
        <v/>
      </c>
      <c r="D209" s="171" t="str">
        <f>'4.1'!D9</f>
        <v/>
      </c>
      <c r="E209" s="171" t="str">
        <f>'4.1'!E9</f>
        <v/>
      </c>
      <c r="F209" s="173" t="str">
        <f>'4.1'!F9</f>
        <v/>
      </c>
      <c r="G209" s="189">
        <f>'4.1'!G9</f>
        <v>0</v>
      </c>
      <c r="H209" s="120" t="str">
        <f>'4.1'!H9</f>
        <v/>
      </c>
      <c r="I209" s="120" t="str">
        <f>'4.1'!I9</f>
        <v/>
      </c>
    </row>
    <row r="210" ht="14.25" customHeight="1">
      <c r="A210" s="171" t="str">
        <f>'4.1'!A10</f>
        <v/>
      </c>
      <c r="B210" s="74" t="str">
        <f>'4.1'!B10</f>
        <v/>
      </c>
      <c r="C210" s="74" t="str">
        <f>'4.1'!C10</f>
        <v/>
      </c>
      <c r="D210" s="171" t="str">
        <f>'4.1'!D10</f>
        <v/>
      </c>
      <c r="E210" s="171" t="str">
        <f>'4.1'!E10</f>
        <v/>
      </c>
      <c r="F210" s="173" t="str">
        <f>'4.1'!F10</f>
        <v/>
      </c>
      <c r="G210" s="189">
        <f>'4.1'!G10</f>
        <v>0</v>
      </c>
      <c r="H210" s="120" t="str">
        <f>'4.1'!H10</f>
        <v/>
      </c>
      <c r="I210" s="120" t="str">
        <f>'4.1'!I10</f>
        <v/>
      </c>
    </row>
    <row r="211" ht="14.25" customHeight="1">
      <c r="A211" s="171" t="str">
        <f>'4.1'!A11</f>
        <v/>
      </c>
      <c r="B211" s="74" t="str">
        <f>'4.1'!B11</f>
        <v/>
      </c>
      <c r="C211" s="74" t="str">
        <f>'4.1'!C11</f>
        <v/>
      </c>
      <c r="D211" s="171" t="str">
        <f>'4.1'!D11</f>
        <v/>
      </c>
      <c r="E211" s="171" t="str">
        <f>'4.1'!E11</f>
        <v/>
      </c>
      <c r="F211" s="173" t="str">
        <f>'4.1'!F11</f>
        <v/>
      </c>
      <c r="G211" s="189">
        <f>'4.1'!G11</f>
        <v>0</v>
      </c>
      <c r="H211" s="120" t="str">
        <f>'4.1'!H11</f>
        <v/>
      </c>
      <c r="I211" s="120" t="str">
        <f>'4.1'!I11</f>
        <v/>
      </c>
    </row>
    <row r="212" ht="14.25" customHeight="1">
      <c r="A212" s="171" t="str">
        <f>'4.1'!A12</f>
        <v/>
      </c>
      <c r="B212" s="74" t="str">
        <f>'4.1'!B12</f>
        <v/>
      </c>
      <c r="C212" s="74" t="str">
        <f>'4.1'!C12</f>
        <v/>
      </c>
      <c r="D212" s="171" t="str">
        <f>'4.1'!D12</f>
        <v/>
      </c>
      <c r="E212" s="171" t="str">
        <f>'4.1'!E12</f>
        <v/>
      </c>
      <c r="F212" s="173" t="str">
        <f>'4.1'!F12</f>
        <v/>
      </c>
      <c r="G212" s="189">
        <f>'4.1'!G12</f>
        <v>0</v>
      </c>
      <c r="H212" s="120" t="str">
        <f>'4.1'!H12</f>
        <v/>
      </c>
      <c r="I212" s="120" t="str">
        <f>'4.1'!I12</f>
        <v/>
      </c>
    </row>
    <row r="213" ht="14.25" customHeight="1">
      <c r="A213" s="171" t="str">
        <f>'4.1'!A13</f>
        <v/>
      </c>
      <c r="B213" s="74" t="str">
        <f>'4.1'!B13</f>
        <v/>
      </c>
      <c r="C213" s="74" t="str">
        <f>'4.1'!C13</f>
        <v/>
      </c>
      <c r="D213" s="171" t="str">
        <f>'4.1'!D13</f>
        <v/>
      </c>
      <c r="E213" s="171" t="str">
        <f>'4.1'!E13</f>
        <v/>
      </c>
      <c r="F213" s="173" t="str">
        <f>'4.1'!F13</f>
        <v/>
      </c>
      <c r="G213" s="189">
        <f>'4.1'!G13</f>
        <v>0</v>
      </c>
      <c r="H213" s="120" t="str">
        <f>'4.1'!H13</f>
        <v/>
      </c>
      <c r="I213" s="120" t="str">
        <f>'4.1'!I13</f>
        <v/>
      </c>
    </row>
    <row r="214" ht="14.25" customHeight="1">
      <c r="A214" s="171" t="str">
        <f>'4.1'!A14</f>
        <v/>
      </c>
      <c r="B214" s="74" t="str">
        <f>'4.1'!B14</f>
        <v/>
      </c>
      <c r="C214" s="74" t="str">
        <f>'4.1'!C14</f>
        <v/>
      </c>
      <c r="D214" s="171" t="str">
        <f>'4.1'!D14</f>
        <v/>
      </c>
      <c r="E214" s="171" t="str">
        <f>'4.1'!E14</f>
        <v/>
      </c>
      <c r="F214" s="173" t="str">
        <f>'4.1'!F14</f>
        <v/>
      </c>
      <c r="G214" s="189">
        <f>'4.1'!G14</f>
        <v>0</v>
      </c>
      <c r="H214" s="120" t="str">
        <f>'4.1'!H14</f>
        <v/>
      </c>
      <c r="I214" s="120" t="str">
        <f>'4.1'!I14</f>
        <v/>
      </c>
    </row>
    <row r="215" ht="14.25" customHeight="1">
      <c r="A215" s="171" t="str">
        <f>'4.1'!A15</f>
        <v/>
      </c>
      <c r="B215" s="74" t="str">
        <f>'4.1'!B15</f>
        <v/>
      </c>
      <c r="C215" s="74" t="str">
        <f>'4.1'!C15</f>
        <v/>
      </c>
      <c r="D215" s="171" t="str">
        <f>'4.1'!D15</f>
        <v/>
      </c>
      <c r="E215" s="171" t="str">
        <f>'4.1'!E15</f>
        <v/>
      </c>
      <c r="F215" s="173" t="str">
        <f>'4.1'!F15</f>
        <v/>
      </c>
      <c r="G215" s="189">
        <f>'4.1'!G15</f>
        <v>0</v>
      </c>
      <c r="H215" s="120" t="str">
        <f>'4.1'!H15</f>
        <v/>
      </c>
      <c r="I215" s="120" t="str">
        <f>'4.1'!I15</f>
        <v/>
      </c>
    </row>
    <row r="216" ht="14.25" customHeight="1">
      <c r="A216" s="171" t="str">
        <f>'4.1'!A16</f>
        <v/>
      </c>
      <c r="B216" s="74" t="str">
        <f>'4.1'!B16</f>
        <v/>
      </c>
      <c r="C216" s="74" t="str">
        <f>'4.1'!C16</f>
        <v/>
      </c>
      <c r="D216" s="171" t="str">
        <f>'4.1'!D16</f>
        <v/>
      </c>
      <c r="E216" s="171" t="str">
        <f>'4.1'!E16</f>
        <v/>
      </c>
      <c r="F216" s="173" t="str">
        <f>'4.1'!F16</f>
        <v/>
      </c>
      <c r="G216" s="189">
        <f>'4.1'!G16</f>
        <v>0</v>
      </c>
      <c r="H216" s="120" t="str">
        <f>'4.1'!H16</f>
        <v/>
      </c>
      <c r="I216" s="120" t="str">
        <f>'4.1'!I16</f>
        <v/>
      </c>
    </row>
    <row r="217" ht="14.25" customHeight="1">
      <c r="A217" s="171" t="str">
        <f>'4.1'!A17</f>
        <v/>
      </c>
      <c r="B217" s="74" t="str">
        <f>'4.1'!B17</f>
        <v/>
      </c>
      <c r="C217" s="74" t="str">
        <f>'4.1'!C17</f>
        <v/>
      </c>
      <c r="D217" s="171" t="str">
        <f>'4.1'!D17</f>
        <v/>
      </c>
      <c r="E217" s="171" t="str">
        <f>'4.1'!E17</f>
        <v/>
      </c>
      <c r="F217" s="173" t="str">
        <f>'4.1'!F17</f>
        <v/>
      </c>
      <c r="G217" s="189">
        <f>'4.1'!G17</f>
        <v>0</v>
      </c>
      <c r="H217" s="120" t="str">
        <f>'4.1'!H17</f>
        <v/>
      </c>
      <c r="I217" s="120" t="str">
        <f>'4.1'!I17</f>
        <v/>
      </c>
    </row>
    <row r="218" ht="14.25" customHeight="1">
      <c r="A218" s="171" t="str">
        <f>'4.1'!A18</f>
        <v/>
      </c>
      <c r="B218" s="74" t="str">
        <f>'4.1'!B18</f>
        <v/>
      </c>
      <c r="C218" s="74" t="str">
        <f>'4.1'!C18</f>
        <v/>
      </c>
      <c r="D218" s="171" t="str">
        <f>'4.1'!D18</f>
        <v/>
      </c>
      <c r="E218" s="171" t="str">
        <f>'4.1'!E18</f>
        <v/>
      </c>
      <c r="F218" s="173" t="str">
        <f>'4.1'!F18</f>
        <v/>
      </c>
      <c r="G218" s="189">
        <f>'4.1'!G18</f>
        <v>0</v>
      </c>
      <c r="H218" s="120" t="str">
        <f>'4.1'!H18</f>
        <v/>
      </c>
      <c r="I218" s="120" t="str">
        <f>'4.1'!I18</f>
        <v/>
      </c>
    </row>
    <row r="219" ht="14.25" customHeight="1">
      <c r="A219" s="127" t="str">
        <f>'4.1'!A19</f>
        <v/>
      </c>
      <c r="B219" s="127" t="str">
        <f>'4.1'!B19</f>
        <v/>
      </c>
      <c r="C219" s="127" t="str">
        <f>'4.1'!C19</f>
        <v/>
      </c>
      <c r="D219" s="127" t="str">
        <f>'4.1'!D19</f>
        <v/>
      </c>
      <c r="E219" s="127" t="str">
        <f>'4.1'!E19</f>
        <v/>
      </c>
      <c r="F219" s="126" t="str">
        <f>'4.1'!F19</f>
        <v/>
      </c>
      <c r="G219" s="3" t="str">
        <f>'4.1'!G19</f>
        <v/>
      </c>
      <c r="H219" s="120" t="str">
        <f>'4.1'!H19</f>
        <v/>
      </c>
      <c r="I219" s="120" t="str">
        <f>'4.1'!I19</f>
        <v/>
      </c>
    </row>
    <row r="220" ht="14.25" customHeight="1">
      <c r="A220" s="190" t="str">
        <f>'4.1'!A20</f>
        <v>TOTAL MATERIALES</v>
      </c>
      <c r="B220" s="191" t="str">
        <f>'4.1'!B20</f>
        <v/>
      </c>
      <c r="C220" s="191" t="str">
        <f>'4.1'!C20</f>
        <v/>
      </c>
      <c r="D220" s="191" t="str">
        <f>'4.1'!D20</f>
        <v/>
      </c>
      <c r="E220" s="191" t="str">
        <f>'4.1'!E20</f>
        <v/>
      </c>
      <c r="F220" s="191" t="str">
        <f>'4.1'!F20</f>
        <v/>
      </c>
      <c r="G220" s="177" t="str">
        <f>'4.1'!G20</f>
        <v/>
      </c>
      <c r="H220" s="191" t="str">
        <f>'4.1'!H20</f>
        <v/>
      </c>
      <c r="I220" s="192">
        <f>'4.1'!I20</f>
        <v>2379300</v>
      </c>
    </row>
    <row r="221" ht="14.25" customHeight="1">
      <c r="G221" s="3"/>
    </row>
    <row r="222" ht="14.25" customHeight="1">
      <c r="G222" s="3"/>
    </row>
    <row r="223">
      <c r="A223" s="162">
        <f>'4.3'!A3</f>
        <v>45720</v>
      </c>
      <c r="B223" s="163" t="str">
        <f>'4.3'!B3</f>
        <v>BOCAS DE ILUMINACION. (No incluye artefactos)</v>
      </c>
      <c r="C223" s="164"/>
      <c r="D223" s="164"/>
      <c r="E223" s="164"/>
      <c r="F223" s="164"/>
      <c r="G223" s="165" t="str">
        <f>'4.3'!G3</f>
        <v/>
      </c>
      <c r="H223" s="166">
        <f>'4.3'!H3</f>
        <v>80</v>
      </c>
      <c r="I223" s="167" t="str">
        <f>'4.3'!I3</f>
        <v>unid</v>
      </c>
    </row>
    <row r="224" ht="14.25" customHeight="1">
      <c r="A224" s="127" t="str">
        <f>'4.3'!A4</f>
        <v/>
      </c>
      <c r="B224" s="127" t="str">
        <f>'4.3'!B4</f>
        <v/>
      </c>
      <c r="C224" s="127" t="str">
        <f>'4.3'!C4</f>
        <v/>
      </c>
      <c r="D224" s="127" t="str">
        <f>'4.3'!D4</f>
        <v/>
      </c>
      <c r="E224" s="127" t="str">
        <f>'4.3'!E4</f>
        <v/>
      </c>
      <c r="F224" s="127" t="str">
        <f>'4.3'!F4</f>
        <v/>
      </c>
      <c r="G224" s="3" t="str">
        <f>'4.3'!G4</f>
        <v/>
      </c>
      <c r="H224" s="127" t="str">
        <f>'4.3'!H4</f>
        <v/>
      </c>
      <c r="I224" s="127" t="str">
        <f>'4.3'!I4</f>
        <v/>
      </c>
    </row>
    <row r="225" ht="14.25" customHeight="1">
      <c r="A225" s="168" t="str">
        <f>'4.3'!A5</f>
        <v>MATERIALES</v>
      </c>
      <c r="B225" s="76" t="str">
        <f>'4.3'!B5</f>
        <v/>
      </c>
      <c r="C225" s="76" t="str">
        <f>'4.3'!C5</f>
        <v/>
      </c>
      <c r="D225" s="76" t="str">
        <f>'4.3'!D5</f>
        <v/>
      </c>
      <c r="E225" s="76" t="str">
        <f>'4.3'!E5</f>
        <v/>
      </c>
      <c r="F225" s="76" t="str">
        <f>'4.3'!F5</f>
        <v/>
      </c>
      <c r="G225" s="2" t="str">
        <f>'4.3'!G5</f>
        <v/>
      </c>
      <c r="H225" s="76" t="str">
        <f>'4.3'!H5</f>
        <v/>
      </c>
      <c r="I225" s="76" t="str">
        <f>'4.3'!I5</f>
        <v/>
      </c>
    </row>
    <row r="226" ht="14.25" customHeight="1">
      <c r="A226" s="169" t="str">
        <f>'4.3'!A6</f>
        <v>Código</v>
      </c>
      <c r="B226" s="169" t="str">
        <f>'4.3'!B6</f>
        <v>Descripción</v>
      </c>
      <c r="C226" s="169" t="str">
        <f>'4.3'!C6</f>
        <v>Unidad</v>
      </c>
      <c r="D226" s="170" t="str">
        <f>'4.3'!D6</f>
        <v>Cantidad</v>
      </c>
      <c r="E226" s="164"/>
      <c r="F226" s="169" t="str">
        <f>'4.3'!F6</f>
        <v>Desperdicio</v>
      </c>
      <c r="G226" s="4" t="str">
        <f>'4.3'!G6</f>
        <v>Cantidad + Desperdicio</v>
      </c>
      <c r="H226" s="169" t="str">
        <f>'4.3'!H6</f>
        <v>Precio Unitario</v>
      </c>
      <c r="I226" s="169" t="str">
        <f>'4.3'!I6</f>
        <v>Subtotal</v>
      </c>
    </row>
    <row r="227" ht="14.25" customHeight="1">
      <c r="A227" s="171" t="str">
        <f>'4.3'!A7</f>
        <v/>
      </c>
      <c r="B227" s="74" t="str">
        <f>'4.3'!B7</f>
        <v>mat boca cabeza</v>
      </c>
      <c r="C227" s="74" t="str">
        <f>'4.3'!C7</f>
        <v/>
      </c>
      <c r="D227" s="172">
        <f>'4.3'!D7</f>
        <v>80</v>
      </c>
      <c r="E227" s="171" t="str">
        <f>'4.3'!E7</f>
        <v/>
      </c>
      <c r="F227" s="173">
        <f>'4.3'!F7</f>
        <v>0.1</v>
      </c>
      <c r="G227" s="189">
        <f>'4.3'!G7</f>
        <v>88</v>
      </c>
      <c r="H227" s="120">
        <f>'4.3'!H7</f>
        <v>40000</v>
      </c>
      <c r="I227" s="120">
        <f>'4.3'!I7</f>
        <v>3520000</v>
      </c>
    </row>
    <row r="228" ht="14.25" customHeight="1">
      <c r="A228" s="171" t="str">
        <f>'4.3'!A8</f>
        <v/>
      </c>
      <c r="B228" s="74" t="str">
        <f>'4.3'!B8</f>
        <v/>
      </c>
      <c r="C228" s="74" t="str">
        <f>'4.3'!C8</f>
        <v/>
      </c>
      <c r="D228" s="171" t="str">
        <f>'4.3'!D8</f>
        <v/>
      </c>
      <c r="E228" s="171" t="str">
        <f>'4.3'!E8</f>
        <v/>
      </c>
      <c r="F228" s="173" t="str">
        <f>'4.3'!F8</f>
        <v/>
      </c>
      <c r="G228" s="189">
        <f>'4.3'!G8</f>
        <v>0</v>
      </c>
      <c r="H228" s="120" t="str">
        <f>'4.3'!H8</f>
        <v/>
      </c>
      <c r="I228" s="120" t="str">
        <f>'4.3'!I8</f>
        <v/>
      </c>
    </row>
    <row r="229" ht="14.25" customHeight="1">
      <c r="A229" s="171" t="str">
        <f>'4.3'!A9</f>
        <v/>
      </c>
      <c r="B229" s="74" t="str">
        <f>'4.3'!B9</f>
        <v/>
      </c>
      <c r="C229" s="74" t="str">
        <f>'4.3'!C9</f>
        <v/>
      </c>
      <c r="D229" s="171" t="str">
        <f>'4.3'!D9</f>
        <v/>
      </c>
      <c r="E229" s="171" t="str">
        <f>'4.3'!E9</f>
        <v/>
      </c>
      <c r="F229" s="173" t="str">
        <f>'4.3'!F9</f>
        <v/>
      </c>
      <c r="G229" s="189">
        <f>'4.3'!G9</f>
        <v>0</v>
      </c>
      <c r="H229" s="120" t="str">
        <f>'4.3'!H9</f>
        <v/>
      </c>
      <c r="I229" s="120" t="str">
        <f>'4.3'!I9</f>
        <v/>
      </c>
    </row>
    <row r="230" ht="14.25" customHeight="1">
      <c r="A230" s="171" t="str">
        <f>'4.3'!A10</f>
        <v/>
      </c>
      <c r="B230" s="74" t="str">
        <f>'4.3'!B10</f>
        <v/>
      </c>
      <c r="C230" s="74" t="str">
        <f>'4.3'!C10</f>
        <v/>
      </c>
      <c r="D230" s="171" t="str">
        <f>'4.3'!D10</f>
        <v/>
      </c>
      <c r="E230" s="171" t="str">
        <f>'4.3'!E10</f>
        <v/>
      </c>
      <c r="F230" s="173" t="str">
        <f>'4.3'!F10</f>
        <v/>
      </c>
      <c r="G230" s="189">
        <f>'4.3'!G10</f>
        <v>0</v>
      </c>
      <c r="H230" s="120" t="str">
        <f>'4.3'!H10</f>
        <v/>
      </c>
      <c r="I230" s="120" t="str">
        <f>'4.3'!I10</f>
        <v/>
      </c>
    </row>
    <row r="231" ht="14.25" customHeight="1">
      <c r="A231" s="171" t="str">
        <f>'4.3'!A11</f>
        <v/>
      </c>
      <c r="B231" s="74" t="str">
        <f>'4.3'!B11</f>
        <v/>
      </c>
      <c r="C231" s="74" t="str">
        <f>'4.3'!C11</f>
        <v/>
      </c>
      <c r="D231" s="171" t="str">
        <f>'4.3'!D11</f>
        <v/>
      </c>
      <c r="E231" s="171" t="str">
        <f>'4.3'!E11</f>
        <v/>
      </c>
      <c r="F231" s="173" t="str">
        <f>'4.3'!F11</f>
        <v/>
      </c>
      <c r="G231" s="189">
        <f>'4.3'!G11</f>
        <v>0</v>
      </c>
      <c r="H231" s="120" t="str">
        <f>'4.3'!H11</f>
        <v/>
      </c>
      <c r="I231" s="120" t="str">
        <f>'4.3'!I11</f>
        <v/>
      </c>
    </row>
    <row r="232" ht="14.25" customHeight="1">
      <c r="A232" s="171" t="str">
        <f>'4.3'!A12</f>
        <v/>
      </c>
      <c r="B232" s="74" t="str">
        <f>'4.3'!B12</f>
        <v/>
      </c>
      <c r="C232" s="74" t="str">
        <f>'4.3'!C12</f>
        <v/>
      </c>
      <c r="D232" s="171" t="str">
        <f>'4.3'!D12</f>
        <v/>
      </c>
      <c r="E232" s="171" t="str">
        <f>'4.3'!E12</f>
        <v/>
      </c>
      <c r="F232" s="173" t="str">
        <f>'4.3'!F12</f>
        <v/>
      </c>
      <c r="G232" s="189">
        <f>'4.3'!G12</f>
        <v>0</v>
      </c>
      <c r="H232" s="120" t="str">
        <f>'4.3'!H12</f>
        <v/>
      </c>
      <c r="I232" s="120" t="str">
        <f>'4.3'!I12</f>
        <v/>
      </c>
    </row>
    <row r="233" ht="14.25" customHeight="1">
      <c r="A233" s="171" t="str">
        <f>'4.3'!A13</f>
        <v/>
      </c>
      <c r="B233" s="74" t="str">
        <f>'4.3'!B13</f>
        <v/>
      </c>
      <c r="C233" s="74" t="str">
        <f>'4.3'!C13</f>
        <v/>
      </c>
      <c r="D233" s="171" t="str">
        <f>'4.3'!D13</f>
        <v/>
      </c>
      <c r="E233" s="171" t="str">
        <f>'4.3'!E13</f>
        <v/>
      </c>
      <c r="F233" s="173" t="str">
        <f>'4.3'!F13</f>
        <v/>
      </c>
      <c r="G233" s="189">
        <f>'4.3'!G13</f>
        <v>0</v>
      </c>
      <c r="H233" s="120" t="str">
        <f>'4.3'!H13</f>
        <v/>
      </c>
      <c r="I233" s="120" t="str">
        <f>'4.3'!I13</f>
        <v/>
      </c>
    </row>
    <row r="234" ht="14.25" customHeight="1">
      <c r="A234" s="171" t="str">
        <f>'4.3'!A14</f>
        <v/>
      </c>
      <c r="B234" s="74" t="str">
        <f>'4.3'!B14</f>
        <v/>
      </c>
      <c r="C234" s="74" t="str">
        <f>'4.3'!C14</f>
        <v/>
      </c>
      <c r="D234" s="171" t="str">
        <f>'4.3'!D14</f>
        <v/>
      </c>
      <c r="E234" s="171" t="str">
        <f>'4.3'!E14</f>
        <v/>
      </c>
      <c r="F234" s="173" t="str">
        <f>'4.3'!F14</f>
        <v/>
      </c>
      <c r="G234" s="189">
        <f>'4.3'!G14</f>
        <v>0</v>
      </c>
      <c r="H234" s="120" t="str">
        <f>'4.3'!H14</f>
        <v/>
      </c>
      <c r="I234" s="120" t="str">
        <f>'4.3'!I14</f>
        <v/>
      </c>
    </row>
    <row r="235" ht="14.25" customHeight="1">
      <c r="A235" s="171" t="str">
        <f>'4.3'!A15</f>
        <v/>
      </c>
      <c r="B235" s="74" t="str">
        <f>'4.3'!B15</f>
        <v/>
      </c>
      <c r="C235" s="74" t="str">
        <f>'4.3'!C15</f>
        <v/>
      </c>
      <c r="D235" s="171" t="str">
        <f>'4.3'!D15</f>
        <v/>
      </c>
      <c r="E235" s="171" t="str">
        <f>'4.3'!E15</f>
        <v/>
      </c>
      <c r="F235" s="173" t="str">
        <f>'4.3'!F15</f>
        <v/>
      </c>
      <c r="G235" s="189">
        <f>'4.3'!G15</f>
        <v>0</v>
      </c>
      <c r="H235" s="120" t="str">
        <f>'4.3'!H15</f>
        <v/>
      </c>
      <c r="I235" s="120" t="str">
        <f>'4.3'!I15</f>
        <v/>
      </c>
    </row>
    <row r="236" ht="14.25" customHeight="1">
      <c r="A236" s="171" t="str">
        <f>'4.3'!A16</f>
        <v/>
      </c>
      <c r="B236" s="74" t="str">
        <f>'4.3'!B16</f>
        <v/>
      </c>
      <c r="C236" s="74" t="str">
        <f>'4.3'!C16</f>
        <v/>
      </c>
      <c r="D236" s="171" t="str">
        <f>'4.3'!D16</f>
        <v/>
      </c>
      <c r="E236" s="171" t="str">
        <f>'4.3'!E16</f>
        <v/>
      </c>
      <c r="F236" s="173" t="str">
        <f>'4.3'!F16</f>
        <v/>
      </c>
      <c r="G236" s="189">
        <f>'4.3'!G16</f>
        <v>0</v>
      </c>
      <c r="H236" s="120" t="str">
        <f>'4.3'!H16</f>
        <v/>
      </c>
      <c r="I236" s="120" t="str">
        <f>'4.3'!I16</f>
        <v/>
      </c>
    </row>
    <row r="237" ht="14.25" customHeight="1">
      <c r="A237" s="171" t="str">
        <f>'4.3'!A17</f>
        <v/>
      </c>
      <c r="B237" s="74" t="str">
        <f>'4.3'!B17</f>
        <v/>
      </c>
      <c r="C237" s="74" t="str">
        <f>'4.3'!C17</f>
        <v/>
      </c>
      <c r="D237" s="171" t="str">
        <f>'4.3'!D17</f>
        <v/>
      </c>
      <c r="E237" s="171" t="str">
        <f>'4.3'!E17</f>
        <v/>
      </c>
      <c r="F237" s="173" t="str">
        <f>'4.3'!F17</f>
        <v/>
      </c>
      <c r="G237" s="189">
        <f>'4.3'!G17</f>
        <v>0</v>
      </c>
      <c r="H237" s="120" t="str">
        <f>'4.3'!H17</f>
        <v/>
      </c>
      <c r="I237" s="120" t="str">
        <f>'4.3'!I17</f>
        <v/>
      </c>
    </row>
    <row r="238" ht="14.25" customHeight="1">
      <c r="A238" s="171" t="str">
        <f>'4.3'!A18</f>
        <v/>
      </c>
      <c r="B238" s="74" t="str">
        <f>'4.3'!B18</f>
        <v/>
      </c>
      <c r="C238" s="74" t="str">
        <f>'4.3'!C18</f>
        <v/>
      </c>
      <c r="D238" s="171" t="str">
        <f>'4.3'!D18</f>
        <v/>
      </c>
      <c r="E238" s="171" t="str">
        <f>'4.3'!E18</f>
        <v/>
      </c>
      <c r="F238" s="173" t="str">
        <f>'4.3'!F18</f>
        <v/>
      </c>
      <c r="G238" s="189">
        <f>'4.3'!G18</f>
        <v>0</v>
      </c>
      <c r="H238" s="120" t="str">
        <f>'4.3'!H18</f>
        <v/>
      </c>
      <c r="I238" s="120" t="str">
        <f>'4.3'!I18</f>
        <v/>
      </c>
    </row>
    <row r="239" ht="14.25" customHeight="1">
      <c r="A239" s="127" t="str">
        <f>'4.3'!A19</f>
        <v/>
      </c>
      <c r="B239" s="127" t="str">
        <f>'4.3'!B19</f>
        <v/>
      </c>
      <c r="C239" s="127" t="str">
        <f>'4.3'!C19</f>
        <v/>
      </c>
      <c r="D239" s="127" t="str">
        <f>'4.3'!D19</f>
        <v/>
      </c>
      <c r="E239" s="127" t="str">
        <f>'4.3'!E19</f>
        <v/>
      </c>
      <c r="F239" s="126" t="str">
        <f>'4.3'!F19</f>
        <v/>
      </c>
      <c r="G239" s="3" t="str">
        <f>'4.3'!G19</f>
        <v/>
      </c>
      <c r="H239" s="120" t="str">
        <f>'4.3'!H19</f>
        <v/>
      </c>
      <c r="I239" s="120" t="str">
        <f>'4.3'!I19</f>
        <v/>
      </c>
    </row>
    <row r="240" ht="14.25" customHeight="1">
      <c r="A240" s="190" t="str">
        <f>'4.3'!A20</f>
        <v>TOTAL MATERIALES</v>
      </c>
      <c r="B240" s="191" t="str">
        <f>'4.3'!B20</f>
        <v/>
      </c>
      <c r="C240" s="191" t="str">
        <f>'4.3'!C20</f>
        <v/>
      </c>
      <c r="D240" s="191" t="str">
        <f>'4.3'!D20</f>
        <v/>
      </c>
      <c r="E240" s="191" t="str">
        <f>'4.3'!E20</f>
        <v/>
      </c>
      <c r="F240" s="191" t="str">
        <f>'4.3'!F20</f>
        <v/>
      </c>
      <c r="G240" s="177" t="str">
        <f>'4.3'!G20</f>
        <v/>
      </c>
      <c r="H240" s="191" t="str">
        <f>'4.3'!H20</f>
        <v/>
      </c>
      <c r="I240" s="192">
        <f>'4.3'!I20</f>
        <v>3520000</v>
      </c>
    </row>
    <row r="241" ht="14.25" customHeight="1">
      <c r="G241" s="3"/>
    </row>
    <row r="242" ht="14.25" customHeight="1">
      <c r="G242" s="3"/>
    </row>
    <row r="243">
      <c r="A243" s="162" t="str">
        <f t="shared" ref="A243:B243" si="16">'2.13.'!A3</f>
        <v>#REF!</v>
      </c>
      <c r="B243" s="163" t="str">
        <f t="shared" si="16"/>
        <v>#REF!</v>
      </c>
      <c r="C243" s="164"/>
      <c r="D243" s="164"/>
      <c r="E243" s="164"/>
      <c r="F243" s="164"/>
      <c r="G243" s="165" t="str">
        <f t="shared" ref="G243:I243" si="17">'2.13.'!G3</f>
        <v>#REF!</v>
      </c>
      <c r="H243" s="166" t="str">
        <f t="shared" si="17"/>
        <v>#REF!</v>
      </c>
      <c r="I243" s="167" t="str">
        <f t="shared" si="17"/>
        <v>#REF!</v>
      </c>
    </row>
    <row r="244" ht="14.25" customHeight="1">
      <c r="A244" s="127" t="str">
        <f t="shared" ref="A244:I244" si="18">'2.13.'!A4</f>
        <v>#REF!</v>
      </c>
      <c r="B244" s="127" t="str">
        <f t="shared" si="18"/>
        <v>#REF!</v>
      </c>
      <c r="C244" s="127" t="str">
        <f t="shared" si="18"/>
        <v>#REF!</v>
      </c>
      <c r="D244" s="127" t="str">
        <f t="shared" si="18"/>
        <v>#REF!</v>
      </c>
      <c r="E244" s="127" t="str">
        <f t="shared" si="18"/>
        <v>#REF!</v>
      </c>
      <c r="F244" s="127" t="str">
        <f t="shared" si="18"/>
        <v>#REF!</v>
      </c>
      <c r="G244" s="3" t="str">
        <f t="shared" si="18"/>
        <v>#REF!</v>
      </c>
      <c r="H244" s="127" t="str">
        <f t="shared" si="18"/>
        <v>#REF!</v>
      </c>
      <c r="I244" s="127" t="str">
        <f t="shared" si="18"/>
        <v>#REF!</v>
      </c>
    </row>
    <row r="245" ht="14.25" customHeight="1">
      <c r="A245" s="168" t="str">
        <f t="shared" ref="A245:I245" si="19">'2.13.'!A5</f>
        <v>#REF!</v>
      </c>
      <c r="B245" s="76" t="str">
        <f t="shared" si="19"/>
        <v>#REF!</v>
      </c>
      <c r="C245" s="76" t="str">
        <f t="shared" si="19"/>
        <v>#REF!</v>
      </c>
      <c r="D245" s="76" t="str">
        <f t="shared" si="19"/>
        <v>#REF!</v>
      </c>
      <c r="E245" s="76" t="str">
        <f t="shared" si="19"/>
        <v>#REF!</v>
      </c>
      <c r="F245" s="76" t="str">
        <f t="shared" si="19"/>
        <v>#REF!</v>
      </c>
      <c r="G245" s="2" t="str">
        <f t="shared" si="19"/>
        <v>#REF!</v>
      </c>
      <c r="H245" s="76" t="str">
        <f t="shared" si="19"/>
        <v>#REF!</v>
      </c>
      <c r="I245" s="76" t="str">
        <f t="shared" si="19"/>
        <v>#REF!</v>
      </c>
    </row>
    <row r="246" ht="14.25" customHeight="1">
      <c r="A246" s="169" t="str">
        <f t="shared" ref="A246:D246" si="20">'2.13.'!A6</f>
        <v>#REF!</v>
      </c>
      <c r="B246" s="169" t="str">
        <f t="shared" si="20"/>
        <v>#REF!</v>
      </c>
      <c r="C246" s="169" t="str">
        <f t="shared" si="20"/>
        <v>#REF!</v>
      </c>
      <c r="D246" s="170" t="str">
        <f t="shared" si="20"/>
        <v>#REF!</v>
      </c>
      <c r="E246" s="164"/>
      <c r="F246" s="169" t="str">
        <f t="shared" ref="F246:I246" si="21">'2.13.'!F6</f>
        <v>#REF!</v>
      </c>
      <c r="G246" s="4" t="str">
        <f t="shared" si="21"/>
        <v>#REF!</v>
      </c>
      <c r="H246" s="169" t="str">
        <f t="shared" si="21"/>
        <v>#REF!</v>
      </c>
      <c r="I246" s="169" t="str">
        <f t="shared" si="21"/>
        <v>#REF!</v>
      </c>
    </row>
    <row r="247" ht="14.25" customHeight="1">
      <c r="A247" s="171" t="str">
        <f t="shared" ref="A247:I247" si="22">'2.13.'!A7</f>
        <v>#REF!</v>
      </c>
      <c r="B247" s="74" t="str">
        <f t="shared" si="22"/>
        <v>#REF!</v>
      </c>
      <c r="C247" s="74" t="str">
        <f t="shared" si="22"/>
        <v>#REF!</v>
      </c>
      <c r="D247" s="172" t="str">
        <f t="shared" si="22"/>
        <v>#REF!</v>
      </c>
      <c r="E247" s="171" t="str">
        <f t="shared" si="22"/>
        <v>#REF!</v>
      </c>
      <c r="F247" s="173" t="str">
        <f t="shared" si="22"/>
        <v>#REF!</v>
      </c>
      <c r="G247" s="189" t="str">
        <f t="shared" si="22"/>
        <v>#REF!</v>
      </c>
      <c r="H247" s="120" t="str">
        <f t="shared" si="22"/>
        <v>#REF!</v>
      </c>
      <c r="I247" s="120" t="str">
        <f t="shared" si="22"/>
        <v>#REF!</v>
      </c>
    </row>
    <row r="248" ht="14.25" customHeight="1">
      <c r="A248" s="171" t="str">
        <f t="shared" ref="A248:I248" si="23">'2.13.'!A8</f>
        <v>#REF!</v>
      </c>
      <c r="B248" s="74" t="str">
        <f t="shared" si="23"/>
        <v>#REF!</v>
      </c>
      <c r="C248" s="74" t="str">
        <f t="shared" si="23"/>
        <v>#REF!</v>
      </c>
      <c r="D248" s="172" t="str">
        <f t="shared" si="23"/>
        <v>#REF!</v>
      </c>
      <c r="E248" s="171" t="str">
        <f t="shared" si="23"/>
        <v>#REF!</v>
      </c>
      <c r="F248" s="173" t="str">
        <f t="shared" si="23"/>
        <v>#REF!</v>
      </c>
      <c r="G248" s="189" t="str">
        <f t="shared" si="23"/>
        <v>#REF!</v>
      </c>
      <c r="H248" s="120" t="str">
        <f t="shared" si="23"/>
        <v>#REF!</v>
      </c>
      <c r="I248" s="120" t="str">
        <f t="shared" si="23"/>
        <v>#REF!</v>
      </c>
    </row>
    <row r="249" ht="14.25" customHeight="1">
      <c r="A249" s="171" t="str">
        <f t="shared" ref="A249:I249" si="24">'2.13.'!A9</f>
        <v>#REF!</v>
      </c>
      <c r="B249" s="74" t="str">
        <f t="shared" si="24"/>
        <v>#REF!</v>
      </c>
      <c r="C249" s="74" t="str">
        <f t="shared" si="24"/>
        <v>#REF!</v>
      </c>
      <c r="D249" s="171" t="str">
        <f t="shared" si="24"/>
        <v>#REF!</v>
      </c>
      <c r="E249" s="171" t="str">
        <f t="shared" si="24"/>
        <v>#REF!</v>
      </c>
      <c r="F249" s="173" t="str">
        <f t="shared" si="24"/>
        <v>#REF!</v>
      </c>
      <c r="G249" s="189" t="str">
        <f t="shared" si="24"/>
        <v>#REF!</v>
      </c>
      <c r="H249" s="120" t="str">
        <f t="shared" si="24"/>
        <v>#REF!</v>
      </c>
      <c r="I249" s="120" t="str">
        <f t="shared" si="24"/>
        <v>#REF!</v>
      </c>
    </row>
    <row r="250" ht="14.25" customHeight="1">
      <c r="A250" s="171" t="str">
        <f t="shared" ref="A250:I250" si="25">'2.13.'!A10</f>
        <v>#REF!</v>
      </c>
      <c r="B250" s="74" t="str">
        <f t="shared" si="25"/>
        <v>#REF!</v>
      </c>
      <c r="C250" s="74" t="str">
        <f t="shared" si="25"/>
        <v>#REF!</v>
      </c>
      <c r="D250" s="171" t="str">
        <f t="shared" si="25"/>
        <v>#REF!</v>
      </c>
      <c r="E250" s="171" t="str">
        <f t="shared" si="25"/>
        <v>#REF!</v>
      </c>
      <c r="F250" s="173" t="str">
        <f t="shared" si="25"/>
        <v>#REF!</v>
      </c>
      <c r="G250" s="189" t="str">
        <f t="shared" si="25"/>
        <v>#REF!</v>
      </c>
      <c r="H250" s="120" t="str">
        <f t="shared" si="25"/>
        <v>#REF!</v>
      </c>
      <c r="I250" s="120" t="str">
        <f t="shared" si="25"/>
        <v>#REF!</v>
      </c>
    </row>
    <row r="251" ht="14.25" customHeight="1">
      <c r="A251" s="171" t="str">
        <f t="shared" ref="A251:I251" si="26">'2.13.'!A11</f>
        <v>#REF!</v>
      </c>
      <c r="B251" s="74" t="str">
        <f t="shared" si="26"/>
        <v>#REF!</v>
      </c>
      <c r="C251" s="74" t="str">
        <f t="shared" si="26"/>
        <v>#REF!</v>
      </c>
      <c r="D251" s="171" t="str">
        <f t="shared" si="26"/>
        <v>#REF!</v>
      </c>
      <c r="E251" s="171" t="str">
        <f t="shared" si="26"/>
        <v>#REF!</v>
      </c>
      <c r="F251" s="173" t="str">
        <f t="shared" si="26"/>
        <v>#REF!</v>
      </c>
      <c r="G251" s="189" t="str">
        <f t="shared" si="26"/>
        <v>#REF!</v>
      </c>
      <c r="H251" s="120" t="str">
        <f t="shared" si="26"/>
        <v>#REF!</v>
      </c>
      <c r="I251" s="120" t="str">
        <f t="shared" si="26"/>
        <v>#REF!</v>
      </c>
    </row>
    <row r="252" ht="14.25" customHeight="1">
      <c r="A252" s="171" t="str">
        <f t="shared" ref="A252:I252" si="27">'2.13.'!A12</f>
        <v>#REF!</v>
      </c>
      <c r="B252" s="74" t="str">
        <f t="shared" si="27"/>
        <v>#REF!</v>
      </c>
      <c r="C252" s="74" t="str">
        <f t="shared" si="27"/>
        <v>#REF!</v>
      </c>
      <c r="D252" s="171" t="str">
        <f t="shared" si="27"/>
        <v>#REF!</v>
      </c>
      <c r="E252" s="171" t="str">
        <f t="shared" si="27"/>
        <v>#REF!</v>
      </c>
      <c r="F252" s="173" t="str">
        <f t="shared" si="27"/>
        <v>#REF!</v>
      </c>
      <c r="G252" s="189" t="str">
        <f t="shared" si="27"/>
        <v>#REF!</v>
      </c>
      <c r="H252" s="120" t="str">
        <f t="shared" si="27"/>
        <v>#REF!</v>
      </c>
      <c r="I252" s="120" t="str">
        <f t="shared" si="27"/>
        <v>#REF!</v>
      </c>
    </row>
    <row r="253" ht="14.25" customHeight="1">
      <c r="A253" s="171" t="str">
        <f t="shared" ref="A253:I253" si="28">'2.13.'!A13</f>
        <v>#REF!</v>
      </c>
      <c r="B253" s="74" t="str">
        <f t="shared" si="28"/>
        <v>#REF!</v>
      </c>
      <c r="C253" s="74" t="str">
        <f t="shared" si="28"/>
        <v>#REF!</v>
      </c>
      <c r="D253" s="171" t="str">
        <f t="shared" si="28"/>
        <v>#REF!</v>
      </c>
      <c r="E253" s="171" t="str">
        <f t="shared" si="28"/>
        <v>#REF!</v>
      </c>
      <c r="F253" s="173" t="str">
        <f t="shared" si="28"/>
        <v>#REF!</v>
      </c>
      <c r="G253" s="189" t="str">
        <f t="shared" si="28"/>
        <v>#REF!</v>
      </c>
      <c r="H253" s="120" t="str">
        <f t="shared" si="28"/>
        <v>#REF!</v>
      </c>
      <c r="I253" s="120" t="str">
        <f t="shared" si="28"/>
        <v>#REF!</v>
      </c>
    </row>
    <row r="254" ht="14.25" customHeight="1">
      <c r="A254" s="171" t="str">
        <f t="shared" ref="A254:I254" si="29">'2.13.'!A14</f>
        <v>#REF!</v>
      </c>
      <c r="B254" s="74" t="str">
        <f t="shared" si="29"/>
        <v>#REF!</v>
      </c>
      <c r="C254" s="74" t="str">
        <f t="shared" si="29"/>
        <v>#REF!</v>
      </c>
      <c r="D254" s="171" t="str">
        <f t="shared" si="29"/>
        <v>#REF!</v>
      </c>
      <c r="E254" s="171" t="str">
        <f t="shared" si="29"/>
        <v>#REF!</v>
      </c>
      <c r="F254" s="173" t="str">
        <f t="shared" si="29"/>
        <v>#REF!</v>
      </c>
      <c r="G254" s="189" t="str">
        <f t="shared" si="29"/>
        <v>#REF!</v>
      </c>
      <c r="H254" s="120" t="str">
        <f t="shared" si="29"/>
        <v>#REF!</v>
      </c>
      <c r="I254" s="120" t="str">
        <f t="shared" si="29"/>
        <v>#REF!</v>
      </c>
    </row>
    <row r="255" ht="14.25" customHeight="1">
      <c r="A255" s="171" t="str">
        <f t="shared" ref="A255:I255" si="30">'2.13.'!A15</f>
        <v>#REF!</v>
      </c>
      <c r="B255" s="74" t="str">
        <f t="shared" si="30"/>
        <v>#REF!</v>
      </c>
      <c r="C255" s="74" t="str">
        <f t="shared" si="30"/>
        <v>#REF!</v>
      </c>
      <c r="D255" s="171" t="str">
        <f t="shared" si="30"/>
        <v>#REF!</v>
      </c>
      <c r="E255" s="171" t="str">
        <f t="shared" si="30"/>
        <v>#REF!</v>
      </c>
      <c r="F255" s="173" t="str">
        <f t="shared" si="30"/>
        <v>#REF!</v>
      </c>
      <c r="G255" s="189" t="str">
        <f t="shared" si="30"/>
        <v>#REF!</v>
      </c>
      <c r="H255" s="120" t="str">
        <f t="shared" si="30"/>
        <v>#REF!</v>
      </c>
      <c r="I255" s="120" t="str">
        <f t="shared" si="30"/>
        <v>#REF!</v>
      </c>
    </row>
    <row r="256" ht="14.25" customHeight="1">
      <c r="A256" s="171" t="str">
        <f t="shared" ref="A256:I256" si="31">'2.13.'!A16</f>
        <v>#REF!</v>
      </c>
      <c r="B256" s="74" t="str">
        <f t="shared" si="31"/>
        <v>#REF!</v>
      </c>
      <c r="C256" s="74" t="str">
        <f t="shared" si="31"/>
        <v>#REF!</v>
      </c>
      <c r="D256" s="171" t="str">
        <f t="shared" si="31"/>
        <v>#REF!</v>
      </c>
      <c r="E256" s="171" t="str">
        <f t="shared" si="31"/>
        <v>#REF!</v>
      </c>
      <c r="F256" s="171" t="str">
        <f t="shared" si="31"/>
        <v>#REF!</v>
      </c>
      <c r="G256" s="189" t="str">
        <f t="shared" si="31"/>
        <v>#REF!</v>
      </c>
      <c r="H256" s="120" t="str">
        <f t="shared" si="31"/>
        <v>#REF!</v>
      </c>
      <c r="I256" s="120" t="str">
        <f t="shared" si="31"/>
        <v>#REF!</v>
      </c>
    </row>
    <row r="257" ht="14.25" customHeight="1">
      <c r="A257" s="171" t="str">
        <f t="shared" ref="A257:I257" si="32">'2.13.'!A17</f>
        <v>#REF!</v>
      </c>
      <c r="B257" s="74" t="str">
        <f t="shared" si="32"/>
        <v>#REF!</v>
      </c>
      <c r="C257" s="74" t="str">
        <f t="shared" si="32"/>
        <v>#REF!</v>
      </c>
      <c r="D257" s="171" t="str">
        <f t="shared" si="32"/>
        <v>#REF!</v>
      </c>
      <c r="E257" s="171" t="str">
        <f t="shared" si="32"/>
        <v>#REF!</v>
      </c>
      <c r="F257" s="173" t="str">
        <f t="shared" si="32"/>
        <v>#REF!</v>
      </c>
      <c r="G257" s="189" t="str">
        <f t="shared" si="32"/>
        <v>#REF!</v>
      </c>
      <c r="H257" s="120" t="str">
        <f t="shared" si="32"/>
        <v>#REF!</v>
      </c>
      <c r="I257" s="120" t="str">
        <f t="shared" si="32"/>
        <v>#REF!</v>
      </c>
    </row>
    <row r="258" ht="14.25" customHeight="1">
      <c r="A258" s="171" t="str">
        <f t="shared" ref="A258:I258" si="33">'2.13.'!A18</f>
        <v>#REF!</v>
      </c>
      <c r="B258" s="74" t="str">
        <f t="shared" si="33"/>
        <v>#REF!</v>
      </c>
      <c r="C258" s="74" t="str">
        <f t="shared" si="33"/>
        <v>#REF!</v>
      </c>
      <c r="D258" s="171" t="str">
        <f t="shared" si="33"/>
        <v>#REF!</v>
      </c>
      <c r="E258" s="171" t="str">
        <f t="shared" si="33"/>
        <v>#REF!</v>
      </c>
      <c r="F258" s="173" t="str">
        <f t="shared" si="33"/>
        <v>#REF!</v>
      </c>
      <c r="G258" s="189" t="str">
        <f t="shared" si="33"/>
        <v>#REF!</v>
      </c>
      <c r="H258" s="120" t="str">
        <f t="shared" si="33"/>
        <v>#REF!</v>
      </c>
      <c r="I258" s="120" t="str">
        <f t="shared" si="33"/>
        <v>#REF!</v>
      </c>
    </row>
    <row r="259" ht="14.25" customHeight="1">
      <c r="A259" s="127" t="str">
        <f t="shared" ref="A259:I259" si="34">'2.13.'!A19</f>
        <v>#REF!</v>
      </c>
      <c r="B259" s="127" t="str">
        <f t="shared" si="34"/>
        <v>#REF!</v>
      </c>
      <c r="C259" s="127" t="str">
        <f t="shared" si="34"/>
        <v>#REF!</v>
      </c>
      <c r="D259" s="127" t="str">
        <f t="shared" si="34"/>
        <v>#REF!</v>
      </c>
      <c r="E259" s="127" t="str">
        <f t="shared" si="34"/>
        <v>#REF!</v>
      </c>
      <c r="F259" s="126" t="str">
        <f t="shared" si="34"/>
        <v>#REF!</v>
      </c>
      <c r="G259" s="3" t="str">
        <f t="shared" si="34"/>
        <v>#REF!</v>
      </c>
      <c r="H259" s="120" t="str">
        <f t="shared" si="34"/>
        <v>#REF!</v>
      </c>
      <c r="I259" s="120" t="str">
        <f t="shared" si="34"/>
        <v>#REF!</v>
      </c>
    </row>
    <row r="260" ht="14.25" customHeight="1">
      <c r="A260" s="190" t="str">
        <f t="shared" ref="A260:I260" si="35">'2.13.'!A20</f>
        <v>#REF!</v>
      </c>
      <c r="B260" s="191" t="str">
        <f t="shared" si="35"/>
        <v>#REF!</v>
      </c>
      <c r="C260" s="191" t="str">
        <f t="shared" si="35"/>
        <v>#REF!</v>
      </c>
      <c r="D260" s="191" t="str">
        <f t="shared" si="35"/>
        <v>#REF!</v>
      </c>
      <c r="E260" s="191" t="str">
        <f t="shared" si="35"/>
        <v>#REF!</v>
      </c>
      <c r="F260" s="191" t="str">
        <f t="shared" si="35"/>
        <v>#REF!</v>
      </c>
      <c r="G260" s="177" t="str">
        <f t="shared" si="35"/>
        <v>#REF!</v>
      </c>
      <c r="H260" s="191" t="str">
        <f t="shared" si="35"/>
        <v>#REF!</v>
      </c>
      <c r="I260" s="192" t="str">
        <f t="shared" si="35"/>
        <v>#REF!</v>
      </c>
    </row>
    <row r="261" ht="14.25" customHeight="1">
      <c r="G261" s="3"/>
    </row>
    <row r="262" ht="14.25" customHeight="1">
      <c r="G262" s="3"/>
    </row>
    <row r="263">
      <c r="A263" s="162" t="str">
        <f t="shared" ref="A263:B263" si="36">'2.14.'!A3</f>
        <v>#REF!</v>
      </c>
      <c r="B263" s="163" t="str">
        <f t="shared" si="36"/>
        <v>#REF!</v>
      </c>
      <c r="C263" s="164"/>
      <c r="D263" s="164"/>
      <c r="E263" s="164"/>
      <c r="F263" s="164"/>
      <c r="G263" s="165" t="str">
        <f t="shared" ref="G263:I263" si="37">'2.14.'!G3</f>
        <v>#REF!</v>
      </c>
      <c r="H263" s="166" t="str">
        <f t="shared" si="37"/>
        <v>#REF!</v>
      </c>
      <c r="I263" s="167" t="str">
        <f t="shared" si="37"/>
        <v>#REF!</v>
      </c>
    </row>
    <row r="264" ht="14.25" customHeight="1">
      <c r="A264" s="127" t="str">
        <f t="shared" ref="A264:I264" si="38">'2.14.'!A4</f>
        <v>#REF!</v>
      </c>
      <c r="B264" s="127" t="str">
        <f t="shared" si="38"/>
        <v>#REF!</v>
      </c>
      <c r="C264" s="127" t="str">
        <f t="shared" si="38"/>
        <v>#REF!</v>
      </c>
      <c r="D264" s="127" t="str">
        <f t="shared" si="38"/>
        <v>#REF!</v>
      </c>
      <c r="E264" s="127" t="str">
        <f t="shared" si="38"/>
        <v>#REF!</v>
      </c>
      <c r="F264" s="127" t="str">
        <f t="shared" si="38"/>
        <v>#REF!</v>
      </c>
      <c r="G264" s="3" t="str">
        <f t="shared" si="38"/>
        <v>#REF!</v>
      </c>
      <c r="H264" s="127" t="str">
        <f t="shared" si="38"/>
        <v>#REF!</v>
      </c>
      <c r="I264" s="127" t="str">
        <f t="shared" si="38"/>
        <v>#REF!</v>
      </c>
    </row>
    <row r="265" ht="14.25" customHeight="1">
      <c r="A265" s="168" t="str">
        <f t="shared" ref="A265:I265" si="39">'2.14.'!A5</f>
        <v>#REF!</v>
      </c>
      <c r="B265" s="76" t="str">
        <f t="shared" si="39"/>
        <v>#REF!</v>
      </c>
      <c r="C265" s="76" t="str">
        <f t="shared" si="39"/>
        <v>#REF!</v>
      </c>
      <c r="D265" s="76" t="str">
        <f t="shared" si="39"/>
        <v>#REF!</v>
      </c>
      <c r="E265" s="76" t="str">
        <f t="shared" si="39"/>
        <v>#REF!</v>
      </c>
      <c r="F265" s="76" t="str">
        <f t="shared" si="39"/>
        <v>#REF!</v>
      </c>
      <c r="G265" s="2" t="str">
        <f t="shared" si="39"/>
        <v>#REF!</v>
      </c>
      <c r="H265" s="76" t="str">
        <f t="shared" si="39"/>
        <v>#REF!</v>
      </c>
      <c r="I265" s="76" t="str">
        <f t="shared" si="39"/>
        <v>#REF!</v>
      </c>
    </row>
    <row r="266" ht="14.25" customHeight="1">
      <c r="A266" s="169" t="str">
        <f t="shared" ref="A266:D266" si="40">'2.14.'!A6</f>
        <v>#REF!</v>
      </c>
      <c r="B266" s="169" t="str">
        <f t="shared" si="40"/>
        <v>#REF!</v>
      </c>
      <c r="C266" s="169" t="str">
        <f t="shared" si="40"/>
        <v>#REF!</v>
      </c>
      <c r="D266" s="170" t="str">
        <f t="shared" si="40"/>
        <v>#REF!</v>
      </c>
      <c r="E266" s="164"/>
      <c r="F266" s="169" t="str">
        <f t="shared" ref="F266:I266" si="41">'2.14.'!F6</f>
        <v>#REF!</v>
      </c>
      <c r="G266" s="4" t="str">
        <f t="shared" si="41"/>
        <v>#REF!</v>
      </c>
      <c r="H266" s="169" t="str">
        <f t="shared" si="41"/>
        <v>#REF!</v>
      </c>
      <c r="I266" s="169" t="str">
        <f t="shared" si="41"/>
        <v>#REF!</v>
      </c>
    </row>
    <row r="267" ht="14.25" customHeight="1">
      <c r="A267" s="171" t="str">
        <f t="shared" ref="A267:I267" si="42">'2.14.'!A7</f>
        <v>#REF!</v>
      </c>
      <c r="B267" s="74" t="str">
        <f t="shared" si="42"/>
        <v>#REF!</v>
      </c>
      <c r="C267" s="74" t="str">
        <f t="shared" si="42"/>
        <v>#REF!</v>
      </c>
      <c r="D267" s="172" t="str">
        <f t="shared" si="42"/>
        <v>#REF!</v>
      </c>
      <c r="E267" s="171" t="str">
        <f t="shared" si="42"/>
        <v>#REF!</v>
      </c>
      <c r="F267" s="173" t="str">
        <f t="shared" si="42"/>
        <v>#REF!</v>
      </c>
      <c r="G267" s="189" t="str">
        <f t="shared" si="42"/>
        <v>#REF!</v>
      </c>
      <c r="H267" s="120" t="str">
        <f t="shared" si="42"/>
        <v>#REF!</v>
      </c>
      <c r="I267" s="120" t="str">
        <f t="shared" si="42"/>
        <v>#REF!</v>
      </c>
    </row>
    <row r="268" ht="14.25" customHeight="1">
      <c r="A268" s="171" t="str">
        <f t="shared" ref="A268:I268" si="43">'2.14.'!A8</f>
        <v>#REF!</v>
      </c>
      <c r="B268" s="74" t="str">
        <f t="shared" si="43"/>
        <v>#REF!</v>
      </c>
      <c r="C268" s="74" t="str">
        <f t="shared" si="43"/>
        <v>#REF!</v>
      </c>
      <c r="D268" s="172" t="str">
        <f t="shared" si="43"/>
        <v>#REF!</v>
      </c>
      <c r="E268" s="171" t="str">
        <f t="shared" si="43"/>
        <v>#REF!</v>
      </c>
      <c r="F268" s="173" t="str">
        <f t="shared" si="43"/>
        <v>#REF!</v>
      </c>
      <c r="G268" s="189" t="str">
        <f t="shared" si="43"/>
        <v>#REF!</v>
      </c>
      <c r="H268" s="120" t="str">
        <f t="shared" si="43"/>
        <v>#REF!</v>
      </c>
      <c r="I268" s="120" t="str">
        <f t="shared" si="43"/>
        <v>#REF!</v>
      </c>
    </row>
    <row r="269" ht="14.25" customHeight="1">
      <c r="A269" s="171" t="str">
        <f t="shared" ref="A269:I269" si="44">'2.14.'!A9</f>
        <v>#REF!</v>
      </c>
      <c r="B269" s="74" t="str">
        <f t="shared" si="44"/>
        <v>#REF!</v>
      </c>
      <c r="C269" s="74" t="str">
        <f t="shared" si="44"/>
        <v>#REF!</v>
      </c>
      <c r="D269" s="171" t="str">
        <f t="shared" si="44"/>
        <v>#REF!</v>
      </c>
      <c r="E269" s="171" t="str">
        <f t="shared" si="44"/>
        <v>#REF!</v>
      </c>
      <c r="F269" s="173" t="str">
        <f t="shared" si="44"/>
        <v>#REF!</v>
      </c>
      <c r="G269" s="189" t="str">
        <f t="shared" si="44"/>
        <v>#REF!</v>
      </c>
      <c r="H269" s="120" t="str">
        <f t="shared" si="44"/>
        <v>#REF!</v>
      </c>
      <c r="I269" s="120" t="str">
        <f t="shared" si="44"/>
        <v>#REF!</v>
      </c>
    </row>
    <row r="270" ht="14.25" customHeight="1">
      <c r="A270" s="171" t="str">
        <f t="shared" ref="A270:I270" si="45">'2.14.'!A10</f>
        <v>#REF!</v>
      </c>
      <c r="B270" s="74" t="str">
        <f t="shared" si="45"/>
        <v>#REF!</v>
      </c>
      <c r="C270" s="74" t="str">
        <f t="shared" si="45"/>
        <v>#REF!</v>
      </c>
      <c r="D270" s="171" t="str">
        <f t="shared" si="45"/>
        <v>#REF!</v>
      </c>
      <c r="E270" s="171" t="str">
        <f t="shared" si="45"/>
        <v>#REF!</v>
      </c>
      <c r="F270" s="173" t="str">
        <f t="shared" si="45"/>
        <v>#REF!</v>
      </c>
      <c r="G270" s="189" t="str">
        <f t="shared" si="45"/>
        <v>#REF!</v>
      </c>
      <c r="H270" s="120" t="str">
        <f t="shared" si="45"/>
        <v>#REF!</v>
      </c>
      <c r="I270" s="120" t="str">
        <f t="shared" si="45"/>
        <v>#REF!</v>
      </c>
    </row>
    <row r="271" ht="14.25" customHeight="1">
      <c r="A271" s="171" t="str">
        <f t="shared" ref="A271:I271" si="46">'2.14.'!A11</f>
        <v>#REF!</v>
      </c>
      <c r="B271" s="74" t="str">
        <f t="shared" si="46"/>
        <v>#REF!</v>
      </c>
      <c r="C271" s="74" t="str">
        <f t="shared" si="46"/>
        <v>#REF!</v>
      </c>
      <c r="D271" s="171" t="str">
        <f t="shared" si="46"/>
        <v>#REF!</v>
      </c>
      <c r="E271" s="171" t="str">
        <f t="shared" si="46"/>
        <v>#REF!</v>
      </c>
      <c r="F271" s="173" t="str">
        <f t="shared" si="46"/>
        <v>#REF!</v>
      </c>
      <c r="G271" s="189" t="str">
        <f t="shared" si="46"/>
        <v>#REF!</v>
      </c>
      <c r="H271" s="120" t="str">
        <f t="shared" si="46"/>
        <v>#REF!</v>
      </c>
      <c r="I271" s="120" t="str">
        <f t="shared" si="46"/>
        <v>#REF!</v>
      </c>
    </row>
    <row r="272" ht="14.25" customHeight="1">
      <c r="A272" s="171" t="str">
        <f t="shared" ref="A272:I272" si="47">'2.14.'!A12</f>
        <v>#REF!</v>
      </c>
      <c r="B272" s="74" t="str">
        <f t="shared" si="47"/>
        <v>#REF!</v>
      </c>
      <c r="C272" s="74" t="str">
        <f t="shared" si="47"/>
        <v>#REF!</v>
      </c>
      <c r="D272" s="171" t="str">
        <f t="shared" si="47"/>
        <v>#REF!</v>
      </c>
      <c r="E272" s="171" t="str">
        <f t="shared" si="47"/>
        <v>#REF!</v>
      </c>
      <c r="F272" s="173" t="str">
        <f t="shared" si="47"/>
        <v>#REF!</v>
      </c>
      <c r="G272" s="189" t="str">
        <f t="shared" si="47"/>
        <v>#REF!</v>
      </c>
      <c r="H272" s="120" t="str">
        <f t="shared" si="47"/>
        <v>#REF!</v>
      </c>
      <c r="I272" s="120" t="str">
        <f t="shared" si="47"/>
        <v>#REF!</v>
      </c>
    </row>
    <row r="273" ht="14.25" customHeight="1">
      <c r="A273" s="171" t="str">
        <f t="shared" ref="A273:I273" si="48">'2.14.'!A13</f>
        <v>#REF!</v>
      </c>
      <c r="B273" s="74" t="str">
        <f t="shared" si="48"/>
        <v>#REF!</v>
      </c>
      <c r="C273" s="74" t="str">
        <f t="shared" si="48"/>
        <v>#REF!</v>
      </c>
      <c r="D273" s="171" t="str">
        <f t="shared" si="48"/>
        <v>#REF!</v>
      </c>
      <c r="E273" s="171" t="str">
        <f t="shared" si="48"/>
        <v>#REF!</v>
      </c>
      <c r="F273" s="173" t="str">
        <f t="shared" si="48"/>
        <v>#REF!</v>
      </c>
      <c r="G273" s="189" t="str">
        <f t="shared" si="48"/>
        <v>#REF!</v>
      </c>
      <c r="H273" s="120" t="str">
        <f t="shared" si="48"/>
        <v>#REF!</v>
      </c>
      <c r="I273" s="120" t="str">
        <f t="shared" si="48"/>
        <v>#REF!</v>
      </c>
    </row>
    <row r="274" ht="14.25" customHeight="1">
      <c r="A274" s="171" t="str">
        <f t="shared" ref="A274:I274" si="49">'2.14.'!A14</f>
        <v>#REF!</v>
      </c>
      <c r="B274" s="74" t="str">
        <f t="shared" si="49"/>
        <v>#REF!</v>
      </c>
      <c r="C274" s="74" t="str">
        <f t="shared" si="49"/>
        <v>#REF!</v>
      </c>
      <c r="D274" s="171" t="str">
        <f t="shared" si="49"/>
        <v>#REF!</v>
      </c>
      <c r="E274" s="171" t="str">
        <f t="shared" si="49"/>
        <v>#REF!</v>
      </c>
      <c r="F274" s="173" t="str">
        <f t="shared" si="49"/>
        <v>#REF!</v>
      </c>
      <c r="G274" s="189" t="str">
        <f t="shared" si="49"/>
        <v>#REF!</v>
      </c>
      <c r="H274" s="120" t="str">
        <f t="shared" si="49"/>
        <v>#REF!</v>
      </c>
      <c r="I274" s="120" t="str">
        <f t="shared" si="49"/>
        <v>#REF!</v>
      </c>
    </row>
    <row r="275" ht="14.25" customHeight="1">
      <c r="A275" s="171" t="str">
        <f t="shared" ref="A275:I275" si="50">'2.14.'!A15</f>
        <v>#REF!</v>
      </c>
      <c r="B275" s="74" t="str">
        <f t="shared" si="50"/>
        <v>#REF!</v>
      </c>
      <c r="C275" s="74" t="str">
        <f t="shared" si="50"/>
        <v>#REF!</v>
      </c>
      <c r="D275" s="171" t="str">
        <f t="shared" si="50"/>
        <v>#REF!</v>
      </c>
      <c r="E275" s="171" t="str">
        <f t="shared" si="50"/>
        <v>#REF!</v>
      </c>
      <c r="F275" s="173" t="str">
        <f t="shared" si="50"/>
        <v>#REF!</v>
      </c>
      <c r="G275" s="189" t="str">
        <f t="shared" si="50"/>
        <v>#REF!</v>
      </c>
      <c r="H275" s="120" t="str">
        <f t="shared" si="50"/>
        <v>#REF!</v>
      </c>
      <c r="I275" s="120" t="str">
        <f t="shared" si="50"/>
        <v>#REF!</v>
      </c>
    </row>
    <row r="276" ht="14.25" customHeight="1">
      <c r="A276" s="171" t="str">
        <f t="shared" ref="A276:I276" si="51">'2.14.'!A16</f>
        <v>#REF!</v>
      </c>
      <c r="B276" s="74" t="str">
        <f t="shared" si="51"/>
        <v>#REF!</v>
      </c>
      <c r="C276" s="74" t="str">
        <f t="shared" si="51"/>
        <v>#REF!</v>
      </c>
      <c r="D276" s="171" t="str">
        <f t="shared" si="51"/>
        <v>#REF!</v>
      </c>
      <c r="E276" s="171" t="str">
        <f t="shared" si="51"/>
        <v>#REF!</v>
      </c>
      <c r="F276" s="173" t="str">
        <f t="shared" si="51"/>
        <v>#REF!</v>
      </c>
      <c r="G276" s="189" t="str">
        <f t="shared" si="51"/>
        <v>#REF!</v>
      </c>
      <c r="H276" s="120" t="str">
        <f t="shared" si="51"/>
        <v>#REF!</v>
      </c>
      <c r="I276" s="120" t="str">
        <f t="shared" si="51"/>
        <v>#REF!</v>
      </c>
    </row>
    <row r="277" ht="14.25" customHeight="1">
      <c r="A277" s="171" t="str">
        <f t="shared" ref="A277:I277" si="52">'2.14.'!A17</f>
        <v>#REF!</v>
      </c>
      <c r="B277" s="74" t="str">
        <f t="shared" si="52"/>
        <v>#REF!</v>
      </c>
      <c r="C277" s="74" t="str">
        <f t="shared" si="52"/>
        <v>#REF!</v>
      </c>
      <c r="D277" s="171" t="str">
        <f t="shared" si="52"/>
        <v>#REF!</v>
      </c>
      <c r="E277" s="171" t="str">
        <f t="shared" si="52"/>
        <v>#REF!</v>
      </c>
      <c r="F277" s="173" t="str">
        <f t="shared" si="52"/>
        <v>#REF!</v>
      </c>
      <c r="G277" s="189" t="str">
        <f t="shared" si="52"/>
        <v>#REF!</v>
      </c>
      <c r="H277" s="120" t="str">
        <f t="shared" si="52"/>
        <v>#REF!</v>
      </c>
      <c r="I277" s="120" t="str">
        <f t="shared" si="52"/>
        <v>#REF!</v>
      </c>
    </row>
    <row r="278" ht="14.25" customHeight="1">
      <c r="A278" s="171" t="str">
        <f t="shared" ref="A278:I278" si="53">'2.14.'!A18</f>
        <v>#REF!</v>
      </c>
      <c r="B278" s="74" t="str">
        <f t="shared" si="53"/>
        <v>#REF!</v>
      </c>
      <c r="C278" s="74" t="str">
        <f t="shared" si="53"/>
        <v>#REF!</v>
      </c>
      <c r="D278" s="171" t="str">
        <f t="shared" si="53"/>
        <v>#REF!</v>
      </c>
      <c r="E278" s="171" t="str">
        <f t="shared" si="53"/>
        <v>#REF!</v>
      </c>
      <c r="F278" s="173" t="str">
        <f t="shared" si="53"/>
        <v>#REF!</v>
      </c>
      <c r="G278" s="189" t="str">
        <f t="shared" si="53"/>
        <v>#REF!</v>
      </c>
      <c r="H278" s="120" t="str">
        <f t="shared" si="53"/>
        <v>#REF!</v>
      </c>
      <c r="I278" s="120" t="str">
        <f t="shared" si="53"/>
        <v>#REF!</v>
      </c>
    </row>
    <row r="279" ht="15.75" customHeight="1">
      <c r="A279" s="127" t="str">
        <f t="shared" ref="A279:I279" si="54">'2.14.'!A19</f>
        <v>#REF!</v>
      </c>
      <c r="B279" s="127" t="str">
        <f t="shared" si="54"/>
        <v>#REF!</v>
      </c>
      <c r="C279" s="127" t="str">
        <f t="shared" si="54"/>
        <v>#REF!</v>
      </c>
      <c r="D279" s="127" t="str">
        <f t="shared" si="54"/>
        <v>#REF!</v>
      </c>
      <c r="E279" s="127" t="str">
        <f t="shared" si="54"/>
        <v>#REF!</v>
      </c>
      <c r="F279" s="126" t="str">
        <f t="shared" si="54"/>
        <v>#REF!</v>
      </c>
      <c r="G279" s="3" t="str">
        <f t="shared" si="54"/>
        <v>#REF!</v>
      </c>
      <c r="H279" s="120" t="str">
        <f t="shared" si="54"/>
        <v>#REF!</v>
      </c>
      <c r="I279" s="120" t="str">
        <f t="shared" si="54"/>
        <v>#REF!</v>
      </c>
    </row>
    <row r="280" ht="15.75" customHeight="1">
      <c r="A280" s="190" t="str">
        <f t="shared" ref="A280:I280" si="55">'2.14.'!A20</f>
        <v>#REF!</v>
      </c>
      <c r="B280" s="191" t="str">
        <f t="shared" si="55"/>
        <v>#REF!</v>
      </c>
      <c r="C280" s="191" t="str">
        <f t="shared" si="55"/>
        <v>#REF!</v>
      </c>
      <c r="D280" s="191" t="str">
        <f t="shared" si="55"/>
        <v>#REF!</v>
      </c>
      <c r="E280" s="191" t="str">
        <f t="shared" si="55"/>
        <v>#REF!</v>
      </c>
      <c r="F280" s="191" t="str">
        <f t="shared" si="55"/>
        <v>#REF!</v>
      </c>
      <c r="G280" s="177" t="str">
        <f t="shared" si="55"/>
        <v>#REF!</v>
      </c>
      <c r="H280" s="191" t="str">
        <f t="shared" si="55"/>
        <v>#REF!</v>
      </c>
      <c r="I280" s="192" t="str">
        <f t="shared" si="55"/>
        <v>#REF!</v>
      </c>
    </row>
    <row r="281" ht="15.75" customHeight="1">
      <c r="G281" s="3"/>
    </row>
    <row r="282" ht="15.75" customHeight="1">
      <c r="G282" s="3"/>
    </row>
    <row r="283">
      <c r="A283" s="162" t="str">
        <f t="shared" ref="A283:B283" si="56">'2.15.'!A3</f>
        <v>#REF!</v>
      </c>
      <c r="B283" s="163" t="str">
        <f t="shared" si="56"/>
        <v>#REF!</v>
      </c>
      <c r="C283" s="164"/>
      <c r="D283" s="164"/>
      <c r="E283" s="164"/>
      <c r="F283" s="164"/>
      <c r="G283" s="165" t="str">
        <f t="shared" ref="G283:I283" si="57">'2.15.'!G3</f>
        <v>#REF!</v>
      </c>
      <c r="H283" s="166" t="str">
        <f t="shared" si="57"/>
        <v>#REF!</v>
      </c>
      <c r="I283" s="167" t="str">
        <f t="shared" si="57"/>
        <v>#REF!</v>
      </c>
    </row>
    <row r="284" ht="15.75" customHeight="1">
      <c r="A284" s="127" t="str">
        <f t="shared" ref="A284:I284" si="58">'2.15.'!A4</f>
        <v>#REF!</v>
      </c>
      <c r="B284" s="127" t="str">
        <f t="shared" si="58"/>
        <v>#REF!</v>
      </c>
      <c r="C284" s="127" t="str">
        <f t="shared" si="58"/>
        <v>#REF!</v>
      </c>
      <c r="D284" s="127" t="str">
        <f t="shared" si="58"/>
        <v>#REF!</v>
      </c>
      <c r="E284" s="127" t="str">
        <f t="shared" si="58"/>
        <v>#REF!</v>
      </c>
      <c r="F284" s="127" t="str">
        <f t="shared" si="58"/>
        <v>#REF!</v>
      </c>
      <c r="G284" s="3" t="str">
        <f t="shared" si="58"/>
        <v>#REF!</v>
      </c>
      <c r="H284" s="127" t="str">
        <f t="shared" si="58"/>
        <v>#REF!</v>
      </c>
      <c r="I284" s="127" t="str">
        <f t="shared" si="58"/>
        <v>#REF!</v>
      </c>
    </row>
    <row r="285" ht="15.75" customHeight="1">
      <c r="A285" s="168" t="str">
        <f t="shared" ref="A285:I285" si="59">'2.15.'!A5</f>
        <v>#REF!</v>
      </c>
      <c r="B285" s="76" t="str">
        <f t="shared" si="59"/>
        <v>#REF!</v>
      </c>
      <c r="C285" s="76" t="str">
        <f t="shared" si="59"/>
        <v>#REF!</v>
      </c>
      <c r="D285" s="76" t="str">
        <f t="shared" si="59"/>
        <v>#REF!</v>
      </c>
      <c r="E285" s="76" t="str">
        <f t="shared" si="59"/>
        <v>#REF!</v>
      </c>
      <c r="F285" s="76" t="str">
        <f t="shared" si="59"/>
        <v>#REF!</v>
      </c>
      <c r="G285" s="2" t="str">
        <f t="shared" si="59"/>
        <v>#REF!</v>
      </c>
      <c r="H285" s="76" t="str">
        <f t="shared" si="59"/>
        <v>#REF!</v>
      </c>
      <c r="I285" s="76" t="str">
        <f t="shared" si="59"/>
        <v>#REF!</v>
      </c>
    </row>
    <row r="286" ht="15.75" customHeight="1">
      <c r="A286" s="169" t="str">
        <f t="shared" ref="A286:D286" si="60">'2.15.'!A6</f>
        <v>#REF!</v>
      </c>
      <c r="B286" s="169" t="str">
        <f t="shared" si="60"/>
        <v>#REF!</v>
      </c>
      <c r="C286" s="169" t="str">
        <f t="shared" si="60"/>
        <v>#REF!</v>
      </c>
      <c r="D286" s="170" t="str">
        <f t="shared" si="60"/>
        <v>#REF!</v>
      </c>
      <c r="E286" s="164"/>
      <c r="F286" s="169" t="str">
        <f t="shared" ref="F286:I286" si="61">'2.15.'!F6</f>
        <v>#REF!</v>
      </c>
      <c r="G286" s="4" t="str">
        <f t="shared" si="61"/>
        <v>#REF!</v>
      </c>
      <c r="H286" s="169" t="str">
        <f t="shared" si="61"/>
        <v>#REF!</v>
      </c>
      <c r="I286" s="169" t="str">
        <f t="shared" si="61"/>
        <v>#REF!</v>
      </c>
    </row>
    <row r="287" ht="15.75" customHeight="1">
      <c r="A287" s="171" t="str">
        <f t="shared" ref="A287:I287" si="62">'2.15.'!A7</f>
        <v>#REF!</v>
      </c>
      <c r="B287" s="74" t="str">
        <f t="shared" si="62"/>
        <v>#REF!</v>
      </c>
      <c r="C287" s="74" t="str">
        <f t="shared" si="62"/>
        <v>#REF!</v>
      </c>
      <c r="D287" s="172" t="str">
        <f t="shared" si="62"/>
        <v>#REF!</v>
      </c>
      <c r="E287" s="171" t="str">
        <f t="shared" si="62"/>
        <v>#REF!</v>
      </c>
      <c r="F287" s="173" t="str">
        <f t="shared" si="62"/>
        <v>#REF!</v>
      </c>
      <c r="G287" s="189" t="str">
        <f t="shared" si="62"/>
        <v>#REF!</v>
      </c>
      <c r="H287" s="120" t="str">
        <f t="shared" si="62"/>
        <v>#REF!</v>
      </c>
      <c r="I287" s="120" t="str">
        <f t="shared" si="62"/>
        <v>#REF!</v>
      </c>
    </row>
    <row r="288" ht="15.75" customHeight="1">
      <c r="A288" s="171" t="str">
        <f t="shared" ref="A288:I288" si="63">'2.15.'!A8</f>
        <v>#REF!</v>
      </c>
      <c r="B288" s="74" t="str">
        <f t="shared" si="63"/>
        <v>#REF!</v>
      </c>
      <c r="C288" s="74" t="str">
        <f t="shared" si="63"/>
        <v>#REF!</v>
      </c>
      <c r="D288" s="172" t="str">
        <f t="shared" si="63"/>
        <v>#REF!</v>
      </c>
      <c r="E288" s="171" t="str">
        <f t="shared" si="63"/>
        <v>#REF!</v>
      </c>
      <c r="F288" s="173" t="str">
        <f t="shared" si="63"/>
        <v>#REF!</v>
      </c>
      <c r="G288" s="189" t="str">
        <f t="shared" si="63"/>
        <v>#REF!</v>
      </c>
      <c r="H288" s="120" t="str">
        <f t="shared" si="63"/>
        <v>#REF!</v>
      </c>
      <c r="I288" s="120" t="str">
        <f t="shared" si="63"/>
        <v>#REF!</v>
      </c>
    </row>
    <row r="289" ht="15.75" customHeight="1">
      <c r="A289" s="171" t="str">
        <f t="shared" ref="A289:I289" si="64">'2.15.'!A9</f>
        <v>#REF!</v>
      </c>
      <c r="B289" s="74" t="str">
        <f t="shared" si="64"/>
        <v>#REF!</v>
      </c>
      <c r="C289" s="74" t="str">
        <f t="shared" si="64"/>
        <v>#REF!</v>
      </c>
      <c r="D289" s="171" t="str">
        <f t="shared" si="64"/>
        <v>#REF!</v>
      </c>
      <c r="E289" s="171" t="str">
        <f t="shared" si="64"/>
        <v>#REF!</v>
      </c>
      <c r="F289" s="173" t="str">
        <f t="shared" si="64"/>
        <v>#REF!</v>
      </c>
      <c r="G289" s="189" t="str">
        <f t="shared" si="64"/>
        <v>#REF!</v>
      </c>
      <c r="H289" s="120" t="str">
        <f t="shared" si="64"/>
        <v>#REF!</v>
      </c>
      <c r="I289" s="120" t="str">
        <f t="shared" si="64"/>
        <v>#REF!</v>
      </c>
    </row>
    <row r="290" ht="15.75" customHeight="1">
      <c r="A290" s="171" t="str">
        <f t="shared" ref="A290:I290" si="65">'2.15.'!A10</f>
        <v>#REF!</v>
      </c>
      <c r="B290" s="74" t="str">
        <f t="shared" si="65"/>
        <v>#REF!</v>
      </c>
      <c r="C290" s="74" t="str">
        <f t="shared" si="65"/>
        <v>#REF!</v>
      </c>
      <c r="D290" s="171" t="str">
        <f t="shared" si="65"/>
        <v>#REF!</v>
      </c>
      <c r="E290" s="171" t="str">
        <f t="shared" si="65"/>
        <v>#REF!</v>
      </c>
      <c r="F290" s="173" t="str">
        <f t="shared" si="65"/>
        <v>#REF!</v>
      </c>
      <c r="G290" s="189" t="str">
        <f t="shared" si="65"/>
        <v>#REF!</v>
      </c>
      <c r="H290" s="120" t="str">
        <f t="shared" si="65"/>
        <v>#REF!</v>
      </c>
      <c r="I290" s="120" t="str">
        <f t="shared" si="65"/>
        <v>#REF!</v>
      </c>
    </row>
    <row r="291" ht="15.75" customHeight="1">
      <c r="A291" s="171" t="str">
        <f t="shared" ref="A291:I291" si="66">'2.15.'!A11</f>
        <v>#REF!</v>
      </c>
      <c r="B291" s="74" t="str">
        <f t="shared" si="66"/>
        <v>#REF!</v>
      </c>
      <c r="C291" s="74" t="str">
        <f t="shared" si="66"/>
        <v>#REF!</v>
      </c>
      <c r="D291" s="171" t="str">
        <f t="shared" si="66"/>
        <v>#REF!</v>
      </c>
      <c r="E291" s="171" t="str">
        <f t="shared" si="66"/>
        <v>#REF!</v>
      </c>
      <c r="F291" s="173" t="str">
        <f t="shared" si="66"/>
        <v>#REF!</v>
      </c>
      <c r="G291" s="189" t="str">
        <f t="shared" si="66"/>
        <v>#REF!</v>
      </c>
      <c r="H291" s="120" t="str">
        <f t="shared" si="66"/>
        <v>#REF!</v>
      </c>
      <c r="I291" s="120" t="str">
        <f t="shared" si="66"/>
        <v>#REF!</v>
      </c>
    </row>
    <row r="292" ht="15.75" customHeight="1">
      <c r="A292" s="171" t="str">
        <f t="shared" ref="A292:I292" si="67">'2.15.'!A12</f>
        <v>#REF!</v>
      </c>
      <c r="B292" s="74" t="str">
        <f t="shared" si="67"/>
        <v>#REF!</v>
      </c>
      <c r="C292" s="74" t="str">
        <f t="shared" si="67"/>
        <v>#REF!</v>
      </c>
      <c r="D292" s="171" t="str">
        <f t="shared" si="67"/>
        <v>#REF!</v>
      </c>
      <c r="E292" s="171" t="str">
        <f t="shared" si="67"/>
        <v>#REF!</v>
      </c>
      <c r="F292" s="173" t="str">
        <f t="shared" si="67"/>
        <v>#REF!</v>
      </c>
      <c r="G292" s="189" t="str">
        <f t="shared" si="67"/>
        <v>#REF!</v>
      </c>
      <c r="H292" s="120" t="str">
        <f t="shared" si="67"/>
        <v>#REF!</v>
      </c>
      <c r="I292" s="120" t="str">
        <f t="shared" si="67"/>
        <v>#REF!</v>
      </c>
    </row>
    <row r="293" ht="15.75" customHeight="1">
      <c r="A293" s="171" t="str">
        <f t="shared" ref="A293:I293" si="68">'2.15.'!A13</f>
        <v>#REF!</v>
      </c>
      <c r="B293" s="74" t="str">
        <f t="shared" si="68"/>
        <v>#REF!</v>
      </c>
      <c r="C293" s="74" t="str">
        <f t="shared" si="68"/>
        <v>#REF!</v>
      </c>
      <c r="D293" s="171" t="str">
        <f t="shared" si="68"/>
        <v>#REF!</v>
      </c>
      <c r="E293" s="171" t="str">
        <f t="shared" si="68"/>
        <v>#REF!</v>
      </c>
      <c r="F293" s="173" t="str">
        <f t="shared" si="68"/>
        <v>#REF!</v>
      </c>
      <c r="G293" s="189" t="str">
        <f t="shared" si="68"/>
        <v>#REF!</v>
      </c>
      <c r="H293" s="120" t="str">
        <f t="shared" si="68"/>
        <v>#REF!</v>
      </c>
      <c r="I293" s="120" t="str">
        <f t="shared" si="68"/>
        <v>#REF!</v>
      </c>
    </row>
    <row r="294" ht="15.75" customHeight="1">
      <c r="A294" s="171" t="str">
        <f t="shared" ref="A294:I294" si="69">'2.15.'!A14</f>
        <v>#REF!</v>
      </c>
      <c r="B294" s="74" t="str">
        <f t="shared" si="69"/>
        <v>#REF!</v>
      </c>
      <c r="C294" s="74" t="str">
        <f t="shared" si="69"/>
        <v>#REF!</v>
      </c>
      <c r="D294" s="171" t="str">
        <f t="shared" si="69"/>
        <v>#REF!</v>
      </c>
      <c r="E294" s="171" t="str">
        <f t="shared" si="69"/>
        <v>#REF!</v>
      </c>
      <c r="F294" s="173" t="str">
        <f t="shared" si="69"/>
        <v>#REF!</v>
      </c>
      <c r="G294" s="189" t="str">
        <f t="shared" si="69"/>
        <v>#REF!</v>
      </c>
      <c r="H294" s="120" t="str">
        <f t="shared" si="69"/>
        <v>#REF!</v>
      </c>
      <c r="I294" s="120" t="str">
        <f t="shared" si="69"/>
        <v>#REF!</v>
      </c>
    </row>
    <row r="295" ht="15.75" customHeight="1">
      <c r="A295" s="171" t="str">
        <f t="shared" ref="A295:I295" si="70">'2.15.'!A15</f>
        <v>#REF!</v>
      </c>
      <c r="B295" s="74" t="str">
        <f t="shared" si="70"/>
        <v>#REF!</v>
      </c>
      <c r="C295" s="74" t="str">
        <f t="shared" si="70"/>
        <v>#REF!</v>
      </c>
      <c r="D295" s="171" t="str">
        <f t="shared" si="70"/>
        <v>#REF!</v>
      </c>
      <c r="E295" s="171" t="str">
        <f t="shared" si="70"/>
        <v>#REF!</v>
      </c>
      <c r="F295" s="173" t="str">
        <f t="shared" si="70"/>
        <v>#REF!</v>
      </c>
      <c r="G295" s="189" t="str">
        <f t="shared" si="70"/>
        <v>#REF!</v>
      </c>
      <c r="H295" s="120" t="str">
        <f t="shared" si="70"/>
        <v>#REF!</v>
      </c>
      <c r="I295" s="120" t="str">
        <f t="shared" si="70"/>
        <v>#REF!</v>
      </c>
    </row>
    <row r="296" ht="15.75" customHeight="1">
      <c r="A296" s="171" t="str">
        <f t="shared" ref="A296:I296" si="71">'2.15.'!A16</f>
        <v>#REF!</v>
      </c>
      <c r="B296" s="74" t="str">
        <f t="shared" si="71"/>
        <v>#REF!</v>
      </c>
      <c r="C296" s="74" t="str">
        <f t="shared" si="71"/>
        <v>#REF!</v>
      </c>
      <c r="D296" s="171" t="str">
        <f t="shared" si="71"/>
        <v>#REF!</v>
      </c>
      <c r="E296" s="171" t="str">
        <f t="shared" si="71"/>
        <v>#REF!</v>
      </c>
      <c r="F296" s="173" t="str">
        <f t="shared" si="71"/>
        <v>#REF!</v>
      </c>
      <c r="G296" s="189" t="str">
        <f t="shared" si="71"/>
        <v>#REF!</v>
      </c>
      <c r="H296" s="120" t="str">
        <f t="shared" si="71"/>
        <v>#REF!</v>
      </c>
      <c r="I296" s="120" t="str">
        <f t="shared" si="71"/>
        <v>#REF!</v>
      </c>
    </row>
    <row r="297" ht="15.75" customHeight="1">
      <c r="A297" s="171" t="str">
        <f t="shared" ref="A297:I297" si="72">'2.15.'!A17</f>
        <v>#REF!</v>
      </c>
      <c r="B297" s="74" t="str">
        <f t="shared" si="72"/>
        <v>#REF!</v>
      </c>
      <c r="C297" s="74" t="str">
        <f t="shared" si="72"/>
        <v>#REF!</v>
      </c>
      <c r="D297" s="171" t="str">
        <f t="shared" si="72"/>
        <v>#REF!</v>
      </c>
      <c r="E297" s="171" t="str">
        <f t="shared" si="72"/>
        <v>#REF!</v>
      </c>
      <c r="F297" s="173" t="str">
        <f t="shared" si="72"/>
        <v>#REF!</v>
      </c>
      <c r="G297" s="189" t="str">
        <f t="shared" si="72"/>
        <v>#REF!</v>
      </c>
      <c r="H297" s="120" t="str">
        <f t="shared" si="72"/>
        <v>#REF!</v>
      </c>
      <c r="I297" s="120" t="str">
        <f t="shared" si="72"/>
        <v>#REF!</v>
      </c>
    </row>
    <row r="298" ht="15.75" customHeight="1">
      <c r="A298" s="171" t="str">
        <f t="shared" ref="A298:I298" si="73">'2.15.'!A18</f>
        <v>#REF!</v>
      </c>
      <c r="B298" s="74" t="str">
        <f t="shared" si="73"/>
        <v>#REF!</v>
      </c>
      <c r="C298" s="74" t="str">
        <f t="shared" si="73"/>
        <v>#REF!</v>
      </c>
      <c r="D298" s="171" t="str">
        <f t="shared" si="73"/>
        <v>#REF!</v>
      </c>
      <c r="E298" s="171" t="str">
        <f t="shared" si="73"/>
        <v>#REF!</v>
      </c>
      <c r="F298" s="173" t="str">
        <f t="shared" si="73"/>
        <v>#REF!</v>
      </c>
      <c r="G298" s="189" t="str">
        <f t="shared" si="73"/>
        <v>#REF!</v>
      </c>
      <c r="H298" s="120" t="str">
        <f t="shared" si="73"/>
        <v>#REF!</v>
      </c>
      <c r="I298" s="120" t="str">
        <f t="shared" si="73"/>
        <v>#REF!</v>
      </c>
    </row>
    <row r="299" ht="15.75" customHeight="1">
      <c r="A299" s="127" t="str">
        <f t="shared" ref="A299:I299" si="74">'2.15.'!A19</f>
        <v>#REF!</v>
      </c>
      <c r="B299" s="127" t="str">
        <f t="shared" si="74"/>
        <v>#REF!</v>
      </c>
      <c r="C299" s="127" t="str">
        <f t="shared" si="74"/>
        <v>#REF!</v>
      </c>
      <c r="D299" s="127" t="str">
        <f t="shared" si="74"/>
        <v>#REF!</v>
      </c>
      <c r="E299" s="127" t="str">
        <f t="shared" si="74"/>
        <v>#REF!</v>
      </c>
      <c r="F299" s="126" t="str">
        <f t="shared" si="74"/>
        <v>#REF!</v>
      </c>
      <c r="G299" s="3" t="str">
        <f t="shared" si="74"/>
        <v>#REF!</v>
      </c>
      <c r="H299" s="120" t="str">
        <f t="shared" si="74"/>
        <v>#REF!</v>
      </c>
      <c r="I299" s="120" t="str">
        <f t="shared" si="74"/>
        <v>#REF!</v>
      </c>
    </row>
    <row r="300" ht="15.75" customHeight="1">
      <c r="A300" s="190" t="str">
        <f t="shared" ref="A300:I300" si="75">'2.15.'!A20</f>
        <v>#REF!</v>
      </c>
      <c r="B300" s="191" t="str">
        <f t="shared" si="75"/>
        <v>#REF!</v>
      </c>
      <c r="C300" s="191" t="str">
        <f t="shared" si="75"/>
        <v>#REF!</v>
      </c>
      <c r="D300" s="191" t="str">
        <f t="shared" si="75"/>
        <v>#REF!</v>
      </c>
      <c r="E300" s="191" t="str">
        <f t="shared" si="75"/>
        <v>#REF!</v>
      </c>
      <c r="F300" s="191" t="str">
        <f t="shared" si="75"/>
        <v>#REF!</v>
      </c>
      <c r="G300" s="177" t="str">
        <f t="shared" si="75"/>
        <v>#REF!</v>
      </c>
      <c r="H300" s="191" t="str">
        <f t="shared" si="75"/>
        <v>#REF!</v>
      </c>
      <c r="I300" s="192" t="str">
        <f t="shared" si="75"/>
        <v>#REF!</v>
      </c>
    </row>
    <row r="301" ht="15.75" customHeight="1">
      <c r="G301" s="3"/>
    </row>
    <row r="302" ht="15.75" customHeight="1">
      <c r="G302" s="3"/>
    </row>
    <row r="303">
      <c r="A303" s="162" t="str">
        <f t="shared" ref="A303:B303" si="76">'2.16.'!A3</f>
        <v>#REF!</v>
      </c>
      <c r="B303" s="163" t="str">
        <f t="shared" si="76"/>
        <v>#REF!</v>
      </c>
      <c r="C303" s="164"/>
      <c r="D303" s="164"/>
      <c r="E303" s="164"/>
      <c r="F303" s="164"/>
      <c r="G303" s="165" t="str">
        <f t="shared" ref="G303:I303" si="77">'2.16.'!G3</f>
        <v>#REF!</v>
      </c>
      <c r="H303" s="166" t="str">
        <f t="shared" si="77"/>
        <v>#REF!</v>
      </c>
      <c r="I303" s="167" t="str">
        <f t="shared" si="77"/>
        <v>#REF!</v>
      </c>
    </row>
    <row r="304" ht="15.75" customHeight="1">
      <c r="A304" s="127" t="str">
        <f t="shared" ref="A304:I304" si="78">'2.16.'!A4</f>
        <v>#REF!</v>
      </c>
      <c r="B304" s="127" t="str">
        <f t="shared" si="78"/>
        <v>#REF!</v>
      </c>
      <c r="C304" s="127" t="str">
        <f t="shared" si="78"/>
        <v>#REF!</v>
      </c>
      <c r="D304" s="127" t="str">
        <f t="shared" si="78"/>
        <v>#REF!</v>
      </c>
      <c r="E304" s="127" t="str">
        <f t="shared" si="78"/>
        <v>#REF!</v>
      </c>
      <c r="F304" s="127" t="str">
        <f t="shared" si="78"/>
        <v>#REF!</v>
      </c>
      <c r="G304" s="3" t="str">
        <f t="shared" si="78"/>
        <v>#REF!</v>
      </c>
      <c r="H304" s="127" t="str">
        <f t="shared" si="78"/>
        <v>#REF!</v>
      </c>
      <c r="I304" s="127" t="str">
        <f t="shared" si="78"/>
        <v>#REF!</v>
      </c>
    </row>
    <row r="305" ht="15.75" customHeight="1">
      <c r="A305" s="168" t="str">
        <f t="shared" ref="A305:I305" si="79">'2.16.'!A5</f>
        <v>#REF!</v>
      </c>
      <c r="B305" s="76" t="str">
        <f t="shared" si="79"/>
        <v>#REF!</v>
      </c>
      <c r="C305" s="76" t="str">
        <f t="shared" si="79"/>
        <v>#REF!</v>
      </c>
      <c r="D305" s="76" t="str">
        <f t="shared" si="79"/>
        <v>#REF!</v>
      </c>
      <c r="E305" s="76" t="str">
        <f t="shared" si="79"/>
        <v>#REF!</v>
      </c>
      <c r="F305" s="76" t="str">
        <f t="shared" si="79"/>
        <v>#REF!</v>
      </c>
      <c r="G305" s="2" t="str">
        <f t="shared" si="79"/>
        <v>#REF!</v>
      </c>
      <c r="H305" s="76" t="str">
        <f t="shared" si="79"/>
        <v>#REF!</v>
      </c>
      <c r="I305" s="76" t="str">
        <f t="shared" si="79"/>
        <v>#REF!</v>
      </c>
    </row>
    <row r="306" ht="15.75" customHeight="1">
      <c r="A306" s="169" t="str">
        <f t="shared" ref="A306:D306" si="80">'2.16.'!A6</f>
        <v>#REF!</v>
      </c>
      <c r="B306" s="169" t="str">
        <f t="shared" si="80"/>
        <v>#REF!</v>
      </c>
      <c r="C306" s="169" t="str">
        <f t="shared" si="80"/>
        <v>#REF!</v>
      </c>
      <c r="D306" s="170" t="str">
        <f t="shared" si="80"/>
        <v>#REF!</v>
      </c>
      <c r="E306" s="164"/>
      <c r="F306" s="169" t="str">
        <f t="shared" ref="F306:I306" si="81">'2.16.'!F6</f>
        <v>#REF!</v>
      </c>
      <c r="G306" s="4" t="str">
        <f t="shared" si="81"/>
        <v>#REF!</v>
      </c>
      <c r="H306" s="169" t="str">
        <f t="shared" si="81"/>
        <v>#REF!</v>
      </c>
      <c r="I306" s="169" t="str">
        <f t="shared" si="81"/>
        <v>#REF!</v>
      </c>
    </row>
    <row r="307" ht="15.75" customHeight="1">
      <c r="A307" s="171" t="str">
        <f t="shared" ref="A307:I307" si="82">'2.16.'!A7</f>
        <v>#REF!</v>
      </c>
      <c r="B307" s="74" t="str">
        <f t="shared" si="82"/>
        <v>#REF!</v>
      </c>
      <c r="C307" s="74" t="str">
        <f t="shared" si="82"/>
        <v>#REF!</v>
      </c>
      <c r="D307" s="172" t="str">
        <f t="shared" si="82"/>
        <v>#REF!</v>
      </c>
      <c r="E307" s="171" t="str">
        <f t="shared" si="82"/>
        <v>#REF!</v>
      </c>
      <c r="F307" s="173" t="str">
        <f t="shared" si="82"/>
        <v>#REF!</v>
      </c>
      <c r="G307" s="189" t="str">
        <f t="shared" si="82"/>
        <v>#REF!</v>
      </c>
      <c r="H307" s="120" t="str">
        <f t="shared" si="82"/>
        <v>#REF!</v>
      </c>
      <c r="I307" s="120" t="str">
        <f t="shared" si="82"/>
        <v>#REF!</v>
      </c>
    </row>
    <row r="308" ht="15.75" customHeight="1">
      <c r="A308" s="171" t="str">
        <f t="shared" ref="A308:I308" si="83">'2.16.'!A8</f>
        <v>#REF!</v>
      </c>
      <c r="B308" s="74" t="str">
        <f t="shared" si="83"/>
        <v>#REF!</v>
      </c>
      <c r="C308" s="74" t="str">
        <f t="shared" si="83"/>
        <v>#REF!</v>
      </c>
      <c r="D308" s="172" t="str">
        <f t="shared" si="83"/>
        <v>#REF!</v>
      </c>
      <c r="E308" s="171" t="str">
        <f t="shared" si="83"/>
        <v>#REF!</v>
      </c>
      <c r="F308" s="173" t="str">
        <f t="shared" si="83"/>
        <v>#REF!</v>
      </c>
      <c r="G308" s="189" t="str">
        <f t="shared" si="83"/>
        <v>#REF!</v>
      </c>
      <c r="H308" s="120" t="str">
        <f t="shared" si="83"/>
        <v>#REF!</v>
      </c>
      <c r="I308" s="120" t="str">
        <f t="shared" si="83"/>
        <v>#REF!</v>
      </c>
    </row>
    <row r="309" ht="15.75" customHeight="1">
      <c r="A309" s="171" t="str">
        <f t="shared" ref="A309:I309" si="84">'2.16.'!A9</f>
        <v>#REF!</v>
      </c>
      <c r="B309" s="74" t="str">
        <f t="shared" si="84"/>
        <v>#REF!</v>
      </c>
      <c r="C309" s="74" t="str">
        <f t="shared" si="84"/>
        <v>#REF!</v>
      </c>
      <c r="D309" s="172" t="str">
        <f t="shared" si="84"/>
        <v>#REF!</v>
      </c>
      <c r="E309" s="171" t="str">
        <f t="shared" si="84"/>
        <v>#REF!</v>
      </c>
      <c r="F309" s="173" t="str">
        <f t="shared" si="84"/>
        <v>#REF!</v>
      </c>
      <c r="G309" s="189" t="str">
        <f t="shared" si="84"/>
        <v>#REF!</v>
      </c>
      <c r="H309" s="120" t="str">
        <f t="shared" si="84"/>
        <v>#REF!</v>
      </c>
      <c r="I309" s="120" t="str">
        <f t="shared" si="84"/>
        <v>#REF!</v>
      </c>
    </row>
    <row r="310" ht="15.75" customHeight="1">
      <c r="A310" s="171" t="str">
        <f t="shared" ref="A310:I310" si="85">'2.16.'!A10</f>
        <v>#REF!</v>
      </c>
      <c r="B310" s="74" t="str">
        <f t="shared" si="85"/>
        <v>#REF!</v>
      </c>
      <c r="C310" s="74" t="str">
        <f t="shared" si="85"/>
        <v>#REF!</v>
      </c>
      <c r="D310" s="171" t="str">
        <f t="shared" si="85"/>
        <v>#REF!</v>
      </c>
      <c r="E310" s="171" t="str">
        <f t="shared" si="85"/>
        <v>#REF!</v>
      </c>
      <c r="F310" s="173" t="str">
        <f t="shared" si="85"/>
        <v>#REF!</v>
      </c>
      <c r="G310" s="189" t="str">
        <f t="shared" si="85"/>
        <v>#REF!</v>
      </c>
      <c r="H310" s="120" t="str">
        <f t="shared" si="85"/>
        <v>#REF!</v>
      </c>
      <c r="I310" s="120" t="str">
        <f t="shared" si="85"/>
        <v>#REF!</v>
      </c>
    </row>
    <row r="311" ht="15.75" customHeight="1">
      <c r="A311" s="171" t="str">
        <f t="shared" ref="A311:I311" si="86">'2.16.'!A11</f>
        <v>#REF!</v>
      </c>
      <c r="B311" s="74" t="str">
        <f t="shared" si="86"/>
        <v>#REF!</v>
      </c>
      <c r="C311" s="74" t="str">
        <f t="shared" si="86"/>
        <v>#REF!</v>
      </c>
      <c r="D311" s="171" t="str">
        <f t="shared" si="86"/>
        <v>#REF!</v>
      </c>
      <c r="E311" s="171" t="str">
        <f t="shared" si="86"/>
        <v>#REF!</v>
      </c>
      <c r="F311" s="173" t="str">
        <f t="shared" si="86"/>
        <v>#REF!</v>
      </c>
      <c r="G311" s="189" t="str">
        <f t="shared" si="86"/>
        <v>#REF!</v>
      </c>
      <c r="H311" s="120" t="str">
        <f t="shared" si="86"/>
        <v>#REF!</v>
      </c>
      <c r="I311" s="120" t="str">
        <f t="shared" si="86"/>
        <v>#REF!</v>
      </c>
    </row>
    <row r="312" ht="15.75" customHeight="1">
      <c r="A312" s="171" t="str">
        <f t="shared" ref="A312:I312" si="87">'2.16.'!A12</f>
        <v>#REF!</v>
      </c>
      <c r="B312" s="74" t="str">
        <f t="shared" si="87"/>
        <v>#REF!</v>
      </c>
      <c r="C312" s="74" t="str">
        <f t="shared" si="87"/>
        <v>#REF!</v>
      </c>
      <c r="D312" s="171" t="str">
        <f t="shared" si="87"/>
        <v>#REF!</v>
      </c>
      <c r="E312" s="171" t="str">
        <f t="shared" si="87"/>
        <v>#REF!</v>
      </c>
      <c r="F312" s="173" t="str">
        <f t="shared" si="87"/>
        <v>#REF!</v>
      </c>
      <c r="G312" s="189" t="str">
        <f t="shared" si="87"/>
        <v>#REF!</v>
      </c>
      <c r="H312" s="120" t="str">
        <f t="shared" si="87"/>
        <v>#REF!</v>
      </c>
      <c r="I312" s="120" t="str">
        <f t="shared" si="87"/>
        <v>#REF!</v>
      </c>
    </row>
    <row r="313" ht="15.75" customHeight="1">
      <c r="A313" s="171" t="str">
        <f t="shared" ref="A313:I313" si="88">'2.16.'!A13</f>
        <v>#REF!</v>
      </c>
      <c r="B313" s="74" t="str">
        <f t="shared" si="88"/>
        <v>#REF!</v>
      </c>
      <c r="C313" s="74" t="str">
        <f t="shared" si="88"/>
        <v>#REF!</v>
      </c>
      <c r="D313" s="171" t="str">
        <f t="shared" si="88"/>
        <v>#REF!</v>
      </c>
      <c r="E313" s="171" t="str">
        <f t="shared" si="88"/>
        <v>#REF!</v>
      </c>
      <c r="F313" s="173" t="str">
        <f t="shared" si="88"/>
        <v>#REF!</v>
      </c>
      <c r="G313" s="189" t="str">
        <f t="shared" si="88"/>
        <v>#REF!</v>
      </c>
      <c r="H313" s="120" t="str">
        <f t="shared" si="88"/>
        <v>#REF!</v>
      </c>
      <c r="I313" s="120" t="str">
        <f t="shared" si="88"/>
        <v>#REF!</v>
      </c>
    </row>
    <row r="314" ht="15.75" customHeight="1">
      <c r="A314" s="171" t="str">
        <f t="shared" ref="A314:I314" si="89">'2.16.'!A14</f>
        <v>#REF!</v>
      </c>
      <c r="B314" s="74" t="str">
        <f t="shared" si="89"/>
        <v>#REF!</v>
      </c>
      <c r="C314" s="74" t="str">
        <f t="shared" si="89"/>
        <v>#REF!</v>
      </c>
      <c r="D314" s="171" t="str">
        <f t="shared" si="89"/>
        <v>#REF!</v>
      </c>
      <c r="E314" s="171" t="str">
        <f t="shared" si="89"/>
        <v>#REF!</v>
      </c>
      <c r="F314" s="173" t="str">
        <f t="shared" si="89"/>
        <v>#REF!</v>
      </c>
      <c r="G314" s="189" t="str">
        <f t="shared" si="89"/>
        <v>#REF!</v>
      </c>
      <c r="H314" s="120" t="str">
        <f t="shared" si="89"/>
        <v>#REF!</v>
      </c>
      <c r="I314" s="120" t="str">
        <f t="shared" si="89"/>
        <v>#REF!</v>
      </c>
    </row>
    <row r="315" ht="15.75" customHeight="1">
      <c r="A315" s="171" t="str">
        <f t="shared" ref="A315:I315" si="90">'2.16.'!A15</f>
        <v>#REF!</v>
      </c>
      <c r="B315" s="74" t="str">
        <f t="shared" si="90"/>
        <v>#REF!</v>
      </c>
      <c r="C315" s="74" t="str">
        <f t="shared" si="90"/>
        <v>#REF!</v>
      </c>
      <c r="D315" s="171" t="str">
        <f t="shared" si="90"/>
        <v>#REF!</v>
      </c>
      <c r="E315" s="171" t="str">
        <f t="shared" si="90"/>
        <v>#REF!</v>
      </c>
      <c r="F315" s="173" t="str">
        <f t="shared" si="90"/>
        <v>#REF!</v>
      </c>
      <c r="G315" s="189" t="str">
        <f t="shared" si="90"/>
        <v>#REF!</v>
      </c>
      <c r="H315" s="120" t="str">
        <f t="shared" si="90"/>
        <v>#REF!</v>
      </c>
      <c r="I315" s="120" t="str">
        <f t="shared" si="90"/>
        <v>#REF!</v>
      </c>
    </row>
    <row r="316" ht="15.75" customHeight="1">
      <c r="A316" s="171" t="str">
        <f t="shared" ref="A316:I316" si="91">'2.16.'!A16</f>
        <v>#REF!</v>
      </c>
      <c r="B316" s="74" t="str">
        <f t="shared" si="91"/>
        <v>#REF!</v>
      </c>
      <c r="C316" s="74" t="str">
        <f t="shared" si="91"/>
        <v>#REF!</v>
      </c>
      <c r="D316" s="171" t="str">
        <f t="shared" si="91"/>
        <v>#REF!</v>
      </c>
      <c r="E316" s="171" t="str">
        <f t="shared" si="91"/>
        <v>#REF!</v>
      </c>
      <c r="F316" s="173" t="str">
        <f t="shared" si="91"/>
        <v>#REF!</v>
      </c>
      <c r="G316" s="189" t="str">
        <f t="shared" si="91"/>
        <v>#REF!</v>
      </c>
      <c r="H316" s="120" t="str">
        <f t="shared" si="91"/>
        <v>#REF!</v>
      </c>
      <c r="I316" s="120" t="str">
        <f t="shared" si="91"/>
        <v>#REF!</v>
      </c>
    </row>
    <row r="317" ht="15.75" customHeight="1">
      <c r="A317" s="171" t="str">
        <f t="shared" ref="A317:I317" si="92">'2.16.'!A17</f>
        <v>#REF!</v>
      </c>
      <c r="B317" s="74" t="str">
        <f t="shared" si="92"/>
        <v>#REF!</v>
      </c>
      <c r="C317" s="74" t="str">
        <f t="shared" si="92"/>
        <v>#REF!</v>
      </c>
      <c r="D317" s="171" t="str">
        <f t="shared" si="92"/>
        <v>#REF!</v>
      </c>
      <c r="E317" s="171" t="str">
        <f t="shared" si="92"/>
        <v>#REF!</v>
      </c>
      <c r="F317" s="173" t="str">
        <f t="shared" si="92"/>
        <v>#REF!</v>
      </c>
      <c r="G317" s="189" t="str">
        <f t="shared" si="92"/>
        <v>#REF!</v>
      </c>
      <c r="H317" s="120" t="str">
        <f t="shared" si="92"/>
        <v>#REF!</v>
      </c>
      <c r="I317" s="120" t="str">
        <f t="shared" si="92"/>
        <v>#REF!</v>
      </c>
    </row>
    <row r="318" ht="15.75" customHeight="1">
      <c r="A318" s="171" t="str">
        <f t="shared" ref="A318:I318" si="93">'2.16.'!A18</f>
        <v>#REF!</v>
      </c>
      <c r="B318" s="74" t="str">
        <f t="shared" si="93"/>
        <v>#REF!</v>
      </c>
      <c r="C318" s="74" t="str">
        <f t="shared" si="93"/>
        <v>#REF!</v>
      </c>
      <c r="D318" s="171" t="str">
        <f t="shared" si="93"/>
        <v>#REF!</v>
      </c>
      <c r="E318" s="171" t="str">
        <f t="shared" si="93"/>
        <v>#REF!</v>
      </c>
      <c r="F318" s="173" t="str">
        <f t="shared" si="93"/>
        <v>#REF!</v>
      </c>
      <c r="G318" s="189" t="str">
        <f t="shared" si="93"/>
        <v>#REF!</v>
      </c>
      <c r="H318" s="120" t="str">
        <f t="shared" si="93"/>
        <v>#REF!</v>
      </c>
      <c r="I318" s="120" t="str">
        <f t="shared" si="93"/>
        <v>#REF!</v>
      </c>
    </row>
    <row r="319" ht="15.75" customHeight="1">
      <c r="A319" s="127" t="str">
        <f t="shared" ref="A319:I319" si="94">'2.16.'!A19</f>
        <v>#REF!</v>
      </c>
      <c r="B319" s="127" t="str">
        <f t="shared" si="94"/>
        <v>#REF!</v>
      </c>
      <c r="C319" s="127" t="str">
        <f t="shared" si="94"/>
        <v>#REF!</v>
      </c>
      <c r="D319" s="127" t="str">
        <f t="shared" si="94"/>
        <v>#REF!</v>
      </c>
      <c r="E319" s="127" t="str">
        <f t="shared" si="94"/>
        <v>#REF!</v>
      </c>
      <c r="F319" s="126" t="str">
        <f t="shared" si="94"/>
        <v>#REF!</v>
      </c>
      <c r="G319" s="3" t="str">
        <f t="shared" si="94"/>
        <v>#REF!</v>
      </c>
      <c r="H319" s="120" t="str">
        <f t="shared" si="94"/>
        <v>#REF!</v>
      </c>
      <c r="I319" s="120" t="str">
        <f t="shared" si="94"/>
        <v>#REF!</v>
      </c>
    </row>
    <row r="320" ht="15.75" customHeight="1">
      <c r="A320" s="190" t="str">
        <f t="shared" ref="A320:I320" si="95">'2.16.'!A20</f>
        <v>#REF!</v>
      </c>
      <c r="B320" s="191" t="str">
        <f t="shared" si="95"/>
        <v>#REF!</v>
      </c>
      <c r="C320" s="191" t="str">
        <f t="shared" si="95"/>
        <v>#REF!</v>
      </c>
      <c r="D320" s="191" t="str">
        <f t="shared" si="95"/>
        <v>#REF!</v>
      </c>
      <c r="E320" s="191" t="str">
        <f t="shared" si="95"/>
        <v>#REF!</v>
      </c>
      <c r="F320" s="191" t="str">
        <f t="shared" si="95"/>
        <v>#REF!</v>
      </c>
      <c r="G320" s="177" t="str">
        <f t="shared" si="95"/>
        <v>#REF!</v>
      </c>
      <c r="H320" s="191" t="str">
        <f t="shared" si="95"/>
        <v>#REF!</v>
      </c>
      <c r="I320" s="192" t="str">
        <f t="shared" si="95"/>
        <v>#REF!</v>
      </c>
    </row>
    <row r="321" ht="15.75" customHeight="1">
      <c r="G321" s="3"/>
    </row>
    <row r="322" ht="15.75" customHeight="1">
      <c r="G322" s="3"/>
    </row>
    <row r="323">
      <c r="A323" s="162" t="str">
        <f t="shared" ref="A323:B323" si="96">'2.17.'!A3</f>
        <v>#REF!</v>
      </c>
      <c r="B323" s="163" t="str">
        <f t="shared" si="96"/>
        <v>#REF!</v>
      </c>
      <c r="C323" s="164"/>
      <c r="D323" s="164"/>
      <c r="E323" s="164"/>
      <c r="F323" s="164"/>
      <c r="G323" s="165" t="str">
        <f t="shared" ref="G323:I323" si="97">'2.17.'!G3</f>
        <v>#REF!</v>
      </c>
      <c r="H323" s="166" t="str">
        <f t="shared" si="97"/>
        <v>#REF!</v>
      </c>
      <c r="I323" s="167" t="str">
        <f t="shared" si="97"/>
        <v>#REF!</v>
      </c>
    </row>
    <row r="324" ht="15.75" customHeight="1">
      <c r="A324" s="127" t="str">
        <f t="shared" ref="A324:I324" si="98">'2.17.'!A4</f>
        <v>#REF!</v>
      </c>
      <c r="B324" s="127" t="str">
        <f t="shared" si="98"/>
        <v>#REF!</v>
      </c>
      <c r="C324" s="127" t="str">
        <f t="shared" si="98"/>
        <v>#REF!</v>
      </c>
      <c r="D324" s="127" t="str">
        <f t="shared" si="98"/>
        <v>#REF!</v>
      </c>
      <c r="E324" s="127" t="str">
        <f t="shared" si="98"/>
        <v>#REF!</v>
      </c>
      <c r="F324" s="127" t="str">
        <f t="shared" si="98"/>
        <v>#REF!</v>
      </c>
      <c r="G324" s="3" t="str">
        <f t="shared" si="98"/>
        <v>#REF!</v>
      </c>
      <c r="H324" s="127" t="str">
        <f t="shared" si="98"/>
        <v>#REF!</v>
      </c>
      <c r="I324" s="127" t="str">
        <f t="shared" si="98"/>
        <v>#REF!</v>
      </c>
    </row>
    <row r="325" ht="15.75" customHeight="1">
      <c r="A325" s="168" t="str">
        <f t="shared" ref="A325:I325" si="99">'2.17.'!A5</f>
        <v>#REF!</v>
      </c>
      <c r="B325" s="76" t="str">
        <f t="shared" si="99"/>
        <v>#REF!</v>
      </c>
      <c r="C325" s="76" t="str">
        <f t="shared" si="99"/>
        <v>#REF!</v>
      </c>
      <c r="D325" s="76" t="str">
        <f t="shared" si="99"/>
        <v>#REF!</v>
      </c>
      <c r="E325" s="76" t="str">
        <f t="shared" si="99"/>
        <v>#REF!</v>
      </c>
      <c r="F325" s="76" t="str">
        <f t="shared" si="99"/>
        <v>#REF!</v>
      </c>
      <c r="G325" s="2" t="str">
        <f t="shared" si="99"/>
        <v>#REF!</v>
      </c>
      <c r="H325" s="76" t="str">
        <f t="shared" si="99"/>
        <v>#REF!</v>
      </c>
      <c r="I325" s="76" t="str">
        <f t="shared" si="99"/>
        <v>#REF!</v>
      </c>
    </row>
    <row r="326" ht="15.75" customHeight="1">
      <c r="A326" s="169" t="str">
        <f t="shared" ref="A326:D326" si="100">'2.17.'!A6</f>
        <v>#REF!</v>
      </c>
      <c r="B326" s="169" t="str">
        <f t="shared" si="100"/>
        <v>#REF!</v>
      </c>
      <c r="C326" s="169" t="str">
        <f t="shared" si="100"/>
        <v>#REF!</v>
      </c>
      <c r="D326" s="170" t="str">
        <f t="shared" si="100"/>
        <v>#REF!</v>
      </c>
      <c r="E326" s="164"/>
      <c r="F326" s="169" t="str">
        <f t="shared" ref="F326:I326" si="101">'2.17.'!F6</f>
        <v>#REF!</v>
      </c>
      <c r="G326" s="4" t="str">
        <f t="shared" si="101"/>
        <v>#REF!</v>
      </c>
      <c r="H326" s="169" t="str">
        <f t="shared" si="101"/>
        <v>#REF!</v>
      </c>
      <c r="I326" s="169" t="str">
        <f t="shared" si="101"/>
        <v>#REF!</v>
      </c>
    </row>
    <row r="327" ht="15.75" customHeight="1">
      <c r="A327" s="171" t="str">
        <f t="shared" ref="A327:I327" si="102">'2.17.'!A7</f>
        <v>#REF!</v>
      </c>
      <c r="B327" s="74" t="str">
        <f t="shared" si="102"/>
        <v>#REF!</v>
      </c>
      <c r="C327" s="74" t="str">
        <f t="shared" si="102"/>
        <v>#REF!</v>
      </c>
      <c r="D327" s="172" t="str">
        <f t="shared" si="102"/>
        <v>#REF!</v>
      </c>
      <c r="E327" s="171" t="str">
        <f t="shared" si="102"/>
        <v>#REF!</v>
      </c>
      <c r="F327" s="173" t="str">
        <f t="shared" si="102"/>
        <v>#REF!</v>
      </c>
      <c r="G327" s="189" t="str">
        <f t="shared" si="102"/>
        <v>#REF!</v>
      </c>
      <c r="H327" s="120" t="str">
        <f t="shared" si="102"/>
        <v>#REF!</v>
      </c>
      <c r="I327" s="120" t="str">
        <f t="shared" si="102"/>
        <v>#REF!</v>
      </c>
    </row>
    <row r="328" ht="15.75" customHeight="1">
      <c r="A328" s="171" t="str">
        <f t="shared" ref="A328:I328" si="103">'2.17.'!A8</f>
        <v>#REF!</v>
      </c>
      <c r="B328" s="74" t="str">
        <f t="shared" si="103"/>
        <v>#REF!</v>
      </c>
      <c r="C328" s="74" t="str">
        <f t="shared" si="103"/>
        <v>#REF!</v>
      </c>
      <c r="D328" s="172" t="str">
        <f t="shared" si="103"/>
        <v>#REF!</v>
      </c>
      <c r="E328" s="171" t="str">
        <f t="shared" si="103"/>
        <v>#REF!</v>
      </c>
      <c r="F328" s="173" t="str">
        <f t="shared" si="103"/>
        <v>#REF!</v>
      </c>
      <c r="G328" s="189" t="str">
        <f t="shared" si="103"/>
        <v>#REF!</v>
      </c>
      <c r="H328" s="120" t="str">
        <f t="shared" si="103"/>
        <v>#REF!</v>
      </c>
      <c r="I328" s="120" t="str">
        <f t="shared" si="103"/>
        <v>#REF!</v>
      </c>
    </row>
    <row r="329" ht="15.75" customHeight="1">
      <c r="A329" s="171" t="str">
        <f t="shared" ref="A329:I329" si="104">'2.17.'!A9</f>
        <v>#REF!</v>
      </c>
      <c r="B329" s="74" t="str">
        <f t="shared" si="104"/>
        <v>#REF!</v>
      </c>
      <c r="C329" s="74" t="str">
        <f t="shared" si="104"/>
        <v>#REF!</v>
      </c>
      <c r="D329" s="172" t="str">
        <f t="shared" si="104"/>
        <v>#REF!</v>
      </c>
      <c r="E329" s="171" t="str">
        <f t="shared" si="104"/>
        <v>#REF!</v>
      </c>
      <c r="F329" s="173" t="str">
        <f t="shared" si="104"/>
        <v>#REF!</v>
      </c>
      <c r="G329" s="189" t="str">
        <f t="shared" si="104"/>
        <v>#REF!</v>
      </c>
      <c r="H329" s="120" t="str">
        <f t="shared" si="104"/>
        <v>#REF!</v>
      </c>
      <c r="I329" s="120" t="str">
        <f t="shared" si="104"/>
        <v>#REF!</v>
      </c>
    </row>
    <row r="330" ht="15.75" customHeight="1">
      <c r="A330" s="171" t="str">
        <f t="shared" ref="A330:I330" si="105">'2.17.'!A10</f>
        <v>#REF!</v>
      </c>
      <c r="B330" s="74" t="str">
        <f t="shared" si="105"/>
        <v>#REF!</v>
      </c>
      <c r="C330" s="74" t="str">
        <f t="shared" si="105"/>
        <v>#REF!</v>
      </c>
      <c r="D330" s="171" t="str">
        <f t="shared" si="105"/>
        <v>#REF!</v>
      </c>
      <c r="E330" s="171" t="str">
        <f t="shared" si="105"/>
        <v>#REF!</v>
      </c>
      <c r="F330" s="173" t="str">
        <f t="shared" si="105"/>
        <v>#REF!</v>
      </c>
      <c r="G330" s="189" t="str">
        <f t="shared" si="105"/>
        <v>#REF!</v>
      </c>
      <c r="H330" s="120" t="str">
        <f t="shared" si="105"/>
        <v>#REF!</v>
      </c>
      <c r="I330" s="120" t="str">
        <f t="shared" si="105"/>
        <v>#REF!</v>
      </c>
    </row>
    <row r="331" ht="15.75" customHeight="1">
      <c r="A331" s="171" t="str">
        <f t="shared" ref="A331:I331" si="106">'2.17.'!A11</f>
        <v>#REF!</v>
      </c>
      <c r="B331" s="74" t="str">
        <f t="shared" si="106"/>
        <v>#REF!</v>
      </c>
      <c r="C331" s="74" t="str">
        <f t="shared" si="106"/>
        <v>#REF!</v>
      </c>
      <c r="D331" s="171" t="str">
        <f t="shared" si="106"/>
        <v>#REF!</v>
      </c>
      <c r="E331" s="171" t="str">
        <f t="shared" si="106"/>
        <v>#REF!</v>
      </c>
      <c r="F331" s="173" t="str">
        <f t="shared" si="106"/>
        <v>#REF!</v>
      </c>
      <c r="G331" s="189" t="str">
        <f t="shared" si="106"/>
        <v>#REF!</v>
      </c>
      <c r="H331" s="120" t="str">
        <f t="shared" si="106"/>
        <v>#REF!</v>
      </c>
      <c r="I331" s="120" t="str">
        <f t="shared" si="106"/>
        <v>#REF!</v>
      </c>
    </row>
    <row r="332" ht="15.75" customHeight="1">
      <c r="A332" s="171" t="str">
        <f t="shared" ref="A332:I332" si="107">'2.17.'!A12</f>
        <v>#REF!</v>
      </c>
      <c r="B332" s="74" t="str">
        <f t="shared" si="107"/>
        <v>#REF!</v>
      </c>
      <c r="C332" s="74" t="str">
        <f t="shared" si="107"/>
        <v>#REF!</v>
      </c>
      <c r="D332" s="171" t="str">
        <f t="shared" si="107"/>
        <v>#REF!</v>
      </c>
      <c r="E332" s="171" t="str">
        <f t="shared" si="107"/>
        <v>#REF!</v>
      </c>
      <c r="F332" s="173" t="str">
        <f t="shared" si="107"/>
        <v>#REF!</v>
      </c>
      <c r="G332" s="189" t="str">
        <f t="shared" si="107"/>
        <v>#REF!</v>
      </c>
      <c r="H332" s="120" t="str">
        <f t="shared" si="107"/>
        <v>#REF!</v>
      </c>
      <c r="I332" s="120" t="str">
        <f t="shared" si="107"/>
        <v>#REF!</v>
      </c>
    </row>
    <row r="333" ht="15.75" customHeight="1">
      <c r="A333" s="171" t="str">
        <f t="shared" ref="A333:I333" si="108">'2.17.'!A13</f>
        <v>#REF!</v>
      </c>
      <c r="B333" s="74" t="str">
        <f t="shared" si="108"/>
        <v>#REF!</v>
      </c>
      <c r="C333" s="74" t="str">
        <f t="shared" si="108"/>
        <v>#REF!</v>
      </c>
      <c r="D333" s="171" t="str">
        <f t="shared" si="108"/>
        <v>#REF!</v>
      </c>
      <c r="E333" s="171" t="str">
        <f t="shared" si="108"/>
        <v>#REF!</v>
      </c>
      <c r="F333" s="173" t="str">
        <f t="shared" si="108"/>
        <v>#REF!</v>
      </c>
      <c r="G333" s="189" t="str">
        <f t="shared" si="108"/>
        <v>#REF!</v>
      </c>
      <c r="H333" s="120" t="str">
        <f t="shared" si="108"/>
        <v>#REF!</v>
      </c>
      <c r="I333" s="120" t="str">
        <f t="shared" si="108"/>
        <v>#REF!</v>
      </c>
    </row>
    <row r="334" ht="15.75" customHeight="1">
      <c r="A334" s="171" t="str">
        <f t="shared" ref="A334:I334" si="109">'2.17.'!A14</f>
        <v>#REF!</v>
      </c>
      <c r="B334" s="74" t="str">
        <f t="shared" si="109"/>
        <v>#REF!</v>
      </c>
      <c r="C334" s="74" t="str">
        <f t="shared" si="109"/>
        <v>#REF!</v>
      </c>
      <c r="D334" s="171" t="str">
        <f t="shared" si="109"/>
        <v>#REF!</v>
      </c>
      <c r="E334" s="171" t="str">
        <f t="shared" si="109"/>
        <v>#REF!</v>
      </c>
      <c r="F334" s="173" t="str">
        <f t="shared" si="109"/>
        <v>#REF!</v>
      </c>
      <c r="G334" s="189" t="str">
        <f t="shared" si="109"/>
        <v>#REF!</v>
      </c>
      <c r="H334" s="120" t="str">
        <f t="shared" si="109"/>
        <v>#REF!</v>
      </c>
      <c r="I334" s="120" t="str">
        <f t="shared" si="109"/>
        <v>#REF!</v>
      </c>
    </row>
    <row r="335" ht="15.75" customHeight="1">
      <c r="A335" s="171" t="str">
        <f t="shared" ref="A335:I335" si="110">'2.17.'!A15</f>
        <v>#REF!</v>
      </c>
      <c r="B335" s="74" t="str">
        <f t="shared" si="110"/>
        <v>#REF!</v>
      </c>
      <c r="C335" s="74" t="str">
        <f t="shared" si="110"/>
        <v>#REF!</v>
      </c>
      <c r="D335" s="171" t="str">
        <f t="shared" si="110"/>
        <v>#REF!</v>
      </c>
      <c r="E335" s="171" t="str">
        <f t="shared" si="110"/>
        <v>#REF!</v>
      </c>
      <c r="F335" s="173" t="str">
        <f t="shared" si="110"/>
        <v>#REF!</v>
      </c>
      <c r="G335" s="189" t="str">
        <f t="shared" si="110"/>
        <v>#REF!</v>
      </c>
      <c r="H335" s="120" t="str">
        <f t="shared" si="110"/>
        <v>#REF!</v>
      </c>
      <c r="I335" s="120" t="str">
        <f t="shared" si="110"/>
        <v>#REF!</v>
      </c>
    </row>
    <row r="336" ht="15.75" customHeight="1">
      <c r="A336" s="171" t="str">
        <f t="shared" ref="A336:I336" si="111">'2.17.'!A16</f>
        <v>#REF!</v>
      </c>
      <c r="B336" s="74" t="str">
        <f t="shared" si="111"/>
        <v>#REF!</v>
      </c>
      <c r="C336" s="74" t="str">
        <f t="shared" si="111"/>
        <v>#REF!</v>
      </c>
      <c r="D336" s="171" t="str">
        <f t="shared" si="111"/>
        <v>#REF!</v>
      </c>
      <c r="E336" s="171" t="str">
        <f t="shared" si="111"/>
        <v>#REF!</v>
      </c>
      <c r="F336" s="173" t="str">
        <f t="shared" si="111"/>
        <v>#REF!</v>
      </c>
      <c r="G336" s="189" t="str">
        <f t="shared" si="111"/>
        <v>#REF!</v>
      </c>
      <c r="H336" s="120" t="str">
        <f t="shared" si="111"/>
        <v>#REF!</v>
      </c>
      <c r="I336" s="120" t="str">
        <f t="shared" si="111"/>
        <v>#REF!</v>
      </c>
    </row>
    <row r="337" ht="15.75" customHeight="1">
      <c r="A337" s="171" t="str">
        <f t="shared" ref="A337:I337" si="112">'2.17.'!A17</f>
        <v>#REF!</v>
      </c>
      <c r="B337" s="74" t="str">
        <f t="shared" si="112"/>
        <v>#REF!</v>
      </c>
      <c r="C337" s="74" t="str">
        <f t="shared" si="112"/>
        <v>#REF!</v>
      </c>
      <c r="D337" s="171" t="str">
        <f t="shared" si="112"/>
        <v>#REF!</v>
      </c>
      <c r="E337" s="171" t="str">
        <f t="shared" si="112"/>
        <v>#REF!</v>
      </c>
      <c r="F337" s="173" t="str">
        <f t="shared" si="112"/>
        <v>#REF!</v>
      </c>
      <c r="G337" s="189" t="str">
        <f t="shared" si="112"/>
        <v>#REF!</v>
      </c>
      <c r="H337" s="120" t="str">
        <f t="shared" si="112"/>
        <v>#REF!</v>
      </c>
      <c r="I337" s="120" t="str">
        <f t="shared" si="112"/>
        <v>#REF!</v>
      </c>
    </row>
    <row r="338" ht="15.75" customHeight="1">
      <c r="A338" s="171" t="str">
        <f t="shared" ref="A338:I338" si="113">'2.17.'!A18</f>
        <v>#REF!</v>
      </c>
      <c r="B338" s="74" t="str">
        <f t="shared" si="113"/>
        <v>#REF!</v>
      </c>
      <c r="C338" s="74" t="str">
        <f t="shared" si="113"/>
        <v>#REF!</v>
      </c>
      <c r="D338" s="171" t="str">
        <f t="shared" si="113"/>
        <v>#REF!</v>
      </c>
      <c r="E338" s="171" t="str">
        <f t="shared" si="113"/>
        <v>#REF!</v>
      </c>
      <c r="F338" s="173" t="str">
        <f t="shared" si="113"/>
        <v>#REF!</v>
      </c>
      <c r="G338" s="189" t="str">
        <f t="shared" si="113"/>
        <v>#REF!</v>
      </c>
      <c r="H338" s="120" t="str">
        <f t="shared" si="113"/>
        <v>#REF!</v>
      </c>
      <c r="I338" s="120" t="str">
        <f t="shared" si="113"/>
        <v>#REF!</v>
      </c>
    </row>
    <row r="339" ht="15.75" customHeight="1">
      <c r="A339" s="127" t="str">
        <f t="shared" ref="A339:I339" si="114">'2.17.'!A19</f>
        <v>#REF!</v>
      </c>
      <c r="B339" s="127" t="str">
        <f t="shared" si="114"/>
        <v>#REF!</v>
      </c>
      <c r="C339" s="127" t="str">
        <f t="shared" si="114"/>
        <v>#REF!</v>
      </c>
      <c r="D339" s="127" t="str">
        <f t="shared" si="114"/>
        <v>#REF!</v>
      </c>
      <c r="E339" s="127" t="str">
        <f t="shared" si="114"/>
        <v>#REF!</v>
      </c>
      <c r="F339" s="126" t="str">
        <f t="shared" si="114"/>
        <v>#REF!</v>
      </c>
      <c r="G339" s="3" t="str">
        <f t="shared" si="114"/>
        <v>#REF!</v>
      </c>
      <c r="H339" s="120" t="str">
        <f t="shared" si="114"/>
        <v>#REF!</v>
      </c>
      <c r="I339" s="120" t="str">
        <f t="shared" si="114"/>
        <v>#REF!</v>
      </c>
    </row>
    <row r="340" ht="15.75" customHeight="1">
      <c r="A340" s="190" t="str">
        <f t="shared" ref="A340:I340" si="115">'2.17.'!A20</f>
        <v>#REF!</v>
      </c>
      <c r="B340" s="191" t="str">
        <f t="shared" si="115"/>
        <v>#REF!</v>
      </c>
      <c r="C340" s="191" t="str">
        <f t="shared" si="115"/>
        <v>#REF!</v>
      </c>
      <c r="D340" s="191" t="str">
        <f t="shared" si="115"/>
        <v>#REF!</v>
      </c>
      <c r="E340" s="191" t="str">
        <f t="shared" si="115"/>
        <v>#REF!</v>
      </c>
      <c r="F340" s="191" t="str">
        <f t="shared" si="115"/>
        <v>#REF!</v>
      </c>
      <c r="G340" s="177" t="str">
        <f t="shared" si="115"/>
        <v>#REF!</v>
      </c>
      <c r="H340" s="191" t="str">
        <f t="shared" si="115"/>
        <v>#REF!</v>
      </c>
      <c r="I340" s="192" t="str">
        <f t="shared" si="115"/>
        <v>#REF!</v>
      </c>
    </row>
    <row r="341" ht="15.75" customHeight="1">
      <c r="G341" s="3"/>
    </row>
    <row r="342" ht="15.75" customHeight="1">
      <c r="G342" s="3"/>
    </row>
    <row r="343">
      <c r="A343" s="162" t="str">
        <f t="shared" ref="A343:B343" si="116">'2.18.'!A3</f>
        <v>#REF!</v>
      </c>
      <c r="B343" s="163" t="str">
        <f t="shared" si="116"/>
        <v>#REF!</v>
      </c>
      <c r="C343" s="164"/>
      <c r="D343" s="164"/>
      <c r="E343" s="164"/>
      <c r="F343" s="164"/>
      <c r="G343" s="165" t="str">
        <f t="shared" ref="G343:I343" si="117">'2.18.'!G3</f>
        <v>#REF!</v>
      </c>
      <c r="H343" s="166" t="str">
        <f t="shared" si="117"/>
        <v>#REF!</v>
      </c>
      <c r="I343" s="167" t="str">
        <f t="shared" si="117"/>
        <v>#REF!</v>
      </c>
    </row>
    <row r="344" ht="15.75" customHeight="1">
      <c r="A344" s="127" t="str">
        <f t="shared" ref="A344:I344" si="118">'2.18.'!A4</f>
        <v>#REF!</v>
      </c>
      <c r="B344" s="127" t="str">
        <f t="shared" si="118"/>
        <v>#REF!</v>
      </c>
      <c r="C344" s="127" t="str">
        <f t="shared" si="118"/>
        <v>#REF!</v>
      </c>
      <c r="D344" s="127" t="str">
        <f t="shared" si="118"/>
        <v>#REF!</v>
      </c>
      <c r="E344" s="127" t="str">
        <f t="shared" si="118"/>
        <v>#REF!</v>
      </c>
      <c r="F344" s="127" t="str">
        <f t="shared" si="118"/>
        <v>#REF!</v>
      </c>
      <c r="G344" s="3" t="str">
        <f t="shared" si="118"/>
        <v>#REF!</v>
      </c>
      <c r="H344" s="127" t="str">
        <f t="shared" si="118"/>
        <v>#REF!</v>
      </c>
      <c r="I344" s="127" t="str">
        <f t="shared" si="118"/>
        <v>#REF!</v>
      </c>
    </row>
    <row r="345" ht="15.75" customHeight="1">
      <c r="A345" s="168" t="str">
        <f t="shared" ref="A345:I345" si="119">'2.18.'!A5</f>
        <v>#REF!</v>
      </c>
      <c r="B345" s="76" t="str">
        <f t="shared" si="119"/>
        <v>#REF!</v>
      </c>
      <c r="C345" s="76" t="str">
        <f t="shared" si="119"/>
        <v>#REF!</v>
      </c>
      <c r="D345" s="76" t="str">
        <f t="shared" si="119"/>
        <v>#REF!</v>
      </c>
      <c r="E345" s="76" t="str">
        <f t="shared" si="119"/>
        <v>#REF!</v>
      </c>
      <c r="F345" s="76" t="str">
        <f t="shared" si="119"/>
        <v>#REF!</v>
      </c>
      <c r="G345" s="2" t="str">
        <f t="shared" si="119"/>
        <v>#REF!</v>
      </c>
      <c r="H345" s="76" t="str">
        <f t="shared" si="119"/>
        <v>#REF!</v>
      </c>
      <c r="I345" s="76" t="str">
        <f t="shared" si="119"/>
        <v>#REF!</v>
      </c>
    </row>
    <row r="346" ht="15.75" customHeight="1">
      <c r="A346" s="169" t="str">
        <f t="shared" ref="A346:D346" si="120">'2.18.'!A6</f>
        <v>#REF!</v>
      </c>
      <c r="B346" s="169" t="str">
        <f t="shared" si="120"/>
        <v>#REF!</v>
      </c>
      <c r="C346" s="169" t="str">
        <f t="shared" si="120"/>
        <v>#REF!</v>
      </c>
      <c r="D346" s="170" t="str">
        <f t="shared" si="120"/>
        <v>#REF!</v>
      </c>
      <c r="E346" s="164"/>
      <c r="F346" s="169" t="str">
        <f t="shared" ref="F346:I346" si="121">'2.18.'!F6</f>
        <v>#REF!</v>
      </c>
      <c r="G346" s="4" t="str">
        <f t="shared" si="121"/>
        <v>#REF!</v>
      </c>
      <c r="H346" s="169" t="str">
        <f t="shared" si="121"/>
        <v>#REF!</v>
      </c>
      <c r="I346" s="169" t="str">
        <f t="shared" si="121"/>
        <v>#REF!</v>
      </c>
    </row>
    <row r="347" ht="15.75" customHeight="1">
      <c r="A347" s="171" t="str">
        <f t="shared" ref="A347:I347" si="122">'2.18.'!A7</f>
        <v>#REF!</v>
      </c>
      <c r="B347" s="74" t="str">
        <f t="shared" si="122"/>
        <v>#REF!</v>
      </c>
      <c r="C347" s="74" t="str">
        <f t="shared" si="122"/>
        <v>#REF!</v>
      </c>
      <c r="D347" s="172" t="str">
        <f t="shared" si="122"/>
        <v>#REF!</v>
      </c>
      <c r="E347" s="171" t="str">
        <f t="shared" si="122"/>
        <v>#REF!</v>
      </c>
      <c r="F347" s="173" t="str">
        <f t="shared" si="122"/>
        <v>#REF!</v>
      </c>
      <c r="G347" s="189" t="str">
        <f t="shared" si="122"/>
        <v>#REF!</v>
      </c>
      <c r="H347" s="120" t="str">
        <f t="shared" si="122"/>
        <v>#REF!</v>
      </c>
      <c r="I347" s="120" t="str">
        <f t="shared" si="122"/>
        <v>#REF!</v>
      </c>
    </row>
    <row r="348" ht="15.75" customHeight="1">
      <c r="A348" s="171" t="str">
        <f t="shared" ref="A348:I348" si="123">'2.18.'!A8</f>
        <v>#REF!</v>
      </c>
      <c r="B348" s="74" t="str">
        <f t="shared" si="123"/>
        <v>#REF!</v>
      </c>
      <c r="C348" s="74" t="str">
        <f t="shared" si="123"/>
        <v>#REF!</v>
      </c>
      <c r="D348" s="172" t="str">
        <f t="shared" si="123"/>
        <v>#REF!</v>
      </c>
      <c r="E348" s="171" t="str">
        <f t="shared" si="123"/>
        <v>#REF!</v>
      </c>
      <c r="F348" s="173" t="str">
        <f t="shared" si="123"/>
        <v>#REF!</v>
      </c>
      <c r="G348" s="189" t="str">
        <f t="shared" si="123"/>
        <v>#REF!</v>
      </c>
      <c r="H348" s="120" t="str">
        <f t="shared" si="123"/>
        <v>#REF!</v>
      </c>
      <c r="I348" s="120" t="str">
        <f t="shared" si="123"/>
        <v>#REF!</v>
      </c>
    </row>
    <row r="349" ht="15.75" customHeight="1">
      <c r="A349" s="171" t="str">
        <f t="shared" ref="A349:I349" si="124">'2.18.'!A9</f>
        <v>#REF!</v>
      </c>
      <c r="B349" s="74" t="str">
        <f t="shared" si="124"/>
        <v>#REF!</v>
      </c>
      <c r="C349" s="74" t="str">
        <f t="shared" si="124"/>
        <v>#REF!</v>
      </c>
      <c r="D349" s="172" t="str">
        <f t="shared" si="124"/>
        <v>#REF!</v>
      </c>
      <c r="E349" s="171" t="str">
        <f t="shared" si="124"/>
        <v>#REF!</v>
      </c>
      <c r="F349" s="173" t="str">
        <f t="shared" si="124"/>
        <v>#REF!</v>
      </c>
      <c r="G349" s="189" t="str">
        <f t="shared" si="124"/>
        <v>#REF!</v>
      </c>
      <c r="H349" s="120" t="str">
        <f t="shared" si="124"/>
        <v>#REF!</v>
      </c>
      <c r="I349" s="120" t="str">
        <f t="shared" si="124"/>
        <v>#REF!</v>
      </c>
    </row>
    <row r="350" ht="15.75" customHeight="1">
      <c r="A350" s="171" t="str">
        <f t="shared" ref="A350:I350" si="125">'2.18.'!A10</f>
        <v>#REF!</v>
      </c>
      <c r="B350" s="74" t="str">
        <f t="shared" si="125"/>
        <v>#REF!</v>
      </c>
      <c r="C350" s="74" t="str">
        <f t="shared" si="125"/>
        <v>#REF!</v>
      </c>
      <c r="D350" s="172" t="str">
        <f t="shared" si="125"/>
        <v>#REF!</v>
      </c>
      <c r="E350" s="171" t="str">
        <f t="shared" si="125"/>
        <v>#REF!</v>
      </c>
      <c r="F350" s="173" t="str">
        <f t="shared" si="125"/>
        <v>#REF!</v>
      </c>
      <c r="G350" s="189" t="str">
        <f t="shared" si="125"/>
        <v>#REF!</v>
      </c>
      <c r="H350" s="120" t="str">
        <f t="shared" si="125"/>
        <v>#REF!</v>
      </c>
      <c r="I350" s="120" t="str">
        <f t="shared" si="125"/>
        <v>#REF!</v>
      </c>
    </row>
    <row r="351" ht="15.75" customHeight="1">
      <c r="A351" s="171" t="str">
        <f t="shared" ref="A351:I351" si="126">'2.18.'!A11</f>
        <v>#REF!</v>
      </c>
      <c r="B351" s="74" t="str">
        <f t="shared" si="126"/>
        <v>#REF!</v>
      </c>
      <c r="C351" s="74" t="str">
        <f t="shared" si="126"/>
        <v>#REF!</v>
      </c>
      <c r="D351" s="171" t="str">
        <f t="shared" si="126"/>
        <v>#REF!</v>
      </c>
      <c r="E351" s="171" t="str">
        <f t="shared" si="126"/>
        <v>#REF!</v>
      </c>
      <c r="F351" s="173" t="str">
        <f t="shared" si="126"/>
        <v>#REF!</v>
      </c>
      <c r="G351" s="189" t="str">
        <f t="shared" si="126"/>
        <v>#REF!</v>
      </c>
      <c r="H351" s="120" t="str">
        <f t="shared" si="126"/>
        <v>#REF!</v>
      </c>
      <c r="I351" s="120" t="str">
        <f t="shared" si="126"/>
        <v>#REF!</v>
      </c>
    </row>
    <row r="352" ht="15.75" customHeight="1">
      <c r="A352" s="171" t="str">
        <f t="shared" ref="A352:I352" si="127">'2.18.'!A12</f>
        <v>#REF!</v>
      </c>
      <c r="B352" s="74" t="str">
        <f t="shared" si="127"/>
        <v>#REF!</v>
      </c>
      <c r="C352" s="74" t="str">
        <f t="shared" si="127"/>
        <v>#REF!</v>
      </c>
      <c r="D352" s="171" t="str">
        <f t="shared" si="127"/>
        <v>#REF!</v>
      </c>
      <c r="E352" s="171" t="str">
        <f t="shared" si="127"/>
        <v>#REF!</v>
      </c>
      <c r="F352" s="173" t="str">
        <f t="shared" si="127"/>
        <v>#REF!</v>
      </c>
      <c r="G352" s="189" t="str">
        <f t="shared" si="127"/>
        <v>#REF!</v>
      </c>
      <c r="H352" s="120" t="str">
        <f t="shared" si="127"/>
        <v>#REF!</v>
      </c>
      <c r="I352" s="120" t="str">
        <f t="shared" si="127"/>
        <v>#REF!</v>
      </c>
    </row>
    <row r="353" ht="15.75" customHeight="1">
      <c r="A353" s="171" t="str">
        <f t="shared" ref="A353:I353" si="128">'2.18.'!A13</f>
        <v>#REF!</v>
      </c>
      <c r="B353" s="74" t="str">
        <f t="shared" si="128"/>
        <v>#REF!</v>
      </c>
      <c r="C353" s="74" t="str">
        <f t="shared" si="128"/>
        <v>#REF!</v>
      </c>
      <c r="D353" s="171" t="str">
        <f t="shared" si="128"/>
        <v>#REF!</v>
      </c>
      <c r="E353" s="171" t="str">
        <f t="shared" si="128"/>
        <v>#REF!</v>
      </c>
      <c r="F353" s="173" t="str">
        <f t="shared" si="128"/>
        <v>#REF!</v>
      </c>
      <c r="G353" s="189" t="str">
        <f t="shared" si="128"/>
        <v>#REF!</v>
      </c>
      <c r="H353" s="120" t="str">
        <f t="shared" si="128"/>
        <v>#REF!</v>
      </c>
      <c r="I353" s="120" t="str">
        <f t="shared" si="128"/>
        <v>#REF!</v>
      </c>
    </row>
    <row r="354" ht="15.75" customHeight="1">
      <c r="A354" s="171" t="str">
        <f t="shared" ref="A354:I354" si="129">'2.18.'!A14</f>
        <v>#REF!</v>
      </c>
      <c r="B354" s="74" t="str">
        <f t="shared" si="129"/>
        <v>#REF!</v>
      </c>
      <c r="C354" s="74" t="str">
        <f t="shared" si="129"/>
        <v>#REF!</v>
      </c>
      <c r="D354" s="171" t="str">
        <f t="shared" si="129"/>
        <v>#REF!</v>
      </c>
      <c r="E354" s="171" t="str">
        <f t="shared" si="129"/>
        <v>#REF!</v>
      </c>
      <c r="F354" s="173" t="str">
        <f t="shared" si="129"/>
        <v>#REF!</v>
      </c>
      <c r="G354" s="189" t="str">
        <f t="shared" si="129"/>
        <v>#REF!</v>
      </c>
      <c r="H354" s="120" t="str">
        <f t="shared" si="129"/>
        <v>#REF!</v>
      </c>
      <c r="I354" s="120" t="str">
        <f t="shared" si="129"/>
        <v>#REF!</v>
      </c>
    </row>
    <row r="355" ht="15.75" customHeight="1">
      <c r="A355" s="171" t="str">
        <f t="shared" ref="A355:I355" si="130">'2.18.'!A15</f>
        <v>#REF!</v>
      </c>
      <c r="B355" s="74" t="str">
        <f t="shared" si="130"/>
        <v>#REF!</v>
      </c>
      <c r="C355" s="74" t="str">
        <f t="shared" si="130"/>
        <v>#REF!</v>
      </c>
      <c r="D355" s="171" t="str">
        <f t="shared" si="130"/>
        <v>#REF!</v>
      </c>
      <c r="E355" s="171" t="str">
        <f t="shared" si="130"/>
        <v>#REF!</v>
      </c>
      <c r="F355" s="173" t="str">
        <f t="shared" si="130"/>
        <v>#REF!</v>
      </c>
      <c r="G355" s="189" t="str">
        <f t="shared" si="130"/>
        <v>#REF!</v>
      </c>
      <c r="H355" s="120" t="str">
        <f t="shared" si="130"/>
        <v>#REF!</v>
      </c>
      <c r="I355" s="120" t="str">
        <f t="shared" si="130"/>
        <v>#REF!</v>
      </c>
    </row>
    <row r="356" ht="15.75" customHeight="1">
      <c r="A356" s="171" t="str">
        <f t="shared" ref="A356:I356" si="131">'2.18.'!A16</f>
        <v>#REF!</v>
      </c>
      <c r="B356" s="74" t="str">
        <f t="shared" si="131"/>
        <v>#REF!</v>
      </c>
      <c r="C356" s="74" t="str">
        <f t="shared" si="131"/>
        <v>#REF!</v>
      </c>
      <c r="D356" s="171" t="str">
        <f t="shared" si="131"/>
        <v>#REF!</v>
      </c>
      <c r="E356" s="171" t="str">
        <f t="shared" si="131"/>
        <v>#REF!</v>
      </c>
      <c r="F356" s="173" t="str">
        <f t="shared" si="131"/>
        <v>#REF!</v>
      </c>
      <c r="G356" s="189" t="str">
        <f t="shared" si="131"/>
        <v>#REF!</v>
      </c>
      <c r="H356" s="120" t="str">
        <f t="shared" si="131"/>
        <v>#REF!</v>
      </c>
      <c r="I356" s="120" t="str">
        <f t="shared" si="131"/>
        <v>#REF!</v>
      </c>
    </row>
    <row r="357" ht="15.75" customHeight="1">
      <c r="A357" s="171" t="str">
        <f t="shared" ref="A357:I357" si="132">'2.18.'!A17</f>
        <v>#REF!</v>
      </c>
      <c r="B357" s="74" t="str">
        <f t="shared" si="132"/>
        <v>#REF!</v>
      </c>
      <c r="C357" s="74" t="str">
        <f t="shared" si="132"/>
        <v>#REF!</v>
      </c>
      <c r="D357" s="171" t="str">
        <f t="shared" si="132"/>
        <v>#REF!</v>
      </c>
      <c r="E357" s="171" t="str">
        <f t="shared" si="132"/>
        <v>#REF!</v>
      </c>
      <c r="F357" s="173" t="str">
        <f t="shared" si="132"/>
        <v>#REF!</v>
      </c>
      <c r="G357" s="189" t="str">
        <f t="shared" si="132"/>
        <v>#REF!</v>
      </c>
      <c r="H357" s="120" t="str">
        <f t="shared" si="132"/>
        <v>#REF!</v>
      </c>
      <c r="I357" s="120" t="str">
        <f t="shared" si="132"/>
        <v>#REF!</v>
      </c>
    </row>
    <row r="358" ht="15.75" customHeight="1">
      <c r="A358" s="171" t="str">
        <f t="shared" ref="A358:I358" si="133">'2.18.'!A18</f>
        <v>#REF!</v>
      </c>
      <c r="B358" s="74" t="str">
        <f t="shared" si="133"/>
        <v>#REF!</v>
      </c>
      <c r="C358" s="74" t="str">
        <f t="shared" si="133"/>
        <v>#REF!</v>
      </c>
      <c r="D358" s="171" t="str">
        <f t="shared" si="133"/>
        <v>#REF!</v>
      </c>
      <c r="E358" s="171" t="str">
        <f t="shared" si="133"/>
        <v>#REF!</v>
      </c>
      <c r="F358" s="173" t="str">
        <f t="shared" si="133"/>
        <v>#REF!</v>
      </c>
      <c r="G358" s="189" t="str">
        <f t="shared" si="133"/>
        <v>#REF!</v>
      </c>
      <c r="H358" s="120" t="str">
        <f t="shared" si="133"/>
        <v>#REF!</v>
      </c>
      <c r="I358" s="120" t="str">
        <f t="shared" si="133"/>
        <v>#REF!</v>
      </c>
    </row>
    <row r="359" ht="15.75" customHeight="1">
      <c r="A359" s="127" t="str">
        <f t="shared" ref="A359:I359" si="134">'2.18.'!A19</f>
        <v>#REF!</v>
      </c>
      <c r="B359" s="127" t="str">
        <f t="shared" si="134"/>
        <v>#REF!</v>
      </c>
      <c r="C359" s="127" t="str">
        <f t="shared" si="134"/>
        <v>#REF!</v>
      </c>
      <c r="D359" s="127" t="str">
        <f t="shared" si="134"/>
        <v>#REF!</v>
      </c>
      <c r="E359" s="127" t="str">
        <f t="shared" si="134"/>
        <v>#REF!</v>
      </c>
      <c r="F359" s="126" t="str">
        <f t="shared" si="134"/>
        <v>#REF!</v>
      </c>
      <c r="G359" s="3" t="str">
        <f t="shared" si="134"/>
        <v>#REF!</v>
      </c>
      <c r="H359" s="120" t="str">
        <f t="shared" si="134"/>
        <v>#REF!</v>
      </c>
      <c r="I359" s="120" t="str">
        <f t="shared" si="134"/>
        <v>#REF!</v>
      </c>
    </row>
    <row r="360" ht="15.75" customHeight="1">
      <c r="A360" s="190" t="str">
        <f t="shared" ref="A360:I360" si="135">'2.18.'!A20</f>
        <v>#REF!</v>
      </c>
      <c r="B360" s="191" t="str">
        <f t="shared" si="135"/>
        <v>#REF!</v>
      </c>
      <c r="C360" s="191" t="str">
        <f t="shared" si="135"/>
        <v>#REF!</v>
      </c>
      <c r="D360" s="191" t="str">
        <f t="shared" si="135"/>
        <v>#REF!</v>
      </c>
      <c r="E360" s="191" t="str">
        <f t="shared" si="135"/>
        <v>#REF!</v>
      </c>
      <c r="F360" s="191" t="str">
        <f t="shared" si="135"/>
        <v>#REF!</v>
      </c>
      <c r="G360" s="177" t="str">
        <f t="shared" si="135"/>
        <v>#REF!</v>
      </c>
      <c r="H360" s="191" t="str">
        <f t="shared" si="135"/>
        <v>#REF!</v>
      </c>
      <c r="I360" s="192" t="str">
        <f t="shared" si="135"/>
        <v>#REF!</v>
      </c>
    </row>
    <row r="361" ht="15.75" customHeight="1">
      <c r="G361" s="3"/>
    </row>
    <row r="362" ht="15.75" customHeight="1">
      <c r="G362" s="3"/>
    </row>
    <row r="363">
      <c r="A363" s="162" t="str">
        <f t="shared" ref="A363:B363" si="136">'2.19.'!A3</f>
        <v>#REF!</v>
      </c>
      <c r="B363" s="163" t="str">
        <f t="shared" si="136"/>
        <v>#REF!</v>
      </c>
      <c r="C363" s="164"/>
      <c r="D363" s="164"/>
      <c r="E363" s="164"/>
      <c r="F363" s="164"/>
      <c r="G363" s="165" t="str">
        <f t="shared" ref="G363:I363" si="137">'2.19.'!G3</f>
        <v>#REF!</v>
      </c>
      <c r="H363" s="166" t="str">
        <f t="shared" si="137"/>
        <v>#REF!</v>
      </c>
      <c r="I363" s="167" t="str">
        <f t="shared" si="137"/>
        <v>#REF!</v>
      </c>
    </row>
    <row r="364" ht="15.75" customHeight="1">
      <c r="A364" s="127" t="str">
        <f t="shared" ref="A364:I364" si="138">'2.19.'!A4</f>
        <v>#REF!</v>
      </c>
      <c r="B364" s="127" t="str">
        <f t="shared" si="138"/>
        <v>#REF!</v>
      </c>
      <c r="C364" s="127" t="str">
        <f t="shared" si="138"/>
        <v>#REF!</v>
      </c>
      <c r="D364" s="127" t="str">
        <f t="shared" si="138"/>
        <v>#REF!</v>
      </c>
      <c r="E364" s="127" t="str">
        <f t="shared" si="138"/>
        <v>#REF!</v>
      </c>
      <c r="F364" s="127" t="str">
        <f t="shared" si="138"/>
        <v>#REF!</v>
      </c>
      <c r="G364" s="3" t="str">
        <f t="shared" si="138"/>
        <v>#REF!</v>
      </c>
      <c r="H364" s="127" t="str">
        <f t="shared" si="138"/>
        <v>#REF!</v>
      </c>
      <c r="I364" s="127" t="str">
        <f t="shared" si="138"/>
        <v>#REF!</v>
      </c>
    </row>
    <row r="365" ht="15.75" customHeight="1">
      <c r="A365" s="168" t="str">
        <f t="shared" ref="A365:I365" si="139">'2.19.'!A5</f>
        <v>#REF!</v>
      </c>
      <c r="B365" s="76" t="str">
        <f t="shared" si="139"/>
        <v>#REF!</v>
      </c>
      <c r="C365" s="76" t="str">
        <f t="shared" si="139"/>
        <v>#REF!</v>
      </c>
      <c r="D365" s="76" t="str">
        <f t="shared" si="139"/>
        <v>#REF!</v>
      </c>
      <c r="E365" s="76" t="str">
        <f t="shared" si="139"/>
        <v>#REF!</v>
      </c>
      <c r="F365" s="76" t="str">
        <f t="shared" si="139"/>
        <v>#REF!</v>
      </c>
      <c r="G365" s="2" t="str">
        <f t="shared" si="139"/>
        <v>#REF!</v>
      </c>
      <c r="H365" s="76" t="str">
        <f t="shared" si="139"/>
        <v>#REF!</v>
      </c>
      <c r="I365" s="76" t="str">
        <f t="shared" si="139"/>
        <v>#REF!</v>
      </c>
    </row>
    <row r="366" ht="15.75" customHeight="1">
      <c r="A366" s="169" t="str">
        <f t="shared" ref="A366:D366" si="140">'2.19.'!A6</f>
        <v>#REF!</v>
      </c>
      <c r="B366" s="169" t="str">
        <f t="shared" si="140"/>
        <v>#REF!</v>
      </c>
      <c r="C366" s="169" t="str">
        <f t="shared" si="140"/>
        <v>#REF!</v>
      </c>
      <c r="D366" s="170" t="str">
        <f t="shared" si="140"/>
        <v>#REF!</v>
      </c>
      <c r="E366" s="164"/>
      <c r="F366" s="169" t="str">
        <f t="shared" ref="F366:I366" si="141">'2.19.'!F6</f>
        <v>#REF!</v>
      </c>
      <c r="G366" s="4" t="str">
        <f t="shared" si="141"/>
        <v>#REF!</v>
      </c>
      <c r="H366" s="169" t="str">
        <f t="shared" si="141"/>
        <v>#REF!</v>
      </c>
      <c r="I366" s="169" t="str">
        <f t="shared" si="141"/>
        <v>#REF!</v>
      </c>
    </row>
    <row r="367" ht="15.75" customHeight="1">
      <c r="A367" s="171" t="str">
        <f t="shared" ref="A367:I367" si="142">'2.19.'!A7</f>
        <v>#REF!</v>
      </c>
      <c r="B367" s="74" t="str">
        <f t="shared" si="142"/>
        <v>#REF!</v>
      </c>
      <c r="C367" s="74" t="str">
        <f t="shared" si="142"/>
        <v>#REF!</v>
      </c>
      <c r="D367" s="172" t="str">
        <f t="shared" si="142"/>
        <v>#REF!</v>
      </c>
      <c r="E367" s="171" t="str">
        <f t="shared" si="142"/>
        <v>#REF!</v>
      </c>
      <c r="F367" s="173" t="str">
        <f t="shared" si="142"/>
        <v>#REF!</v>
      </c>
      <c r="G367" s="189" t="str">
        <f t="shared" si="142"/>
        <v>#REF!</v>
      </c>
      <c r="H367" s="120" t="str">
        <f t="shared" si="142"/>
        <v>#REF!</v>
      </c>
      <c r="I367" s="120" t="str">
        <f t="shared" si="142"/>
        <v>#REF!</v>
      </c>
    </row>
    <row r="368" ht="15.75" customHeight="1">
      <c r="A368" s="171" t="str">
        <f t="shared" ref="A368:I368" si="143">'2.19.'!A8</f>
        <v>#REF!</v>
      </c>
      <c r="B368" s="74" t="str">
        <f t="shared" si="143"/>
        <v>#REF!</v>
      </c>
      <c r="C368" s="74" t="str">
        <f t="shared" si="143"/>
        <v>#REF!</v>
      </c>
      <c r="D368" s="172" t="str">
        <f t="shared" si="143"/>
        <v>#REF!</v>
      </c>
      <c r="E368" s="171" t="str">
        <f t="shared" si="143"/>
        <v>#REF!</v>
      </c>
      <c r="F368" s="173" t="str">
        <f t="shared" si="143"/>
        <v>#REF!</v>
      </c>
      <c r="G368" s="189" t="str">
        <f t="shared" si="143"/>
        <v>#REF!</v>
      </c>
      <c r="H368" s="120" t="str">
        <f t="shared" si="143"/>
        <v>#REF!</v>
      </c>
      <c r="I368" s="120" t="str">
        <f t="shared" si="143"/>
        <v>#REF!</v>
      </c>
    </row>
    <row r="369" ht="15.75" customHeight="1">
      <c r="A369" s="171" t="str">
        <f t="shared" ref="A369:I369" si="144">'2.19.'!A9</f>
        <v>#REF!</v>
      </c>
      <c r="B369" s="74" t="str">
        <f t="shared" si="144"/>
        <v>#REF!</v>
      </c>
      <c r="C369" s="74" t="str">
        <f t="shared" si="144"/>
        <v>#REF!</v>
      </c>
      <c r="D369" s="172" t="str">
        <f t="shared" si="144"/>
        <v>#REF!</v>
      </c>
      <c r="E369" s="171" t="str">
        <f t="shared" si="144"/>
        <v>#REF!</v>
      </c>
      <c r="F369" s="173" t="str">
        <f t="shared" si="144"/>
        <v>#REF!</v>
      </c>
      <c r="G369" s="189" t="str">
        <f t="shared" si="144"/>
        <v>#REF!</v>
      </c>
      <c r="H369" s="120" t="str">
        <f t="shared" si="144"/>
        <v>#REF!</v>
      </c>
      <c r="I369" s="120" t="str">
        <f t="shared" si="144"/>
        <v>#REF!</v>
      </c>
    </row>
    <row r="370" ht="15.75" customHeight="1">
      <c r="A370" s="171" t="str">
        <f t="shared" ref="A370:I370" si="145">'2.19.'!A10</f>
        <v>#REF!</v>
      </c>
      <c r="B370" s="74" t="str">
        <f t="shared" si="145"/>
        <v>#REF!</v>
      </c>
      <c r="C370" s="74" t="str">
        <f t="shared" si="145"/>
        <v>#REF!</v>
      </c>
      <c r="D370" s="171" t="str">
        <f t="shared" si="145"/>
        <v>#REF!</v>
      </c>
      <c r="E370" s="171" t="str">
        <f t="shared" si="145"/>
        <v>#REF!</v>
      </c>
      <c r="F370" s="173" t="str">
        <f t="shared" si="145"/>
        <v>#REF!</v>
      </c>
      <c r="G370" s="189" t="str">
        <f t="shared" si="145"/>
        <v>#REF!</v>
      </c>
      <c r="H370" s="120" t="str">
        <f t="shared" si="145"/>
        <v>#REF!</v>
      </c>
      <c r="I370" s="120" t="str">
        <f t="shared" si="145"/>
        <v>#REF!</v>
      </c>
    </row>
    <row r="371" ht="15.75" customHeight="1">
      <c r="A371" s="171" t="str">
        <f t="shared" ref="A371:I371" si="146">'2.19.'!A11</f>
        <v>#REF!</v>
      </c>
      <c r="B371" s="74" t="str">
        <f t="shared" si="146"/>
        <v>#REF!</v>
      </c>
      <c r="C371" s="74" t="str">
        <f t="shared" si="146"/>
        <v>#REF!</v>
      </c>
      <c r="D371" s="171" t="str">
        <f t="shared" si="146"/>
        <v>#REF!</v>
      </c>
      <c r="E371" s="171" t="str">
        <f t="shared" si="146"/>
        <v>#REF!</v>
      </c>
      <c r="F371" s="173" t="str">
        <f t="shared" si="146"/>
        <v>#REF!</v>
      </c>
      <c r="G371" s="189" t="str">
        <f t="shared" si="146"/>
        <v>#REF!</v>
      </c>
      <c r="H371" s="120" t="str">
        <f t="shared" si="146"/>
        <v>#REF!</v>
      </c>
      <c r="I371" s="120" t="str">
        <f t="shared" si="146"/>
        <v>#REF!</v>
      </c>
    </row>
    <row r="372" ht="15.75" customHeight="1">
      <c r="A372" s="171" t="str">
        <f t="shared" ref="A372:I372" si="147">'2.19.'!A12</f>
        <v>#REF!</v>
      </c>
      <c r="B372" s="74" t="str">
        <f t="shared" si="147"/>
        <v>#REF!</v>
      </c>
      <c r="C372" s="74" t="str">
        <f t="shared" si="147"/>
        <v>#REF!</v>
      </c>
      <c r="D372" s="171" t="str">
        <f t="shared" si="147"/>
        <v>#REF!</v>
      </c>
      <c r="E372" s="171" t="str">
        <f t="shared" si="147"/>
        <v>#REF!</v>
      </c>
      <c r="F372" s="173" t="str">
        <f t="shared" si="147"/>
        <v>#REF!</v>
      </c>
      <c r="G372" s="189" t="str">
        <f t="shared" si="147"/>
        <v>#REF!</v>
      </c>
      <c r="H372" s="120" t="str">
        <f t="shared" si="147"/>
        <v>#REF!</v>
      </c>
      <c r="I372" s="120" t="str">
        <f t="shared" si="147"/>
        <v>#REF!</v>
      </c>
    </row>
    <row r="373" ht="15.75" customHeight="1">
      <c r="A373" s="171" t="str">
        <f t="shared" ref="A373:I373" si="148">'2.19.'!A13</f>
        <v>#REF!</v>
      </c>
      <c r="B373" s="74" t="str">
        <f t="shared" si="148"/>
        <v>#REF!</v>
      </c>
      <c r="C373" s="74" t="str">
        <f t="shared" si="148"/>
        <v>#REF!</v>
      </c>
      <c r="D373" s="171" t="str">
        <f t="shared" si="148"/>
        <v>#REF!</v>
      </c>
      <c r="E373" s="171" t="str">
        <f t="shared" si="148"/>
        <v>#REF!</v>
      </c>
      <c r="F373" s="173" t="str">
        <f t="shared" si="148"/>
        <v>#REF!</v>
      </c>
      <c r="G373" s="189" t="str">
        <f t="shared" si="148"/>
        <v>#REF!</v>
      </c>
      <c r="H373" s="120" t="str">
        <f t="shared" si="148"/>
        <v>#REF!</v>
      </c>
      <c r="I373" s="120" t="str">
        <f t="shared" si="148"/>
        <v>#REF!</v>
      </c>
    </row>
    <row r="374" ht="15.75" customHeight="1">
      <c r="A374" s="171" t="str">
        <f t="shared" ref="A374:I374" si="149">'2.19.'!A14</f>
        <v>#REF!</v>
      </c>
      <c r="B374" s="74" t="str">
        <f t="shared" si="149"/>
        <v>#REF!</v>
      </c>
      <c r="C374" s="74" t="str">
        <f t="shared" si="149"/>
        <v>#REF!</v>
      </c>
      <c r="D374" s="171" t="str">
        <f t="shared" si="149"/>
        <v>#REF!</v>
      </c>
      <c r="E374" s="171" t="str">
        <f t="shared" si="149"/>
        <v>#REF!</v>
      </c>
      <c r="F374" s="173" t="str">
        <f t="shared" si="149"/>
        <v>#REF!</v>
      </c>
      <c r="G374" s="189" t="str">
        <f t="shared" si="149"/>
        <v>#REF!</v>
      </c>
      <c r="H374" s="120" t="str">
        <f t="shared" si="149"/>
        <v>#REF!</v>
      </c>
      <c r="I374" s="120" t="str">
        <f t="shared" si="149"/>
        <v>#REF!</v>
      </c>
    </row>
    <row r="375" ht="15.75" customHeight="1">
      <c r="A375" s="171" t="str">
        <f t="shared" ref="A375:I375" si="150">'2.19.'!A15</f>
        <v>#REF!</v>
      </c>
      <c r="B375" s="74" t="str">
        <f t="shared" si="150"/>
        <v>#REF!</v>
      </c>
      <c r="C375" s="74" t="str">
        <f t="shared" si="150"/>
        <v>#REF!</v>
      </c>
      <c r="D375" s="171" t="str">
        <f t="shared" si="150"/>
        <v>#REF!</v>
      </c>
      <c r="E375" s="171" t="str">
        <f t="shared" si="150"/>
        <v>#REF!</v>
      </c>
      <c r="F375" s="173" t="str">
        <f t="shared" si="150"/>
        <v>#REF!</v>
      </c>
      <c r="G375" s="189" t="str">
        <f t="shared" si="150"/>
        <v>#REF!</v>
      </c>
      <c r="H375" s="120" t="str">
        <f t="shared" si="150"/>
        <v>#REF!</v>
      </c>
      <c r="I375" s="120" t="str">
        <f t="shared" si="150"/>
        <v>#REF!</v>
      </c>
    </row>
    <row r="376" ht="15.75" customHeight="1">
      <c r="A376" s="171" t="str">
        <f t="shared" ref="A376:I376" si="151">'2.19.'!A16</f>
        <v>#REF!</v>
      </c>
      <c r="B376" s="74" t="str">
        <f t="shared" si="151"/>
        <v>#REF!</v>
      </c>
      <c r="C376" s="74" t="str">
        <f t="shared" si="151"/>
        <v>#REF!</v>
      </c>
      <c r="D376" s="171" t="str">
        <f t="shared" si="151"/>
        <v>#REF!</v>
      </c>
      <c r="E376" s="171" t="str">
        <f t="shared" si="151"/>
        <v>#REF!</v>
      </c>
      <c r="F376" s="173" t="str">
        <f t="shared" si="151"/>
        <v>#REF!</v>
      </c>
      <c r="G376" s="189" t="str">
        <f t="shared" si="151"/>
        <v>#REF!</v>
      </c>
      <c r="H376" s="120" t="str">
        <f t="shared" si="151"/>
        <v>#REF!</v>
      </c>
      <c r="I376" s="120" t="str">
        <f t="shared" si="151"/>
        <v>#REF!</v>
      </c>
    </row>
    <row r="377" ht="15.75" customHeight="1">
      <c r="A377" s="171" t="str">
        <f t="shared" ref="A377:I377" si="152">'2.19.'!A17</f>
        <v>#REF!</v>
      </c>
      <c r="B377" s="74" t="str">
        <f t="shared" si="152"/>
        <v>#REF!</v>
      </c>
      <c r="C377" s="74" t="str">
        <f t="shared" si="152"/>
        <v>#REF!</v>
      </c>
      <c r="D377" s="171" t="str">
        <f t="shared" si="152"/>
        <v>#REF!</v>
      </c>
      <c r="E377" s="171" t="str">
        <f t="shared" si="152"/>
        <v>#REF!</v>
      </c>
      <c r="F377" s="173" t="str">
        <f t="shared" si="152"/>
        <v>#REF!</v>
      </c>
      <c r="G377" s="189" t="str">
        <f t="shared" si="152"/>
        <v>#REF!</v>
      </c>
      <c r="H377" s="120" t="str">
        <f t="shared" si="152"/>
        <v>#REF!</v>
      </c>
      <c r="I377" s="120" t="str">
        <f t="shared" si="152"/>
        <v>#REF!</v>
      </c>
    </row>
    <row r="378" ht="15.75" customHeight="1">
      <c r="A378" s="171" t="str">
        <f t="shared" ref="A378:I378" si="153">'2.19.'!A18</f>
        <v>#REF!</v>
      </c>
      <c r="B378" s="74" t="str">
        <f t="shared" si="153"/>
        <v>#REF!</v>
      </c>
      <c r="C378" s="74" t="str">
        <f t="shared" si="153"/>
        <v>#REF!</v>
      </c>
      <c r="D378" s="171" t="str">
        <f t="shared" si="153"/>
        <v>#REF!</v>
      </c>
      <c r="E378" s="171" t="str">
        <f t="shared" si="153"/>
        <v>#REF!</v>
      </c>
      <c r="F378" s="173" t="str">
        <f t="shared" si="153"/>
        <v>#REF!</v>
      </c>
      <c r="G378" s="189" t="str">
        <f t="shared" si="153"/>
        <v>#REF!</v>
      </c>
      <c r="H378" s="120" t="str">
        <f t="shared" si="153"/>
        <v>#REF!</v>
      </c>
      <c r="I378" s="120" t="str">
        <f t="shared" si="153"/>
        <v>#REF!</v>
      </c>
    </row>
    <row r="379" ht="15.75" customHeight="1">
      <c r="A379" s="127" t="str">
        <f t="shared" ref="A379:I379" si="154">'2.19.'!A19</f>
        <v>#REF!</v>
      </c>
      <c r="B379" s="127" t="str">
        <f t="shared" si="154"/>
        <v>#REF!</v>
      </c>
      <c r="C379" s="127" t="str">
        <f t="shared" si="154"/>
        <v>#REF!</v>
      </c>
      <c r="D379" s="127" t="str">
        <f t="shared" si="154"/>
        <v>#REF!</v>
      </c>
      <c r="E379" s="127" t="str">
        <f t="shared" si="154"/>
        <v>#REF!</v>
      </c>
      <c r="F379" s="126" t="str">
        <f t="shared" si="154"/>
        <v>#REF!</v>
      </c>
      <c r="G379" s="3" t="str">
        <f t="shared" si="154"/>
        <v>#REF!</v>
      </c>
      <c r="H379" s="120" t="str">
        <f t="shared" si="154"/>
        <v>#REF!</v>
      </c>
      <c r="I379" s="120" t="str">
        <f t="shared" si="154"/>
        <v>#REF!</v>
      </c>
    </row>
    <row r="380" ht="15.75" customHeight="1">
      <c r="A380" s="190" t="str">
        <f t="shared" ref="A380:I380" si="155">'2.19.'!A20</f>
        <v>#REF!</v>
      </c>
      <c r="B380" s="191" t="str">
        <f t="shared" si="155"/>
        <v>#REF!</v>
      </c>
      <c r="C380" s="191" t="str">
        <f t="shared" si="155"/>
        <v>#REF!</v>
      </c>
      <c r="D380" s="191" t="str">
        <f t="shared" si="155"/>
        <v>#REF!</v>
      </c>
      <c r="E380" s="191" t="str">
        <f t="shared" si="155"/>
        <v>#REF!</v>
      </c>
      <c r="F380" s="191" t="str">
        <f t="shared" si="155"/>
        <v>#REF!</v>
      </c>
      <c r="G380" s="177" t="str">
        <f t="shared" si="155"/>
        <v>#REF!</v>
      </c>
      <c r="H380" s="191" t="str">
        <f t="shared" si="155"/>
        <v>#REF!</v>
      </c>
      <c r="I380" s="192" t="str">
        <f t="shared" si="155"/>
        <v>#REF!</v>
      </c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8">
    <mergeCell ref="B3:F3"/>
    <mergeCell ref="D6:E6"/>
    <mergeCell ref="B23:F23"/>
    <mergeCell ref="D26:E26"/>
    <mergeCell ref="B43:F43"/>
    <mergeCell ref="D46:E46"/>
    <mergeCell ref="B63:F63"/>
    <mergeCell ref="D66:E66"/>
    <mergeCell ref="B83:F83"/>
    <mergeCell ref="D86:E86"/>
    <mergeCell ref="B103:F103"/>
    <mergeCell ref="D106:E106"/>
    <mergeCell ref="B123:F123"/>
    <mergeCell ref="D126:E126"/>
    <mergeCell ref="B143:F143"/>
    <mergeCell ref="D146:E146"/>
    <mergeCell ref="B163:F163"/>
    <mergeCell ref="D166:E166"/>
    <mergeCell ref="B183:F183"/>
    <mergeCell ref="D186:E186"/>
    <mergeCell ref="B203:F203"/>
    <mergeCell ref="D206:E206"/>
    <mergeCell ref="B223:F223"/>
    <mergeCell ref="D226:E226"/>
    <mergeCell ref="B243:F243"/>
    <mergeCell ref="D246:E246"/>
    <mergeCell ref="B263:F263"/>
    <mergeCell ref="D266:E266"/>
    <mergeCell ref="D346:E346"/>
    <mergeCell ref="B363:F363"/>
    <mergeCell ref="D366:E366"/>
    <mergeCell ref="B283:F283"/>
    <mergeCell ref="D286:E286"/>
    <mergeCell ref="B303:F303"/>
    <mergeCell ref="D306:E306"/>
    <mergeCell ref="B323:F323"/>
    <mergeCell ref="D326:E326"/>
    <mergeCell ref="B343:F343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73" t="str">
        <f>'01_C&amp;P'!A1</f>
        <v>NOMBRE DE LA OBRA</v>
      </c>
      <c r="B1" s="73"/>
      <c r="C1" s="73"/>
      <c r="G1" s="3"/>
    </row>
    <row r="2" ht="14.25" customHeight="1">
      <c r="G2" s="3"/>
    </row>
    <row r="3" ht="23.25" customHeight="1">
      <c r="A3" s="162" t="str">
        <f t="shared" ref="A3:B3" si="1">'2.1.'!A3</f>
        <v>#REF!</v>
      </c>
      <c r="B3" s="163" t="str">
        <f t="shared" si="1"/>
        <v>#REF!</v>
      </c>
      <c r="C3" s="164"/>
      <c r="D3" s="164"/>
      <c r="E3" s="164"/>
      <c r="F3" s="164"/>
      <c r="G3" s="165" t="str">
        <f t="shared" ref="G3:I3" si="2">'2.1.'!G3</f>
        <v>#REF!</v>
      </c>
      <c r="H3" s="166" t="str">
        <f t="shared" si="2"/>
        <v>#REF!</v>
      </c>
      <c r="I3" s="167" t="str">
        <f t="shared" si="2"/>
        <v>#REF!</v>
      </c>
    </row>
    <row r="4" ht="14.25" customHeight="1">
      <c r="G4" s="3"/>
    </row>
    <row r="5" ht="14.25" customHeight="1">
      <c r="A5" s="198" t="str">
        <f t="shared" ref="A5:A14" si="4">'2.1.'!A53</f>
        <v>#REF!</v>
      </c>
      <c r="B5" s="164"/>
      <c r="C5" s="76" t="str">
        <f t="shared" ref="C5:I5" si="3">'2.1.'!C53</f>
        <v>#REF!</v>
      </c>
      <c r="D5" s="76" t="str">
        <f t="shared" si="3"/>
        <v>#REF!</v>
      </c>
      <c r="E5" s="76" t="str">
        <f t="shared" si="3"/>
        <v>#REF!</v>
      </c>
      <c r="F5" s="76" t="str">
        <f t="shared" si="3"/>
        <v>#REF!</v>
      </c>
      <c r="G5" s="2" t="str">
        <f t="shared" si="3"/>
        <v>#REF!</v>
      </c>
      <c r="H5" s="76" t="str">
        <f t="shared" si="3"/>
        <v>#REF!</v>
      </c>
      <c r="I5" s="76" t="str">
        <f t="shared" si="3"/>
        <v>#REF!</v>
      </c>
      <c r="J5" s="74"/>
      <c r="K5" s="74"/>
      <c r="L5" s="74"/>
    </row>
    <row r="6" ht="14.25" customHeight="1">
      <c r="A6" s="169" t="str">
        <f t="shared" si="4"/>
        <v>#REF!</v>
      </c>
      <c r="B6" s="169" t="str">
        <f t="shared" ref="B6:I6" si="5">'2.1.'!B54</f>
        <v>#REF!</v>
      </c>
      <c r="C6" s="169" t="str">
        <f t="shared" si="5"/>
        <v>#REF!</v>
      </c>
      <c r="D6" s="169" t="str">
        <f t="shared" si="5"/>
        <v>#REF!</v>
      </c>
      <c r="E6" s="169" t="str">
        <f t="shared" si="5"/>
        <v>#REF!</v>
      </c>
      <c r="F6" s="169" t="str">
        <f t="shared" si="5"/>
        <v>#REF!</v>
      </c>
      <c r="G6" s="4" t="str">
        <f t="shared" si="5"/>
        <v>#REF!</v>
      </c>
      <c r="H6" s="169" t="str">
        <f t="shared" si="5"/>
        <v>#REF!</v>
      </c>
      <c r="I6" s="169" t="str">
        <f t="shared" si="5"/>
        <v>#REF!</v>
      </c>
      <c r="J6" s="74"/>
      <c r="K6" s="74"/>
      <c r="L6" s="74"/>
    </row>
    <row r="7" ht="14.25" customHeight="1">
      <c r="A7" s="171" t="str">
        <f t="shared" si="4"/>
        <v>#REF!</v>
      </c>
      <c r="B7" s="74" t="str">
        <f t="shared" ref="B7:I7" si="6">'2.1.'!B55</f>
        <v>#REF!</v>
      </c>
      <c r="C7" s="74" t="str">
        <f t="shared" si="6"/>
        <v>#REF!</v>
      </c>
      <c r="D7" s="172" t="str">
        <f t="shared" si="6"/>
        <v>#REF!</v>
      </c>
      <c r="E7" s="171" t="str">
        <f t="shared" si="6"/>
        <v>#REF!</v>
      </c>
      <c r="F7" s="173" t="str">
        <f t="shared" si="6"/>
        <v>#REF!</v>
      </c>
      <c r="G7" s="174" t="str">
        <f t="shared" si="6"/>
        <v>#REF!</v>
      </c>
      <c r="H7" s="120" t="str">
        <f t="shared" si="6"/>
        <v>#REF!</v>
      </c>
      <c r="I7" s="120" t="str">
        <f t="shared" si="6"/>
        <v>#REF!</v>
      </c>
    </row>
    <row r="8" ht="14.25" customHeight="1">
      <c r="A8" s="171" t="str">
        <f t="shared" si="4"/>
        <v>#REF!</v>
      </c>
      <c r="B8" s="74" t="str">
        <f t="shared" ref="B8:I8" si="7">'2.1.'!B56</f>
        <v>#REF!</v>
      </c>
      <c r="C8" s="74" t="str">
        <f t="shared" si="7"/>
        <v>#REF!</v>
      </c>
      <c r="D8" s="172" t="str">
        <f t="shared" si="7"/>
        <v>#REF!</v>
      </c>
      <c r="E8" s="171" t="str">
        <f t="shared" si="7"/>
        <v>#REF!</v>
      </c>
      <c r="F8" s="173" t="str">
        <f t="shared" si="7"/>
        <v>#REF!</v>
      </c>
      <c r="G8" s="174" t="str">
        <f t="shared" si="7"/>
        <v>#REF!</v>
      </c>
      <c r="H8" s="120" t="str">
        <f t="shared" si="7"/>
        <v>#REF!</v>
      </c>
      <c r="I8" s="120" t="str">
        <f t="shared" si="7"/>
        <v>#REF!</v>
      </c>
    </row>
    <row r="9" ht="14.25" customHeight="1">
      <c r="A9" s="171" t="str">
        <f t="shared" si="4"/>
        <v>#REF!</v>
      </c>
      <c r="B9" s="74" t="str">
        <f t="shared" ref="B9:I9" si="8">'2.1.'!B57</f>
        <v>#REF!</v>
      </c>
      <c r="C9" s="74" t="str">
        <f t="shared" si="8"/>
        <v>#REF!</v>
      </c>
      <c r="D9" s="172" t="str">
        <f t="shared" si="8"/>
        <v>#REF!</v>
      </c>
      <c r="E9" s="171" t="str">
        <f t="shared" si="8"/>
        <v>#REF!</v>
      </c>
      <c r="F9" s="173" t="str">
        <f t="shared" si="8"/>
        <v>#REF!</v>
      </c>
      <c r="G9" s="174" t="str">
        <f t="shared" si="8"/>
        <v>#REF!</v>
      </c>
      <c r="H9" s="120" t="str">
        <f t="shared" si="8"/>
        <v>#REF!</v>
      </c>
      <c r="I9" s="120" t="str">
        <f t="shared" si="8"/>
        <v>#REF!</v>
      </c>
    </row>
    <row r="10" ht="14.25" customHeight="1">
      <c r="A10" s="171" t="str">
        <f t="shared" si="4"/>
        <v>#REF!</v>
      </c>
      <c r="B10" s="74" t="str">
        <f t="shared" ref="B10:I10" si="9">'2.1.'!B58</f>
        <v>#REF!</v>
      </c>
      <c r="C10" s="74" t="str">
        <f t="shared" si="9"/>
        <v>#REF!</v>
      </c>
      <c r="D10" s="172" t="str">
        <f t="shared" si="9"/>
        <v>#REF!</v>
      </c>
      <c r="E10" s="171" t="str">
        <f t="shared" si="9"/>
        <v>#REF!</v>
      </c>
      <c r="F10" s="173" t="str">
        <f t="shared" si="9"/>
        <v>#REF!</v>
      </c>
      <c r="G10" s="174" t="str">
        <f t="shared" si="9"/>
        <v>#REF!</v>
      </c>
      <c r="H10" s="120" t="str">
        <f t="shared" si="9"/>
        <v>#REF!</v>
      </c>
      <c r="I10" s="120" t="str">
        <f t="shared" si="9"/>
        <v>#REF!</v>
      </c>
    </row>
    <row r="11" ht="14.25" customHeight="1">
      <c r="A11" s="171" t="str">
        <f t="shared" si="4"/>
        <v>#REF!</v>
      </c>
      <c r="B11" s="74" t="str">
        <f t="shared" ref="B11:I11" si="10">'2.1.'!B59</f>
        <v>#REF!</v>
      </c>
      <c r="C11" s="74" t="str">
        <f t="shared" si="10"/>
        <v>#REF!</v>
      </c>
      <c r="D11" s="172" t="str">
        <f t="shared" si="10"/>
        <v>#REF!</v>
      </c>
      <c r="E11" s="171" t="str">
        <f t="shared" si="10"/>
        <v>#REF!</v>
      </c>
      <c r="F11" s="173" t="str">
        <f t="shared" si="10"/>
        <v>#REF!</v>
      </c>
      <c r="G11" s="174" t="str">
        <f t="shared" si="10"/>
        <v>#REF!</v>
      </c>
      <c r="H11" s="120" t="str">
        <f t="shared" si="10"/>
        <v>#REF!</v>
      </c>
      <c r="I11" s="120" t="str">
        <f t="shared" si="10"/>
        <v>#REF!</v>
      </c>
    </row>
    <row r="12" ht="14.25" customHeight="1">
      <c r="A12" s="171" t="str">
        <f t="shared" si="4"/>
        <v>#REF!</v>
      </c>
      <c r="B12" s="74" t="str">
        <f t="shared" ref="B12:I12" si="11">'2.1.'!B60</f>
        <v>#REF!</v>
      </c>
      <c r="C12" s="74" t="str">
        <f t="shared" si="11"/>
        <v>#REF!</v>
      </c>
      <c r="D12" s="172" t="str">
        <f t="shared" si="11"/>
        <v>#REF!</v>
      </c>
      <c r="E12" s="171" t="str">
        <f t="shared" si="11"/>
        <v>#REF!</v>
      </c>
      <c r="F12" s="173" t="str">
        <f t="shared" si="11"/>
        <v>#REF!</v>
      </c>
      <c r="G12" s="174" t="str">
        <f t="shared" si="11"/>
        <v>#REF!</v>
      </c>
      <c r="H12" s="120" t="str">
        <f t="shared" si="11"/>
        <v>#REF!</v>
      </c>
      <c r="I12" s="120" t="str">
        <f t="shared" si="11"/>
        <v>#REF!</v>
      </c>
    </row>
    <row r="13" ht="14.25" customHeight="1">
      <c r="A13" s="127" t="str">
        <f t="shared" si="4"/>
        <v>#REF!</v>
      </c>
      <c r="B13" s="127" t="str">
        <f t="shared" ref="B13:I13" si="12">'2.1.'!B61</f>
        <v>#REF!</v>
      </c>
      <c r="C13" s="127" t="str">
        <f t="shared" si="12"/>
        <v>#REF!</v>
      </c>
      <c r="D13" s="127" t="str">
        <f t="shared" si="12"/>
        <v>#REF!</v>
      </c>
      <c r="E13" s="127" t="str">
        <f t="shared" si="12"/>
        <v>#REF!</v>
      </c>
      <c r="F13" s="126" t="str">
        <f t="shared" si="12"/>
        <v>#REF!</v>
      </c>
      <c r="G13" s="3" t="str">
        <f t="shared" si="12"/>
        <v>#REF!</v>
      </c>
      <c r="H13" s="120" t="str">
        <f t="shared" si="12"/>
        <v>#REF!</v>
      </c>
      <c r="I13" s="120" t="str">
        <f t="shared" si="12"/>
        <v>#REF!</v>
      </c>
    </row>
    <row r="14" ht="14.25" customHeight="1">
      <c r="A14" s="175" t="str">
        <f t="shared" si="4"/>
        <v>#REF!</v>
      </c>
      <c r="B14" s="176" t="str">
        <f t="shared" ref="B14:I14" si="13">'2.1.'!B62</f>
        <v>#REF!</v>
      </c>
      <c r="C14" s="176" t="str">
        <f t="shared" si="13"/>
        <v>#REF!</v>
      </c>
      <c r="D14" s="176" t="str">
        <f t="shared" si="13"/>
        <v>#REF!</v>
      </c>
      <c r="E14" s="176" t="str">
        <f t="shared" si="13"/>
        <v>#REF!</v>
      </c>
      <c r="F14" s="176" t="str">
        <f t="shared" si="13"/>
        <v>#REF!</v>
      </c>
      <c r="G14" s="177" t="str">
        <f t="shared" si="13"/>
        <v>#REF!</v>
      </c>
      <c r="H14" s="176" t="str">
        <f t="shared" si="13"/>
        <v>#REF!</v>
      </c>
      <c r="I14" s="178" t="str">
        <f t="shared" si="13"/>
        <v>#REF!</v>
      </c>
    </row>
    <row r="15" ht="14.25" customHeight="1">
      <c r="G15" s="3"/>
    </row>
    <row r="16" ht="14.25" customHeight="1">
      <c r="G16" s="3"/>
    </row>
    <row r="17">
      <c r="A17" s="162">
        <f>'2.2.'!A3</f>
        <v>45324</v>
      </c>
      <c r="B17" s="163" t="str">
        <f>'2.2.'!B3</f>
        <v>EXCAVACION Y RETIRO DE SUELO VEGETAL EXISTENTE (Escalones 20 cm de altura con pendiente de 5cm. Secotor de intertrabado/ garden block + contrapiso + tosca = 50 cm. Sector de Cantero 20 cm)</v>
      </c>
      <c r="C17" s="164"/>
      <c r="D17" s="164"/>
      <c r="E17" s="164"/>
      <c r="F17" s="164"/>
      <c r="G17" s="165" t="str">
        <f>'2.2.'!G3</f>
        <v/>
      </c>
      <c r="H17" s="166">
        <f>'2.2.'!H3</f>
        <v>1513.12</v>
      </c>
      <c r="I17" s="167" t="str">
        <f>'2.2.'!I3</f>
        <v>m³</v>
      </c>
    </row>
    <row r="18" ht="14.25" customHeight="1">
      <c r="G18" s="3"/>
    </row>
    <row r="19" ht="14.25" customHeight="1">
      <c r="A19" s="198" t="str">
        <f>'2.2.'!A53</f>
        <v>MANO DE OBRA - MATERIALES</v>
      </c>
      <c r="B19" s="164"/>
      <c r="C19" s="76" t="str">
        <f>'2.2.'!C53</f>
        <v/>
      </c>
      <c r="D19" s="76" t="str">
        <f>'2.2.'!D53</f>
        <v/>
      </c>
      <c r="E19" s="76" t="str">
        <f>'2.2.'!E53</f>
        <v/>
      </c>
      <c r="F19" s="76" t="str">
        <f>'2.2.'!F53</f>
        <v/>
      </c>
      <c r="G19" s="2" t="str">
        <f>'2.2.'!G53</f>
        <v/>
      </c>
      <c r="H19" s="76" t="str">
        <f>'2.2.'!H53</f>
        <v/>
      </c>
      <c r="I19" s="76" t="str">
        <f>'2.2.'!I53</f>
        <v/>
      </c>
    </row>
    <row r="20" ht="14.25" customHeight="1">
      <c r="A20" s="169" t="str">
        <f>'2.2.'!A54</f>
        <v>Código</v>
      </c>
      <c r="B20" s="169" t="str">
        <f>'2.2.'!B54</f>
        <v>Descripción</v>
      </c>
      <c r="C20" s="169" t="str">
        <f>'2.2.'!C54</f>
        <v>Unidad</v>
      </c>
      <c r="D20" s="169" t="str">
        <f>'2.2.'!D54</f>
        <v>Cantidad</v>
      </c>
      <c r="E20" s="169" t="str">
        <f>'2.2.'!E54</f>
        <v/>
      </c>
      <c r="F20" s="169" t="str">
        <f>'2.2.'!F54</f>
        <v>Desperdicio</v>
      </c>
      <c r="G20" s="4" t="str">
        <f>'2.2.'!G54</f>
        <v>Cantidad + Desperdicio</v>
      </c>
      <c r="H20" s="169" t="str">
        <f>'2.2.'!H54</f>
        <v>Precio Unitario</v>
      </c>
      <c r="I20" s="169" t="str">
        <f>'2.2.'!I54</f>
        <v>Subtotal</v>
      </c>
    </row>
    <row r="21" ht="14.25" customHeight="1">
      <c r="A21" s="171" t="str">
        <f>'2.2.'!A55</f>
        <v/>
      </c>
      <c r="B21" s="74" t="str">
        <f>'2.2.'!B55</f>
        <v/>
      </c>
      <c r="C21" s="74" t="str">
        <f>'2.2.'!C55</f>
        <v/>
      </c>
      <c r="D21" s="172" t="str">
        <f>'2.2.'!D55</f>
        <v/>
      </c>
      <c r="E21" s="171" t="str">
        <f>'2.2.'!E55</f>
        <v/>
      </c>
      <c r="F21" s="173" t="str">
        <f>'2.2.'!F55</f>
        <v/>
      </c>
      <c r="G21" s="174">
        <f>'2.2.'!G55</f>
        <v>0</v>
      </c>
      <c r="H21" s="120" t="str">
        <f>'2.2.'!H55</f>
        <v/>
      </c>
      <c r="I21" s="120" t="str">
        <f>'2.2.'!I55</f>
        <v/>
      </c>
    </row>
    <row r="22" ht="14.25" customHeight="1">
      <c r="A22" s="171" t="str">
        <f>'2.2.'!A56</f>
        <v/>
      </c>
      <c r="B22" s="74" t="str">
        <f>'2.2.'!B56</f>
        <v/>
      </c>
      <c r="C22" s="74" t="str">
        <f>'2.2.'!C56</f>
        <v/>
      </c>
      <c r="D22" s="172" t="str">
        <f>'2.2.'!D56</f>
        <v/>
      </c>
      <c r="E22" s="171" t="str">
        <f>'2.2.'!E56</f>
        <v/>
      </c>
      <c r="F22" s="173" t="str">
        <f>'2.2.'!F56</f>
        <v/>
      </c>
      <c r="G22" s="174">
        <f>'2.2.'!G56</f>
        <v>0</v>
      </c>
      <c r="H22" s="120" t="str">
        <f>'2.2.'!H56</f>
        <v/>
      </c>
      <c r="I22" s="120" t="str">
        <f>'2.2.'!I56</f>
        <v/>
      </c>
    </row>
    <row r="23" ht="14.25" customHeight="1">
      <c r="A23" s="171" t="str">
        <f>'2.2.'!A57</f>
        <v/>
      </c>
      <c r="B23" s="74" t="str">
        <f>'2.2.'!B57</f>
        <v/>
      </c>
      <c r="C23" s="74" t="str">
        <f>'2.2.'!C57</f>
        <v/>
      </c>
      <c r="D23" s="172" t="str">
        <f>'2.2.'!D57</f>
        <v/>
      </c>
      <c r="E23" s="171" t="str">
        <f>'2.2.'!E57</f>
        <v/>
      </c>
      <c r="F23" s="173" t="str">
        <f>'2.2.'!F57</f>
        <v/>
      </c>
      <c r="G23" s="174">
        <f>'2.2.'!G57</f>
        <v>0</v>
      </c>
      <c r="H23" s="120" t="str">
        <f>'2.2.'!H57</f>
        <v/>
      </c>
      <c r="I23" s="120" t="str">
        <f>'2.2.'!I57</f>
        <v/>
      </c>
    </row>
    <row r="24" ht="14.25" customHeight="1">
      <c r="A24" s="171" t="str">
        <f>'2.2.'!A58</f>
        <v/>
      </c>
      <c r="B24" s="74" t="str">
        <f>'2.2.'!B58</f>
        <v/>
      </c>
      <c r="C24" s="74" t="str">
        <f>'2.2.'!C58</f>
        <v/>
      </c>
      <c r="D24" s="172" t="str">
        <f>'2.2.'!D58</f>
        <v/>
      </c>
      <c r="E24" s="171" t="str">
        <f>'2.2.'!E58</f>
        <v/>
      </c>
      <c r="F24" s="173" t="str">
        <f>'2.2.'!F58</f>
        <v/>
      </c>
      <c r="G24" s="174">
        <f>'2.2.'!G58</f>
        <v>0</v>
      </c>
      <c r="H24" s="120" t="str">
        <f>'2.2.'!H58</f>
        <v/>
      </c>
      <c r="I24" s="120" t="str">
        <f>'2.2.'!I58</f>
        <v/>
      </c>
    </row>
    <row r="25" ht="14.25" customHeight="1">
      <c r="A25" s="171" t="str">
        <f>'2.2.'!A59</f>
        <v/>
      </c>
      <c r="B25" s="74" t="str">
        <f>'2.2.'!B59</f>
        <v/>
      </c>
      <c r="C25" s="74" t="str">
        <f>'2.2.'!C59</f>
        <v/>
      </c>
      <c r="D25" s="172" t="str">
        <f>'2.2.'!D59</f>
        <v/>
      </c>
      <c r="E25" s="171" t="str">
        <f>'2.2.'!E59</f>
        <v/>
      </c>
      <c r="F25" s="173" t="str">
        <f>'2.2.'!F59</f>
        <v/>
      </c>
      <c r="G25" s="174">
        <f>'2.2.'!G59</f>
        <v>0</v>
      </c>
      <c r="H25" s="120" t="str">
        <f>'2.2.'!H59</f>
        <v/>
      </c>
      <c r="I25" s="120" t="str">
        <f>'2.2.'!I59</f>
        <v/>
      </c>
    </row>
    <row r="26" ht="14.25" customHeight="1">
      <c r="A26" s="171" t="str">
        <f>'2.2.'!A60</f>
        <v/>
      </c>
      <c r="B26" s="74" t="str">
        <f>'2.2.'!B60</f>
        <v/>
      </c>
      <c r="C26" s="74" t="str">
        <f>'2.2.'!C60</f>
        <v/>
      </c>
      <c r="D26" s="172" t="str">
        <f>'2.2.'!D60</f>
        <v/>
      </c>
      <c r="E26" s="171" t="str">
        <f>'2.2.'!E60</f>
        <v/>
      </c>
      <c r="F26" s="173" t="str">
        <f>'2.2.'!F60</f>
        <v/>
      </c>
      <c r="G26" s="174">
        <f>'2.2.'!G60</f>
        <v>0</v>
      </c>
      <c r="H26" s="120" t="str">
        <f>'2.2.'!H60</f>
        <v/>
      </c>
      <c r="I26" s="120" t="str">
        <f>'2.2.'!I60</f>
        <v/>
      </c>
    </row>
    <row r="27" ht="14.25" customHeight="1">
      <c r="A27" s="127" t="str">
        <f>'2.2.'!A61</f>
        <v/>
      </c>
      <c r="B27" s="127" t="str">
        <f>'2.2.'!B61</f>
        <v/>
      </c>
      <c r="C27" s="127" t="str">
        <f>'2.2.'!C61</f>
        <v/>
      </c>
      <c r="D27" s="127" t="str">
        <f>'2.2.'!D61</f>
        <v/>
      </c>
      <c r="E27" s="127" t="str">
        <f>'2.2.'!E61</f>
        <v/>
      </c>
      <c r="F27" s="126" t="str">
        <f>'2.2.'!F61</f>
        <v/>
      </c>
      <c r="G27" s="3" t="str">
        <f>'2.2.'!G61</f>
        <v/>
      </c>
      <c r="H27" s="120" t="str">
        <f>'2.2.'!H61</f>
        <v/>
      </c>
      <c r="I27" s="120" t="str">
        <f>'2.2.'!I61</f>
        <v/>
      </c>
      <c r="J27" s="74"/>
      <c r="K27" s="74"/>
      <c r="L27" s="74"/>
    </row>
    <row r="28" ht="14.25" customHeight="1">
      <c r="A28" s="175" t="str">
        <f>'2.2.'!A62</f>
        <v>TOTAL</v>
      </c>
      <c r="B28" s="176" t="str">
        <f>'2.2.'!B62</f>
        <v/>
      </c>
      <c r="C28" s="176" t="str">
        <f>'2.2.'!C62</f>
        <v/>
      </c>
      <c r="D28" s="176" t="str">
        <f>'2.2.'!D62</f>
        <v/>
      </c>
      <c r="E28" s="176" t="str">
        <f>'2.2.'!E62</f>
        <v/>
      </c>
      <c r="F28" s="176" t="str">
        <f>'2.2.'!F62</f>
        <v/>
      </c>
      <c r="G28" s="177" t="str">
        <f>'2.2.'!G62</f>
        <v/>
      </c>
      <c r="H28" s="176" t="str">
        <f>'2.2.'!H62</f>
        <v/>
      </c>
      <c r="I28" s="178">
        <f>'2.2.'!I62</f>
        <v>0</v>
      </c>
      <c r="J28" s="74"/>
      <c r="K28" s="74"/>
      <c r="L28" s="74"/>
    </row>
    <row r="29" ht="14.25" customHeight="1">
      <c r="G29" s="3"/>
    </row>
    <row r="30" ht="14.25" customHeight="1">
      <c r="G30" s="3"/>
    </row>
    <row r="31">
      <c r="A31" s="162">
        <f>'2.3.'!A3</f>
        <v>45353</v>
      </c>
      <c r="B31" s="163" t="str">
        <f>'2.3.'!B3</f>
        <v>RELLENO, COMPACTACION Y NIVELACION CON SUELO SELECCIONADO TIPO A4 (En sectores de intertrabado y deck de cemento)</v>
      </c>
      <c r="C31" s="164"/>
      <c r="D31" s="164"/>
      <c r="E31" s="164"/>
      <c r="F31" s="164"/>
      <c r="G31" s="165" t="str">
        <f>'2.3.'!G3</f>
        <v/>
      </c>
      <c r="H31" s="166">
        <f>'2.3.'!H3</f>
        <v>278.991</v>
      </c>
      <c r="I31" s="167" t="str">
        <f>'2.3.'!I3</f>
        <v>m³</v>
      </c>
    </row>
    <row r="32" ht="14.25" customHeight="1">
      <c r="G32" s="3"/>
    </row>
    <row r="33" ht="14.25" customHeight="1">
      <c r="A33" s="198" t="str">
        <f>'2.3.'!A53</f>
        <v>MANO DE OBRA - MATERIALES</v>
      </c>
      <c r="B33" s="164"/>
      <c r="C33" s="76" t="str">
        <f>'2.3.'!C53</f>
        <v/>
      </c>
      <c r="D33" s="76" t="str">
        <f>'2.3.'!D53</f>
        <v/>
      </c>
      <c r="E33" s="76" t="str">
        <f>'2.3.'!E53</f>
        <v/>
      </c>
      <c r="F33" s="76" t="str">
        <f>'2.3.'!F53</f>
        <v/>
      </c>
      <c r="G33" s="2" t="str">
        <f>'2.3.'!G53</f>
        <v/>
      </c>
      <c r="H33" s="76" t="str">
        <f>'2.3.'!H53</f>
        <v/>
      </c>
      <c r="I33" s="76" t="str">
        <f>'2.3.'!I53</f>
        <v/>
      </c>
    </row>
    <row r="34" ht="14.25" customHeight="1">
      <c r="A34" s="169" t="str">
        <f>'2.3.'!A54</f>
        <v>Código</v>
      </c>
      <c r="B34" s="169" t="str">
        <f>'2.3.'!B54</f>
        <v>Descripción</v>
      </c>
      <c r="C34" s="169" t="str">
        <f>'2.3.'!C54</f>
        <v>Unidad</v>
      </c>
      <c r="D34" s="169" t="str">
        <f>'2.3.'!D54</f>
        <v>Cantidad</v>
      </c>
      <c r="E34" s="169" t="str">
        <f>'2.3.'!E54</f>
        <v/>
      </c>
      <c r="F34" s="169" t="str">
        <f>'2.3.'!F54</f>
        <v>Desperdicio</v>
      </c>
      <c r="G34" s="4" t="str">
        <f>'2.3.'!G54</f>
        <v>Cantidad + Desperdicio</v>
      </c>
      <c r="H34" s="169" t="str">
        <f>'2.3.'!H54</f>
        <v>Precio Unitario</v>
      </c>
      <c r="I34" s="169" t="str">
        <f>'2.3.'!I54</f>
        <v>Subtotal</v>
      </c>
    </row>
    <row r="35" ht="14.25" customHeight="1">
      <c r="A35" s="171" t="str">
        <f>'2.3.'!A55</f>
        <v/>
      </c>
      <c r="B35" s="74" t="str">
        <f>'2.3.'!B55</f>
        <v/>
      </c>
      <c r="C35" s="74" t="str">
        <f>'2.3.'!C55</f>
        <v/>
      </c>
      <c r="D35" s="172" t="str">
        <f>'2.3.'!D55</f>
        <v/>
      </c>
      <c r="E35" s="171" t="str">
        <f>'2.3.'!E55</f>
        <v/>
      </c>
      <c r="F35" s="173" t="str">
        <f>'2.3.'!F55</f>
        <v/>
      </c>
      <c r="G35" s="174">
        <f>'2.3.'!G55</f>
        <v>0</v>
      </c>
      <c r="H35" s="120" t="str">
        <f>'2.3.'!H55</f>
        <v/>
      </c>
      <c r="I35" s="120">
        <f>'2.3.'!I55</f>
        <v>0</v>
      </c>
    </row>
    <row r="36" ht="14.25" customHeight="1">
      <c r="A36" s="171" t="str">
        <f>'2.3.'!A56</f>
        <v/>
      </c>
      <c r="B36" s="74" t="str">
        <f>'2.3.'!B56</f>
        <v/>
      </c>
      <c r="C36" s="74" t="str">
        <f>'2.3.'!C56</f>
        <v/>
      </c>
      <c r="D36" s="172" t="str">
        <f>'2.3.'!D56</f>
        <v/>
      </c>
      <c r="E36" s="171" t="str">
        <f>'2.3.'!E56</f>
        <v/>
      </c>
      <c r="F36" s="173" t="str">
        <f>'2.3.'!F56</f>
        <v/>
      </c>
      <c r="G36" s="174">
        <f>'2.3.'!G56</f>
        <v>0</v>
      </c>
      <c r="H36" s="120" t="str">
        <f>'2.3.'!H56</f>
        <v/>
      </c>
      <c r="I36" s="120">
        <f>'2.3.'!I56</f>
        <v>0</v>
      </c>
    </row>
    <row r="37" ht="14.25" customHeight="1">
      <c r="A37" s="171" t="str">
        <f>'2.3.'!A57</f>
        <v/>
      </c>
      <c r="B37" s="74" t="str">
        <f>'2.3.'!B57</f>
        <v/>
      </c>
      <c r="C37" s="74" t="str">
        <f>'2.3.'!C57</f>
        <v/>
      </c>
      <c r="D37" s="172" t="str">
        <f>'2.3.'!D57</f>
        <v/>
      </c>
      <c r="E37" s="171" t="str">
        <f>'2.3.'!E57</f>
        <v/>
      </c>
      <c r="F37" s="173" t="str">
        <f>'2.3.'!F57</f>
        <v/>
      </c>
      <c r="G37" s="174">
        <f>'2.3.'!G57</f>
        <v>0</v>
      </c>
      <c r="H37" s="120" t="str">
        <f>'2.3.'!H57</f>
        <v/>
      </c>
      <c r="I37" s="120" t="str">
        <f>'2.3.'!I57</f>
        <v/>
      </c>
    </row>
    <row r="38" ht="14.25" customHeight="1">
      <c r="A38" s="171" t="str">
        <f>'2.3.'!A58</f>
        <v/>
      </c>
      <c r="B38" s="74" t="str">
        <f>'2.3.'!B58</f>
        <v/>
      </c>
      <c r="C38" s="74" t="str">
        <f>'2.3.'!C58</f>
        <v/>
      </c>
      <c r="D38" s="172" t="str">
        <f>'2.3.'!D58</f>
        <v/>
      </c>
      <c r="E38" s="171" t="str">
        <f>'2.3.'!E58</f>
        <v/>
      </c>
      <c r="F38" s="173" t="str">
        <f>'2.3.'!F58</f>
        <v/>
      </c>
      <c r="G38" s="174">
        <f>'2.3.'!G58</f>
        <v>0</v>
      </c>
      <c r="H38" s="120" t="str">
        <f>'2.3.'!H58</f>
        <v/>
      </c>
      <c r="I38" s="120" t="str">
        <f>'2.3.'!I58</f>
        <v/>
      </c>
    </row>
    <row r="39" ht="14.25" customHeight="1">
      <c r="A39" s="171" t="str">
        <f>'2.3.'!A59</f>
        <v/>
      </c>
      <c r="B39" s="74" t="str">
        <f>'2.3.'!B59</f>
        <v/>
      </c>
      <c r="C39" s="74" t="str">
        <f>'2.3.'!C59</f>
        <v/>
      </c>
      <c r="D39" s="172" t="str">
        <f>'2.3.'!D59</f>
        <v/>
      </c>
      <c r="E39" s="171" t="str">
        <f>'2.3.'!E59</f>
        <v/>
      </c>
      <c r="F39" s="173" t="str">
        <f>'2.3.'!F59</f>
        <v/>
      </c>
      <c r="G39" s="174">
        <f>'2.3.'!G59</f>
        <v>0</v>
      </c>
      <c r="H39" s="120" t="str">
        <f>'2.3.'!H59</f>
        <v/>
      </c>
      <c r="I39" s="120" t="str">
        <f>'2.3.'!I59</f>
        <v/>
      </c>
    </row>
    <row r="40" ht="14.25" customHeight="1">
      <c r="A40" s="171" t="str">
        <f>'2.3.'!A60</f>
        <v/>
      </c>
      <c r="B40" s="74" t="str">
        <f>'2.3.'!B60</f>
        <v/>
      </c>
      <c r="C40" s="74" t="str">
        <f>'2.3.'!C60</f>
        <v/>
      </c>
      <c r="D40" s="172" t="str">
        <f>'2.3.'!D60</f>
        <v/>
      </c>
      <c r="E40" s="171" t="str">
        <f>'2.3.'!E60</f>
        <v/>
      </c>
      <c r="F40" s="173" t="str">
        <f>'2.3.'!F60</f>
        <v/>
      </c>
      <c r="G40" s="174">
        <f>'2.3.'!G60</f>
        <v>0</v>
      </c>
      <c r="H40" s="120" t="str">
        <f>'2.3.'!H60</f>
        <v/>
      </c>
      <c r="I40" s="120" t="str">
        <f>'2.3.'!I60</f>
        <v/>
      </c>
    </row>
    <row r="41" ht="14.25" customHeight="1">
      <c r="A41" s="127" t="str">
        <f>'2.3.'!A61</f>
        <v/>
      </c>
      <c r="B41" s="127" t="str">
        <f>'2.3.'!B61</f>
        <v/>
      </c>
      <c r="C41" s="127" t="str">
        <f>'2.3.'!C61</f>
        <v/>
      </c>
      <c r="D41" s="127" t="str">
        <f>'2.3.'!D61</f>
        <v/>
      </c>
      <c r="E41" s="127" t="str">
        <f>'2.3.'!E61</f>
        <v/>
      </c>
      <c r="F41" s="126" t="str">
        <f>'2.3.'!F61</f>
        <v/>
      </c>
      <c r="G41" s="3" t="str">
        <f>'2.3.'!G61</f>
        <v/>
      </c>
      <c r="H41" s="120" t="str">
        <f>'2.3.'!H61</f>
        <v/>
      </c>
      <c r="I41" s="120" t="str">
        <f>'2.3.'!I61</f>
        <v/>
      </c>
      <c r="J41" s="74"/>
      <c r="K41" s="74"/>
      <c r="L41" s="74"/>
    </row>
    <row r="42" ht="14.25" customHeight="1">
      <c r="A42" s="175" t="str">
        <f>'2.3.'!A62</f>
        <v>TOTAL</v>
      </c>
      <c r="B42" s="176" t="str">
        <f>'2.3.'!B62</f>
        <v/>
      </c>
      <c r="C42" s="176" t="str">
        <f>'2.3.'!C62</f>
        <v/>
      </c>
      <c r="D42" s="176" t="str">
        <f>'2.3.'!D62</f>
        <v/>
      </c>
      <c r="E42" s="176" t="str">
        <f>'2.3.'!E62</f>
        <v/>
      </c>
      <c r="F42" s="176" t="str">
        <f>'2.3.'!F62</f>
        <v/>
      </c>
      <c r="G42" s="177" t="str">
        <f>'2.3.'!G62</f>
        <v/>
      </c>
      <c r="H42" s="176" t="str">
        <f>'2.3.'!H62</f>
        <v/>
      </c>
      <c r="I42" s="178">
        <f>'2.3.'!I62</f>
        <v>0</v>
      </c>
      <c r="J42" s="74"/>
      <c r="K42" s="74"/>
      <c r="L42" s="74"/>
    </row>
    <row r="43" ht="14.25" customHeight="1">
      <c r="G43" s="3"/>
    </row>
    <row r="44" ht="14.25" customHeight="1">
      <c r="G44" s="3"/>
    </row>
    <row r="45">
      <c r="A45" s="162">
        <f>'3.1'!A3</f>
        <v>45660</v>
      </c>
      <c r="B45" s="163" t="str">
        <f>'3.1'!B3</f>
        <v>EJECUCION DE CONTRAPISO DE H8 EN VEREDA ATERRAZADA </v>
      </c>
      <c r="C45" s="164"/>
      <c r="D45" s="164"/>
      <c r="E45" s="164"/>
      <c r="F45" s="164"/>
      <c r="G45" s="165" t="str">
        <f>'3.1'!G3</f>
        <v/>
      </c>
      <c r="H45" s="166">
        <f>'3.1'!H3</f>
        <v>719.3</v>
      </c>
      <c r="I45" s="167" t="str">
        <f>'3.1'!I3</f>
        <v>m²</v>
      </c>
    </row>
    <row r="46" ht="14.25" customHeight="1">
      <c r="G46" s="3"/>
    </row>
    <row r="47" ht="14.25" customHeight="1">
      <c r="A47" s="168" t="str">
        <f>'3.1'!A53</f>
        <v>MANO DE OBRA - MATERIALES</v>
      </c>
      <c r="B47" s="76" t="str">
        <f>'3.1'!B53</f>
        <v/>
      </c>
      <c r="C47" s="76" t="str">
        <f>'3.1'!C53</f>
        <v/>
      </c>
      <c r="D47" s="76" t="str">
        <f>'3.1'!D53</f>
        <v/>
      </c>
      <c r="E47" s="76" t="str">
        <f>'3.1'!E53</f>
        <v/>
      </c>
      <c r="F47" s="76" t="str">
        <f>'3.1'!F53</f>
        <v/>
      </c>
      <c r="G47" s="2" t="str">
        <f>'3.1'!G53</f>
        <v/>
      </c>
      <c r="H47" s="76" t="str">
        <f>'3.1'!H53</f>
        <v/>
      </c>
      <c r="I47" s="76" t="str">
        <f>'3.1'!I53</f>
        <v/>
      </c>
    </row>
    <row r="48" ht="14.25" customHeight="1">
      <c r="A48" s="169" t="str">
        <f>'3.1'!A54</f>
        <v>Código</v>
      </c>
      <c r="B48" s="169" t="str">
        <f>'3.1'!B54</f>
        <v>Descripción</v>
      </c>
      <c r="C48" s="169" t="str">
        <f>'3.1'!C54</f>
        <v>Unidad</v>
      </c>
      <c r="D48" s="169" t="str">
        <f>'3.1'!D54</f>
        <v>Cantidad</v>
      </c>
      <c r="E48" s="169" t="str">
        <f>'3.1'!E54</f>
        <v/>
      </c>
      <c r="F48" s="169" t="str">
        <f>'3.1'!F54</f>
        <v>Desperdicio</v>
      </c>
      <c r="G48" s="4" t="str">
        <f>'3.1'!G54</f>
        <v>Cantidad + Desperdicio</v>
      </c>
      <c r="H48" s="169" t="str">
        <f>'3.1'!H54</f>
        <v>Precio Unitario</v>
      </c>
      <c r="I48" s="169" t="str">
        <f>'3.1'!I54</f>
        <v>Subtotal</v>
      </c>
    </row>
    <row r="49" ht="14.25" customHeight="1">
      <c r="A49" s="171" t="str">
        <f>'3.1'!A55</f>
        <v/>
      </c>
      <c r="B49" s="74" t="str">
        <f>'3.1'!B55</f>
        <v/>
      </c>
      <c r="C49" s="74" t="str">
        <f>'3.1'!C55</f>
        <v/>
      </c>
      <c r="D49" s="172" t="str">
        <f>'3.1'!D55</f>
        <v/>
      </c>
      <c r="E49" s="171" t="str">
        <f>'3.1'!E55</f>
        <v/>
      </c>
      <c r="F49" s="173" t="str">
        <f>'3.1'!F55</f>
        <v/>
      </c>
      <c r="G49" s="174">
        <f>'3.1'!G55</f>
        <v>0</v>
      </c>
      <c r="H49" s="120" t="str">
        <f>'3.1'!H55</f>
        <v/>
      </c>
      <c r="I49" s="120" t="str">
        <f>'3.1'!I55</f>
        <v/>
      </c>
    </row>
    <row r="50" ht="14.25" customHeight="1">
      <c r="A50" s="171" t="str">
        <f>'3.1'!A56</f>
        <v/>
      </c>
      <c r="B50" s="74" t="str">
        <f>'3.1'!B56</f>
        <v/>
      </c>
      <c r="C50" s="74" t="str">
        <f>'3.1'!C56</f>
        <v/>
      </c>
      <c r="D50" s="172" t="str">
        <f>'3.1'!D56</f>
        <v/>
      </c>
      <c r="E50" s="171" t="str">
        <f>'3.1'!E56</f>
        <v/>
      </c>
      <c r="F50" s="173" t="str">
        <f>'3.1'!F56</f>
        <v/>
      </c>
      <c r="G50" s="174">
        <f>'3.1'!G56</f>
        <v>0</v>
      </c>
      <c r="H50" s="120" t="str">
        <f>'3.1'!H56</f>
        <v/>
      </c>
      <c r="I50" s="120" t="str">
        <f>'3.1'!I56</f>
        <v/>
      </c>
    </row>
    <row r="51" ht="14.25" customHeight="1">
      <c r="A51" s="171" t="str">
        <f>'3.1'!A57</f>
        <v/>
      </c>
      <c r="B51" s="74" t="str">
        <f>'3.1'!B57</f>
        <v/>
      </c>
      <c r="C51" s="74" t="str">
        <f>'3.1'!C57</f>
        <v/>
      </c>
      <c r="D51" s="172" t="str">
        <f>'3.1'!D57</f>
        <v/>
      </c>
      <c r="E51" s="171" t="str">
        <f>'3.1'!E57</f>
        <v/>
      </c>
      <c r="F51" s="173" t="str">
        <f>'3.1'!F57</f>
        <v/>
      </c>
      <c r="G51" s="174">
        <f>'3.1'!G57</f>
        <v>0</v>
      </c>
      <c r="H51" s="120" t="str">
        <f>'3.1'!H57</f>
        <v/>
      </c>
      <c r="I51" s="120" t="str">
        <f>'3.1'!I57</f>
        <v/>
      </c>
    </row>
    <row r="52" ht="14.25" customHeight="1">
      <c r="A52" s="171" t="str">
        <f>'3.1'!A58</f>
        <v/>
      </c>
      <c r="B52" s="74" t="str">
        <f>'3.1'!B58</f>
        <v/>
      </c>
      <c r="C52" s="74" t="str">
        <f>'3.1'!C58</f>
        <v/>
      </c>
      <c r="D52" s="172" t="str">
        <f>'3.1'!D58</f>
        <v/>
      </c>
      <c r="E52" s="171" t="str">
        <f>'3.1'!E58</f>
        <v/>
      </c>
      <c r="F52" s="173" t="str">
        <f>'3.1'!F58</f>
        <v/>
      </c>
      <c r="G52" s="174">
        <f>'3.1'!G58</f>
        <v>0</v>
      </c>
      <c r="H52" s="120" t="str">
        <f>'3.1'!H58</f>
        <v/>
      </c>
      <c r="I52" s="120" t="str">
        <f>'3.1'!I58</f>
        <v/>
      </c>
    </row>
    <row r="53" ht="14.25" customHeight="1">
      <c r="A53" s="171" t="str">
        <f>'3.1'!A59</f>
        <v/>
      </c>
      <c r="B53" s="74" t="str">
        <f>'3.1'!B59</f>
        <v/>
      </c>
      <c r="C53" s="74" t="str">
        <f>'3.1'!C59</f>
        <v/>
      </c>
      <c r="D53" s="172" t="str">
        <f>'3.1'!D59</f>
        <v/>
      </c>
      <c r="E53" s="171" t="str">
        <f>'3.1'!E59</f>
        <v/>
      </c>
      <c r="F53" s="173" t="str">
        <f>'3.1'!F59</f>
        <v/>
      </c>
      <c r="G53" s="174">
        <f>'3.1'!G59</f>
        <v>0</v>
      </c>
      <c r="H53" s="120" t="str">
        <f>'3.1'!H59</f>
        <v/>
      </c>
      <c r="I53" s="120" t="str">
        <f>'3.1'!I59</f>
        <v/>
      </c>
    </row>
    <row r="54" ht="14.25" customHeight="1">
      <c r="A54" s="171" t="str">
        <f>'3.1'!A60</f>
        <v/>
      </c>
      <c r="B54" s="74" t="str">
        <f>'3.1'!B60</f>
        <v/>
      </c>
      <c r="C54" s="74" t="str">
        <f>'3.1'!C60</f>
        <v/>
      </c>
      <c r="D54" s="172" t="str">
        <f>'3.1'!D60</f>
        <v/>
      </c>
      <c r="E54" s="171" t="str">
        <f>'3.1'!E60</f>
        <v/>
      </c>
      <c r="F54" s="173" t="str">
        <f>'3.1'!F60</f>
        <v/>
      </c>
      <c r="G54" s="174">
        <f>'3.1'!G60</f>
        <v>0</v>
      </c>
      <c r="H54" s="120" t="str">
        <f>'3.1'!H60</f>
        <v/>
      </c>
      <c r="I54" s="120" t="str">
        <f>'3.1'!I60</f>
        <v/>
      </c>
    </row>
    <row r="55" ht="14.25" customHeight="1">
      <c r="A55" s="127" t="str">
        <f>'3.1'!A61</f>
        <v/>
      </c>
      <c r="B55" s="127" t="str">
        <f>'3.1'!B61</f>
        <v/>
      </c>
      <c r="C55" s="127" t="str">
        <f>'3.1'!C61</f>
        <v/>
      </c>
      <c r="D55" s="127" t="str">
        <f>'3.1'!D61</f>
        <v/>
      </c>
      <c r="E55" s="127" t="str">
        <f>'3.1'!E61</f>
        <v/>
      </c>
      <c r="F55" s="126" t="str">
        <f>'3.1'!F61</f>
        <v/>
      </c>
      <c r="G55" s="3" t="str">
        <f>'3.1'!G61</f>
        <v/>
      </c>
      <c r="H55" s="120" t="str">
        <f>'3.1'!H61</f>
        <v/>
      </c>
      <c r="I55" s="120" t="str">
        <f>'3.1'!I61</f>
        <v/>
      </c>
    </row>
    <row r="56" ht="14.25" customHeight="1">
      <c r="A56" s="175" t="str">
        <f>'3.1'!A62</f>
        <v>TOTAL</v>
      </c>
      <c r="B56" s="176" t="str">
        <f>'3.1'!B62</f>
        <v/>
      </c>
      <c r="C56" s="176" t="str">
        <f>'3.1'!C62</f>
        <v/>
      </c>
      <c r="D56" s="176" t="str">
        <f>'3.1'!D62</f>
        <v/>
      </c>
      <c r="E56" s="176" t="str">
        <f>'3.1'!E62</f>
        <v/>
      </c>
      <c r="F56" s="176" t="str">
        <f>'3.1'!F62</f>
        <v/>
      </c>
      <c r="G56" s="177" t="str">
        <f>'3.1'!G62</f>
        <v/>
      </c>
      <c r="H56" s="176" t="str">
        <f>'3.1'!H62</f>
        <v/>
      </c>
      <c r="I56" s="178">
        <f>'3.1'!I62</f>
        <v>0</v>
      </c>
    </row>
    <row r="57" ht="14.25" customHeight="1">
      <c r="A57" s="196"/>
      <c r="B57" s="197"/>
      <c r="C57" s="197"/>
      <c r="D57" s="197"/>
      <c r="E57" s="197"/>
      <c r="F57" s="197"/>
      <c r="G57" s="3"/>
      <c r="H57" s="197"/>
      <c r="I57" s="199"/>
    </row>
    <row r="58" ht="14.25" customHeight="1">
      <c r="G58" s="3"/>
      <c r="H58" s="126"/>
      <c r="I58" s="120"/>
    </row>
    <row r="59">
      <c r="A59" s="162">
        <f>'3.3'!A3</f>
        <v>45719</v>
      </c>
      <c r="B59" s="163" t="str">
        <f>'3.3'!B3</f>
        <v>EJECUCION DE ESCALON DE HORMIGON ARMADO CURVO CON ZAPATA PARA CONTECION DE SUELO</v>
      </c>
      <c r="C59" s="164"/>
      <c r="D59" s="164"/>
      <c r="E59" s="164"/>
      <c r="F59" s="164"/>
      <c r="G59" s="165" t="str">
        <f>'3.3'!G3</f>
        <v/>
      </c>
      <c r="H59" s="166">
        <f>'3.3'!H3</f>
        <v>435.5</v>
      </c>
      <c r="I59" s="167" t="str">
        <f>'3.3'!I3</f>
        <v>m</v>
      </c>
    </row>
    <row r="60" ht="14.25" customHeight="1">
      <c r="G60" s="3"/>
    </row>
    <row r="61" ht="14.25" customHeight="1">
      <c r="A61" s="168" t="str">
        <f>'3.3'!A53</f>
        <v>MANO DE OBRA - MATERIALES</v>
      </c>
      <c r="B61" s="76" t="str">
        <f>'3.3'!B53</f>
        <v/>
      </c>
      <c r="C61" s="76" t="str">
        <f>'3.3'!C53</f>
        <v/>
      </c>
      <c r="D61" s="76" t="str">
        <f>'3.3'!D53</f>
        <v/>
      </c>
      <c r="E61" s="76" t="str">
        <f>'3.3'!E53</f>
        <v/>
      </c>
      <c r="F61" s="76" t="str">
        <f>'3.3'!F53</f>
        <v/>
      </c>
      <c r="G61" s="2" t="str">
        <f>'3.3'!G53</f>
        <v/>
      </c>
      <c r="H61" s="76" t="str">
        <f>'3.3'!H53</f>
        <v/>
      </c>
      <c r="I61" s="76" t="str">
        <f>'3.3'!I53</f>
        <v/>
      </c>
    </row>
    <row r="62" ht="14.25" customHeight="1">
      <c r="A62" s="169" t="str">
        <f>'3.3'!A54</f>
        <v>Código</v>
      </c>
      <c r="B62" s="169" t="str">
        <f>'3.3'!B54</f>
        <v>Descripción</v>
      </c>
      <c r="C62" s="169" t="str">
        <f>'3.3'!C54</f>
        <v>Unidad</v>
      </c>
      <c r="D62" s="169" t="str">
        <f>'3.3'!D54</f>
        <v>Cantidad</v>
      </c>
      <c r="E62" s="169" t="str">
        <f>'3.3'!E54</f>
        <v/>
      </c>
      <c r="F62" s="169" t="str">
        <f>'3.3'!F54</f>
        <v>Desperdicio</v>
      </c>
      <c r="G62" s="4" t="str">
        <f>'3.3'!G54</f>
        <v>Cantidad + Desperdicio</v>
      </c>
      <c r="H62" s="169" t="str">
        <f>'3.3'!H54</f>
        <v>Precio Unitario</v>
      </c>
      <c r="I62" s="169" t="str">
        <f>'3.3'!I54</f>
        <v>Subtotal</v>
      </c>
    </row>
    <row r="63" ht="14.25" customHeight="1">
      <c r="A63" s="171" t="str">
        <f>'3.3'!A55</f>
        <v/>
      </c>
      <c r="B63" s="74" t="str">
        <f>'3.3'!B55</f>
        <v/>
      </c>
      <c r="C63" s="74" t="str">
        <f>'3.3'!C55</f>
        <v/>
      </c>
      <c r="D63" s="172" t="str">
        <f>'3.3'!D55</f>
        <v/>
      </c>
      <c r="E63" s="171" t="str">
        <f>'3.3'!E55</f>
        <v/>
      </c>
      <c r="F63" s="173" t="str">
        <f>'3.3'!F55</f>
        <v/>
      </c>
      <c r="G63" s="174">
        <f>'3.3'!G55</f>
        <v>0</v>
      </c>
      <c r="H63" s="120" t="str">
        <f>'3.3'!H55</f>
        <v/>
      </c>
      <c r="I63" s="120" t="str">
        <f>'3.3'!I55</f>
        <v/>
      </c>
    </row>
    <row r="64" ht="14.25" customHeight="1">
      <c r="A64" s="171" t="str">
        <f>'3.3'!A56</f>
        <v/>
      </c>
      <c r="B64" s="74" t="str">
        <f>'3.3'!B56</f>
        <v/>
      </c>
      <c r="C64" s="74" t="str">
        <f>'3.3'!C56</f>
        <v/>
      </c>
      <c r="D64" s="172" t="str">
        <f>'3.3'!D56</f>
        <v/>
      </c>
      <c r="E64" s="171" t="str">
        <f>'3.3'!E56</f>
        <v/>
      </c>
      <c r="F64" s="173" t="str">
        <f>'3.3'!F56</f>
        <v/>
      </c>
      <c r="G64" s="174">
        <f>'3.3'!G56</f>
        <v>0</v>
      </c>
      <c r="H64" s="120" t="str">
        <f>'3.3'!H56</f>
        <v/>
      </c>
      <c r="I64" s="120" t="str">
        <f>'3.3'!I56</f>
        <v/>
      </c>
    </row>
    <row r="65" ht="14.25" customHeight="1">
      <c r="A65" s="171" t="str">
        <f>'3.3'!A57</f>
        <v/>
      </c>
      <c r="B65" s="74" t="str">
        <f>'3.3'!B57</f>
        <v/>
      </c>
      <c r="C65" s="74" t="str">
        <f>'3.3'!C57</f>
        <v/>
      </c>
      <c r="D65" s="172" t="str">
        <f>'3.3'!D57</f>
        <v/>
      </c>
      <c r="E65" s="171" t="str">
        <f>'3.3'!E57</f>
        <v/>
      </c>
      <c r="F65" s="173" t="str">
        <f>'3.3'!F57</f>
        <v/>
      </c>
      <c r="G65" s="174">
        <f>'3.3'!G57</f>
        <v>0</v>
      </c>
      <c r="H65" s="120" t="str">
        <f>'3.3'!H57</f>
        <v/>
      </c>
      <c r="I65" s="120" t="str">
        <f>'3.3'!I57</f>
        <v/>
      </c>
    </row>
    <row r="66" ht="14.25" customHeight="1">
      <c r="A66" s="171" t="str">
        <f>'3.3'!A58</f>
        <v/>
      </c>
      <c r="B66" s="74" t="str">
        <f>'3.3'!B58</f>
        <v/>
      </c>
      <c r="C66" s="74" t="str">
        <f>'3.3'!C58</f>
        <v/>
      </c>
      <c r="D66" s="172" t="str">
        <f>'3.3'!D58</f>
        <v/>
      </c>
      <c r="E66" s="171" t="str">
        <f>'3.3'!E58</f>
        <v/>
      </c>
      <c r="F66" s="173" t="str">
        <f>'3.3'!F58</f>
        <v/>
      </c>
      <c r="G66" s="174">
        <f>'3.3'!G58</f>
        <v>0</v>
      </c>
      <c r="H66" s="120" t="str">
        <f>'3.3'!H58</f>
        <v/>
      </c>
      <c r="I66" s="120" t="str">
        <f>'3.3'!I58</f>
        <v/>
      </c>
    </row>
    <row r="67" ht="14.25" customHeight="1">
      <c r="A67" s="171" t="str">
        <f>'3.3'!A59</f>
        <v/>
      </c>
      <c r="B67" s="74" t="str">
        <f>'3.3'!B59</f>
        <v/>
      </c>
      <c r="C67" s="74" t="str">
        <f>'3.3'!C59</f>
        <v/>
      </c>
      <c r="D67" s="172" t="str">
        <f>'3.3'!D59</f>
        <v/>
      </c>
      <c r="E67" s="171" t="str">
        <f>'3.3'!E59</f>
        <v/>
      </c>
      <c r="F67" s="173" t="str">
        <f>'3.3'!F59</f>
        <v/>
      </c>
      <c r="G67" s="174">
        <f>'3.3'!G59</f>
        <v>0</v>
      </c>
      <c r="H67" s="120" t="str">
        <f>'3.3'!H59</f>
        <v/>
      </c>
      <c r="I67" s="120" t="str">
        <f>'3.3'!I59</f>
        <v/>
      </c>
    </row>
    <row r="68" ht="14.25" customHeight="1">
      <c r="A68" s="171" t="str">
        <f>'3.3'!A60</f>
        <v/>
      </c>
      <c r="B68" s="74" t="str">
        <f>'3.3'!B60</f>
        <v/>
      </c>
      <c r="C68" s="74" t="str">
        <f>'3.3'!C60</f>
        <v/>
      </c>
      <c r="D68" s="172" t="str">
        <f>'3.3'!D60</f>
        <v/>
      </c>
      <c r="E68" s="171" t="str">
        <f>'3.3'!E60</f>
        <v/>
      </c>
      <c r="F68" s="173" t="str">
        <f>'3.3'!F60</f>
        <v/>
      </c>
      <c r="G68" s="174">
        <f>'3.3'!G60</f>
        <v>0</v>
      </c>
      <c r="H68" s="120" t="str">
        <f>'3.3'!H60</f>
        <v/>
      </c>
      <c r="I68" s="120" t="str">
        <f>'3.3'!I60</f>
        <v/>
      </c>
    </row>
    <row r="69" ht="14.25" customHeight="1">
      <c r="A69" s="127" t="str">
        <f>'3.3'!A61</f>
        <v/>
      </c>
      <c r="B69" s="127" t="str">
        <f>'3.3'!B61</f>
        <v/>
      </c>
      <c r="C69" s="127" t="str">
        <f>'3.3'!C61</f>
        <v/>
      </c>
      <c r="D69" s="127" t="str">
        <f>'3.3'!D61</f>
        <v/>
      </c>
      <c r="E69" s="127" t="str">
        <f>'3.3'!E61</f>
        <v/>
      </c>
      <c r="F69" s="126" t="str">
        <f>'3.3'!F61</f>
        <v/>
      </c>
      <c r="G69" s="3" t="str">
        <f>'3.3'!G61</f>
        <v/>
      </c>
      <c r="H69" s="120" t="str">
        <f>'3.3'!H61</f>
        <v/>
      </c>
      <c r="I69" s="120" t="str">
        <f>'3.3'!I61</f>
        <v/>
      </c>
    </row>
    <row r="70" ht="14.25" customHeight="1">
      <c r="A70" s="175" t="str">
        <f>'3.3'!A62</f>
        <v>TOTAL</v>
      </c>
      <c r="B70" s="176" t="str">
        <f>'3.3'!B62</f>
        <v/>
      </c>
      <c r="C70" s="176" t="str">
        <f>'3.3'!C62</f>
        <v/>
      </c>
      <c r="D70" s="176" t="str">
        <f>'3.3'!D62</f>
        <v/>
      </c>
      <c r="E70" s="176" t="str">
        <f>'3.3'!E62</f>
        <v/>
      </c>
      <c r="F70" s="176" t="str">
        <f>'3.3'!F62</f>
        <v/>
      </c>
      <c r="G70" s="177" t="str">
        <f>'3.3'!G62</f>
        <v/>
      </c>
      <c r="H70" s="176" t="str">
        <f>'3.3'!H62</f>
        <v/>
      </c>
      <c r="I70" s="178">
        <f>'3.3'!I62</f>
        <v>0</v>
      </c>
    </row>
    <row r="71" ht="14.25" customHeight="1">
      <c r="G71" s="3"/>
    </row>
    <row r="72" ht="14.25" customHeight="1">
      <c r="G72" s="3"/>
    </row>
    <row r="73">
      <c r="A73" s="162">
        <f>'3.4'!A3</f>
        <v>45750</v>
      </c>
      <c r="B73" s="163" t="str">
        <f>'2.1.'!B73</f>
        <v>#REF!</v>
      </c>
      <c r="C73" s="164"/>
      <c r="D73" s="164"/>
      <c r="E73" s="164"/>
      <c r="F73" s="164"/>
      <c r="G73" s="200" t="str">
        <f t="shared" ref="G73:I73" si="14">'2.1.'!G73</f>
        <v>#REF!</v>
      </c>
      <c r="H73" s="166" t="str">
        <f t="shared" si="14"/>
        <v>#REF!</v>
      </c>
      <c r="I73" s="201" t="str">
        <f t="shared" si="14"/>
        <v>#REF!</v>
      </c>
    </row>
    <row r="74" ht="14.25" customHeight="1">
      <c r="G74" s="3"/>
    </row>
    <row r="75" ht="14.25" customHeight="1">
      <c r="A75" s="168" t="str">
        <f>'3.4'!A53</f>
        <v>MANO DE OBRA - MATERIALES</v>
      </c>
      <c r="B75" s="76" t="str">
        <f>'3.4'!B53</f>
        <v/>
      </c>
      <c r="C75" s="76" t="str">
        <f>'3.4'!C53</f>
        <v/>
      </c>
      <c r="D75" s="76" t="str">
        <f>'3.4'!D53</f>
        <v/>
      </c>
      <c r="E75" s="76" t="str">
        <f>'3.4'!E53</f>
        <v/>
      </c>
      <c r="F75" s="76" t="str">
        <f>'3.4'!F53</f>
        <v/>
      </c>
      <c r="G75" s="2" t="str">
        <f>'3.4'!G53</f>
        <v/>
      </c>
      <c r="H75" s="76" t="str">
        <f>'3.4'!H53</f>
        <v/>
      </c>
      <c r="I75" s="76" t="str">
        <f>'3.4'!I53</f>
        <v/>
      </c>
    </row>
    <row r="76" ht="14.25" customHeight="1">
      <c r="A76" s="169" t="str">
        <f>'3.4'!A54</f>
        <v>Código</v>
      </c>
      <c r="B76" s="169" t="str">
        <f>'3.4'!B54</f>
        <v>Descripción</v>
      </c>
      <c r="C76" s="169" t="str">
        <f>'3.4'!C54</f>
        <v>Unidad</v>
      </c>
      <c r="D76" s="169" t="str">
        <f>'3.4'!D54</f>
        <v>Cantidad</v>
      </c>
      <c r="E76" s="169" t="str">
        <f>'3.4'!E54</f>
        <v/>
      </c>
      <c r="F76" s="169" t="str">
        <f>'3.4'!F54</f>
        <v>Desperdicio</v>
      </c>
      <c r="G76" s="4" t="str">
        <f>'3.4'!G54</f>
        <v>Cantidad + Desperdicio</v>
      </c>
      <c r="H76" s="169" t="str">
        <f>'3.4'!H54</f>
        <v>Precio Unitario</v>
      </c>
      <c r="I76" s="169" t="str">
        <f>'3.4'!I54</f>
        <v>Subtotal</v>
      </c>
    </row>
    <row r="77" ht="14.25" customHeight="1">
      <c r="A77" s="171" t="str">
        <f>'3.4'!A55</f>
        <v/>
      </c>
      <c r="B77" s="74" t="str">
        <f>'3.4'!B55</f>
        <v/>
      </c>
      <c r="C77" s="74" t="str">
        <f>'3.4'!C55</f>
        <v/>
      </c>
      <c r="D77" s="172" t="str">
        <f>'3.4'!D55</f>
        <v/>
      </c>
      <c r="E77" s="171" t="str">
        <f>'3.4'!E55</f>
        <v/>
      </c>
      <c r="F77" s="173" t="str">
        <f>'3.4'!F55</f>
        <v/>
      </c>
      <c r="G77" s="174">
        <f>'3.4'!G55</f>
        <v>0</v>
      </c>
      <c r="H77" s="120" t="str">
        <f>'3.4'!H55</f>
        <v/>
      </c>
      <c r="I77" s="120" t="str">
        <f>'3.4'!I55</f>
        <v/>
      </c>
    </row>
    <row r="78" ht="14.25" customHeight="1">
      <c r="A78" s="171" t="str">
        <f>'3.4'!A56</f>
        <v/>
      </c>
      <c r="B78" s="74" t="str">
        <f>'3.4'!B56</f>
        <v/>
      </c>
      <c r="C78" s="74" t="str">
        <f>'3.4'!C56</f>
        <v/>
      </c>
      <c r="D78" s="172" t="str">
        <f>'3.4'!D56</f>
        <v/>
      </c>
      <c r="E78" s="171" t="str">
        <f>'3.4'!E56</f>
        <v/>
      </c>
      <c r="F78" s="173" t="str">
        <f>'3.4'!F56</f>
        <v/>
      </c>
      <c r="G78" s="174">
        <f>'3.4'!G56</f>
        <v>0</v>
      </c>
      <c r="H78" s="120" t="str">
        <f>'3.4'!H56</f>
        <v/>
      </c>
      <c r="I78" s="120" t="str">
        <f>'3.4'!I56</f>
        <v/>
      </c>
    </row>
    <row r="79" ht="14.25" customHeight="1">
      <c r="A79" s="171" t="str">
        <f>'3.4'!A57</f>
        <v/>
      </c>
      <c r="B79" s="74" t="str">
        <f>'3.4'!B57</f>
        <v/>
      </c>
      <c r="C79" s="74" t="str">
        <f>'3.4'!C57</f>
        <v/>
      </c>
      <c r="D79" s="172" t="str">
        <f>'3.4'!D57</f>
        <v/>
      </c>
      <c r="E79" s="171" t="str">
        <f>'3.4'!E57</f>
        <v/>
      </c>
      <c r="F79" s="173" t="str">
        <f>'3.4'!F57</f>
        <v/>
      </c>
      <c r="G79" s="174">
        <f>'3.4'!G57</f>
        <v>0</v>
      </c>
      <c r="H79" s="120" t="str">
        <f>'3.4'!H57</f>
        <v/>
      </c>
      <c r="I79" s="120" t="str">
        <f>'3.4'!I57</f>
        <v/>
      </c>
    </row>
    <row r="80" ht="14.25" customHeight="1">
      <c r="A80" s="171" t="str">
        <f>'3.4'!A58</f>
        <v/>
      </c>
      <c r="B80" s="74" t="str">
        <f>'3.4'!B58</f>
        <v/>
      </c>
      <c r="C80" s="74" t="str">
        <f>'3.4'!C58</f>
        <v/>
      </c>
      <c r="D80" s="172" t="str">
        <f>'3.4'!D58</f>
        <v/>
      </c>
      <c r="E80" s="171" t="str">
        <f>'3.4'!E58</f>
        <v/>
      </c>
      <c r="F80" s="173" t="str">
        <f>'3.4'!F58</f>
        <v/>
      </c>
      <c r="G80" s="174">
        <f>'3.4'!G58</f>
        <v>0</v>
      </c>
      <c r="H80" s="120" t="str">
        <f>'3.4'!H58</f>
        <v/>
      </c>
      <c r="I80" s="120" t="str">
        <f>'3.4'!I58</f>
        <v/>
      </c>
    </row>
    <row r="81" ht="14.25" customHeight="1">
      <c r="A81" s="171" t="str">
        <f>'3.4'!A59</f>
        <v/>
      </c>
      <c r="B81" s="74" t="str">
        <f>'3.4'!B59</f>
        <v/>
      </c>
      <c r="C81" s="74" t="str">
        <f>'3.4'!C59</f>
        <v/>
      </c>
      <c r="D81" s="172" t="str">
        <f>'3.4'!D59</f>
        <v/>
      </c>
      <c r="E81" s="171" t="str">
        <f>'3.4'!E59</f>
        <v/>
      </c>
      <c r="F81" s="173" t="str">
        <f>'3.4'!F59</f>
        <v/>
      </c>
      <c r="G81" s="174">
        <f>'3.4'!G59</f>
        <v>0</v>
      </c>
      <c r="H81" s="120" t="str">
        <f>'3.4'!H59</f>
        <v/>
      </c>
      <c r="I81" s="120" t="str">
        <f>'3.4'!I59</f>
        <v/>
      </c>
    </row>
    <row r="82" ht="14.25" customHeight="1">
      <c r="A82" s="171" t="str">
        <f>'3.4'!A60</f>
        <v/>
      </c>
      <c r="B82" s="74" t="str">
        <f>'3.4'!B60</f>
        <v/>
      </c>
      <c r="C82" s="74" t="str">
        <f>'3.4'!C60</f>
        <v/>
      </c>
      <c r="D82" s="172" t="str">
        <f>'3.4'!D60</f>
        <v/>
      </c>
      <c r="E82" s="171" t="str">
        <f>'3.4'!E60</f>
        <v/>
      </c>
      <c r="F82" s="173" t="str">
        <f>'3.4'!F60</f>
        <v/>
      </c>
      <c r="G82" s="174">
        <f>'3.4'!G60</f>
        <v>0</v>
      </c>
      <c r="H82" s="120" t="str">
        <f>'3.4'!H60</f>
        <v/>
      </c>
      <c r="I82" s="120" t="str">
        <f>'3.4'!I60</f>
        <v/>
      </c>
    </row>
    <row r="83" ht="14.25" customHeight="1">
      <c r="A83" s="127" t="str">
        <f>'3.4'!A61</f>
        <v/>
      </c>
      <c r="B83" s="127" t="str">
        <f>'3.4'!B61</f>
        <v/>
      </c>
      <c r="C83" s="127" t="str">
        <f>'3.4'!C61</f>
        <v/>
      </c>
      <c r="D83" s="127" t="str">
        <f>'3.4'!D61</f>
        <v/>
      </c>
      <c r="E83" s="127" t="str">
        <f>'3.4'!E61</f>
        <v/>
      </c>
      <c r="F83" s="126" t="str">
        <f>'3.4'!F61</f>
        <v/>
      </c>
      <c r="G83" s="3" t="str">
        <f>'3.4'!G61</f>
        <v/>
      </c>
      <c r="H83" s="120" t="str">
        <f>'3.4'!H61</f>
        <v/>
      </c>
      <c r="I83" s="120" t="str">
        <f>'3.4'!I61</f>
        <v/>
      </c>
    </row>
    <row r="84" ht="14.25" customHeight="1">
      <c r="A84" s="175" t="str">
        <f>'3.4'!A62</f>
        <v>TOTAL</v>
      </c>
      <c r="B84" s="176" t="str">
        <f>'3.4'!B62</f>
        <v/>
      </c>
      <c r="C84" s="176" t="str">
        <f>'3.4'!C62</f>
        <v/>
      </c>
      <c r="D84" s="176" t="str">
        <f>'3.4'!D62</f>
        <v/>
      </c>
      <c r="E84" s="176" t="str">
        <f>'3.4'!E62</f>
        <v/>
      </c>
      <c r="F84" s="176" t="str">
        <f>'3.4'!F62</f>
        <v/>
      </c>
      <c r="G84" s="177" t="str">
        <f>'3.4'!G62</f>
        <v/>
      </c>
      <c r="H84" s="176" t="str">
        <f>'3.4'!H62</f>
        <v/>
      </c>
      <c r="I84" s="178">
        <f>'3.4'!I62</f>
        <v>0</v>
      </c>
    </row>
    <row r="85" ht="14.25" customHeight="1">
      <c r="G85" s="3"/>
    </row>
    <row r="86" ht="14.25" customHeight="1">
      <c r="G86" s="3"/>
    </row>
    <row r="87">
      <c r="A87" s="162">
        <f>'3.5'!A3</f>
        <v>45780</v>
      </c>
      <c r="B87" s="163" t="str">
        <f>'2.1.'!B87</f>
        <v>#REF!</v>
      </c>
      <c r="C87" s="164"/>
      <c r="D87" s="164"/>
      <c r="E87" s="164"/>
      <c r="F87" s="164"/>
      <c r="G87" s="165" t="str">
        <f t="shared" ref="G87:I87" si="15">'2.1.'!G87</f>
        <v>#REF!</v>
      </c>
      <c r="H87" s="166" t="str">
        <f t="shared" si="15"/>
        <v>#REF!</v>
      </c>
      <c r="I87" s="201" t="str">
        <f t="shared" si="15"/>
        <v>#REF!</v>
      </c>
    </row>
    <row r="88" ht="14.25" customHeight="1">
      <c r="G88" s="3"/>
    </row>
    <row r="89" ht="14.25" customHeight="1">
      <c r="A89" s="168" t="str">
        <f>'3.5'!A53</f>
        <v>MANO DE OBRA - MATERIALES</v>
      </c>
      <c r="B89" s="76" t="str">
        <f>'3.5'!B53</f>
        <v/>
      </c>
      <c r="C89" s="76" t="str">
        <f>'3.5'!C53</f>
        <v/>
      </c>
      <c r="D89" s="76" t="str">
        <f>'3.5'!D53</f>
        <v/>
      </c>
      <c r="E89" s="76" t="str">
        <f>'3.5'!E53</f>
        <v/>
      </c>
      <c r="F89" s="76" t="str">
        <f>'3.5'!F53</f>
        <v/>
      </c>
      <c r="G89" s="2" t="str">
        <f>'3.5'!G53</f>
        <v/>
      </c>
      <c r="H89" s="76" t="str">
        <f>'3.5'!H53</f>
        <v/>
      </c>
      <c r="I89" s="76" t="str">
        <f>'3.5'!I53</f>
        <v/>
      </c>
    </row>
    <row r="90" ht="14.25" customHeight="1">
      <c r="A90" s="169" t="str">
        <f>'3.5'!A54</f>
        <v>Código</v>
      </c>
      <c r="B90" s="169" t="str">
        <f>'3.5'!B54</f>
        <v>Descripción</v>
      </c>
      <c r="C90" s="169" t="str">
        <f>'3.5'!C54</f>
        <v>Unidad</v>
      </c>
      <c r="D90" s="169" t="str">
        <f>'3.5'!D54</f>
        <v>Cantidad</v>
      </c>
      <c r="E90" s="169" t="str">
        <f>'3.5'!E54</f>
        <v/>
      </c>
      <c r="F90" s="169" t="str">
        <f>'3.5'!F54</f>
        <v>Desperdicio</v>
      </c>
      <c r="G90" s="4" t="str">
        <f>'3.5'!G54</f>
        <v>Cantidad + Desperdicio</v>
      </c>
      <c r="H90" s="169" t="str">
        <f>'3.5'!H54</f>
        <v>Precio Unitario</v>
      </c>
      <c r="I90" s="169" t="str">
        <f>'3.5'!I54</f>
        <v>Subtotal</v>
      </c>
    </row>
    <row r="91" ht="14.25" customHeight="1">
      <c r="A91" s="171" t="str">
        <f>'3.5'!A55</f>
        <v/>
      </c>
      <c r="B91" s="74" t="str">
        <f>'3.5'!B55</f>
        <v/>
      </c>
      <c r="C91" s="74" t="str">
        <f>'3.5'!C55</f>
        <v/>
      </c>
      <c r="D91" s="172" t="str">
        <f>'3.5'!D55</f>
        <v/>
      </c>
      <c r="E91" s="171" t="str">
        <f>'3.5'!E55</f>
        <v/>
      </c>
      <c r="F91" s="173" t="str">
        <f>'3.5'!F55</f>
        <v/>
      </c>
      <c r="G91" s="174">
        <f>'3.5'!G55</f>
        <v>0</v>
      </c>
      <c r="H91" s="120" t="str">
        <f>'3.5'!H55</f>
        <v/>
      </c>
      <c r="I91" s="120">
        <f>'3.5'!I55</f>
        <v>0</v>
      </c>
    </row>
    <row r="92" ht="14.25" customHeight="1">
      <c r="A92" s="171" t="str">
        <f>'3.5'!A56</f>
        <v/>
      </c>
      <c r="B92" s="74" t="str">
        <f>'3.5'!B56</f>
        <v/>
      </c>
      <c r="C92" s="74" t="str">
        <f>'3.5'!C56</f>
        <v/>
      </c>
      <c r="D92" s="172" t="str">
        <f>'3.5'!D56</f>
        <v/>
      </c>
      <c r="E92" s="171" t="str">
        <f>'3.5'!E56</f>
        <v/>
      </c>
      <c r="F92" s="173" t="str">
        <f>'3.5'!F56</f>
        <v/>
      </c>
      <c r="G92" s="174">
        <f>'3.5'!G56</f>
        <v>0</v>
      </c>
      <c r="H92" s="120" t="str">
        <f>'3.5'!H56</f>
        <v/>
      </c>
      <c r="I92" s="120">
        <f>'3.5'!I56</f>
        <v>0</v>
      </c>
    </row>
    <row r="93" ht="14.25" customHeight="1">
      <c r="A93" s="171" t="str">
        <f>'3.5'!A57</f>
        <v/>
      </c>
      <c r="B93" s="74" t="str">
        <f>'3.5'!B57</f>
        <v/>
      </c>
      <c r="C93" s="74" t="str">
        <f>'3.5'!C57</f>
        <v/>
      </c>
      <c r="D93" s="172" t="str">
        <f>'3.5'!D57</f>
        <v/>
      </c>
      <c r="E93" s="171" t="str">
        <f>'3.5'!E57</f>
        <v/>
      </c>
      <c r="F93" s="173" t="str">
        <f>'3.5'!F57</f>
        <v/>
      </c>
      <c r="G93" s="174">
        <f>'3.5'!G57</f>
        <v>0</v>
      </c>
      <c r="H93" s="120" t="str">
        <f>'3.5'!H57</f>
        <v/>
      </c>
      <c r="I93" s="120" t="str">
        <f>'3.5'!I57</f>
        <v/>
      </c>
    </row>
    <row r="94" ht="14.25" customHeight="1">
      <c r="A94" s="171" t="str">
        <f>'3.5'!A58</f>
        <v/>
      </c>
      <c r="B94" s="74" t="str">
        <f>'3.5'!B58</f>
        <v/>
      </c>
      <c r="C94" s="74" t="str">
        <f>'3.5'!C58</f>
        <v/>
      </c>
      <c r="D94" s="172" t="str">
        <f>'3.5'!D58</f>
        <v/>
      </c>
      <c r="E94" s="171" t="str">
        <f>'3.5'!E58</f>
        <v/>
      </c>
      <c r="F94" s="173" t="str">
        <f>'3.5'!F58</f>
        <v/>
      </c>
      <c r="G94" s="174">
        <f>'3.5'!G58</f>
        <v>0</v>
      </c>
      <c r="H94" s="120" t="str">
        <f>'3.5'!H58</f>
        <v/>
      </c>
      <c r="I94" s="120" t="str">
        <f>'3.5'!I58</f>
        <v/>
      </c>
    </row>
    <row r="95" ht="14.25" customHeight="1">
      <c r="A95" s="171" t="str">
        <f>'3.5'!A59</f>
        <v/>
      </c>
      <c r="B95" s="74" t="str">
        <f>'3.5'!B59</f>
        <v/>
      </c>
      <c r="C95" s="74" t="str">
        <f>'3.5'!C59</f>
        <v/>
      </c>
      <c r="D95" s="172" t="str">
        <f>'3.5'!D59</f>
        <v/>
      </c>
      <c r="E95" s="171" t="str">
        <f>'3.5'!E59</f>
        <v/>
      </c>
      <c r="F95" s="173" t="str">
        <f>'3.5'!F59</f>
        <v/>
      </c>
      <c r="G95" s="174">
        <f>'3.5'!G59</f>
        <v>0</v>
      </c>
      <c r="H95" s="120" t="str">
        <f>'3.5'!H59</f>
        <v/>
      </c>
      <c r="I95" s="120" t="str">
        <f>'3.5'!I59</f>
        <v/>
      </c>
    </row>
    <row r="96" ht="14.25" customHeight="1">
      <c r="A96" s="171" t="str">
        <f>'3.5'!A60</f>
        <v/>
      </c>
      <c r="B96" s="74" t="str">
        <f>'3.5'!B60</f>
        <v/>
      </c>
      <c r="C96" s="74" t="str">
        <f>'3.5'!C60</f>
        <v/>
      </c>
      <c r="D96" s="172" t="str">
        <f>'3.5'!D60</f>
        <v/>
      </c>
      <c r="E96" s="171" t="str">
        <f>'3.5'!E60</f>
        <v/>
      </c>
      <c r="F96" s="173" t="str">
        <f>'3.5'!F60</f>
        <v/>
      </c>
      <c r="G96" s="174">
        <f>'3.5'!G60</f>
        <v>0</v>
      </c>
      <c r="H96" s="120" t="str">
        <f>'3.5'!H60</f>
        <v/>
      </c>
      <c r="I96" s="120" t="str">
        <f>'3.5'!I60</f>
        <v/>
      </c>
    </row>
    <row r="97" ht="14.25" customHeight="1">
      <c r="A97" s="127" t="str">
        <f>'3.5'!A61</f>
        <v/>
      </c>
      <c r="B97" s="127" t="str">
        <f>'3.5'!B61</f>
        <v/>
      </c>
      <c r="C97" s="127" t="str">
        <f>'3.5'!C61</f>
        <v/>
      </c>
      <c r="D97" s="127" t="str">
        <f>'3.5'!D61</f>
        <v/>
      </c>
      <c r="E97" s="127" t="str">
        <f>'3.5'!E61</f>
        <v/>
      </c>
      <c r="F97" s="126" t="str">
        <f>'3.5'!F61</f>
        <v/>
      </c>
      <c r="G97" s="3" t="str">
        <f>'3.5'!G61</f>
        <v/>
      </c>
      <c r="H97" s="120" t="str">
        <f>'3.5'!H61</f>
        <v/>
      </c>
      <c r="I97" s="120" t="str">
        <f>'3.5'!I61</f>
        <v/>
      </c>
    </row>
    <row r="98" ht="14.25" customHeight="1">
      <c r="A98" s="175" t="str">
        <f>'3.5'!A62</f>
        <v>TOTAL</v>
      </c>
      <c r="B98" s="176" t="str">
        <f>'3.5'!B62</f>
        <v/>
      </c>
      <c r="C98" s="176" t="str">
        <f>'3.5'!C62</f>
        <v/>
      </c>
      <c r="D98" s="176" t="str">
        <f>'3.5'!D62</f>
        <v/>
      </c>
      <c r="E98" s="176" t="str">
        <f>'3.5'!E62</f>
        <v/>
      </c>
      <c r="F98" s="176" t="str">
        <f>'3.5'!F62</f>
        <v/>
      </c>
      <c r="G98" s="177" t="str">
        <f>'3.5'!G62</f>
        <v/>
      </c>
      <c r="H98" s="176" t="str">
        <f>'3.5'!H62</f>
        <v/>
      </c>
      <c r="I98" s="178">
        <f>'3.5'!I62</f>
        <v>0</v>
      </c>
    </row>
    <row r="99" ht="14.25" customHeight="1">
      <c r="G99" s="3"/>
    </row>
    <row r="100" ht="14.25" customHeight="1">
      <c r="G100" s="3"/>
    </row>
    <row r="101">
      <c r="A101" s="162">
        <f>'3.6'!A3</f>
        <v>45811</v>
      </c>
      <c r="B101" s="163" t="str">
        <f>'2.1.'!B101</f>
        <v>#REF!</v>
      </c>
      <c r="C101" s="164"/>
      <c r="D101" s="164"/>
      <c r="E101" s="164"/>
      <c r="F101" s="164"/>
      <c r="G101" s="165" t="str">
        <f t="shared" ref="G101:I101" si="16">'2.1.'!G101</f>
        <v>#REF!</v>
      </c>
      <c r="H101" s="166" t="str">
        <f t="shared" si="16"/>
        <v>#REF!</v>
      </c>
      <c r="I101" s="167" t="str">
        <f t="shared" si="16"/>
        <v>#REF!</v>
      </c>
    </row>
    <row r="102" ht="14.25" customHeight="1">
      <c r="G102" s="3"/>
    </row>
    <row r="103" ht="14.25" customHeight="1">
      <c r="A103" s="168" t="str">
        <f>'3.6'!A53</f>
        <v>MANO DE OBRA - MATERIALES</v>
      </c>
      <c r="B103" s="76" t="str">
        <f>'3.6'!B53</f>
        <v/>
      </c>
      <c r="C103" s="76" t="str">
        <f>'3.6'!C53</f>
        <v/>
      </c>
      <c r="D103" s="76" t="str">
        <f>'3.6'!D53</f>
        <v/>
      </c>
      <c r="E103" s="76" t="str">
        <f>'3.6'!E53</f>
        <v/>
      </c>
      <c r="F103" s="76" t="str">
        <f>'3.6'!F53</f>
        <v/>
      </c>
      <c r="G103" s="2" t="str">
        <f>'3.6'!G53</f>
        <v/>
      </c>
      <c r="H103" s="76" t="str">
        <f>'3.6'!H53</f>
        <v/>
      </c>
      <c r="I103" s="76" t="str">
        <f>'3.6'!I53</f>
        <v/>
      </c>
    </row>
    <row r="104" ht="14.25" customHeight="1">
      <c r="A104" s="169" t="str">
        <f>'3.6'!A54</f>
        <v>Código</v>
      </c>
      <c r="B104" s="169" t="str">
        <f>'3.6'!B54</f>
        <v>Descripción</v>
      </c>
      <c r="C104" s="169" t="str">
        <f>'3.6'!C54</f>
        <v>Unidad</v>
      </c>
      <c r="D104" s="169" t="str">
        <f>'3.6'!D54</f>
        <v>Cantidad</v>
      </c>
      <c r="E104" s="169" t="str">
        <f>'3.6'!E54</f>
        <v/>
      </c>
      <c r="F104" s="169" t="str">
        <f>'3.6'!F54</f>
        <v>Desperdicio</v>
      </c>
      <c r="G104" s="4" t="str">
        <f>'3.6'!G54</f>
        <v>Cantidad + Desperdicio</v>
      </c>
      <c r="H104" s="169" t="str">
        <f>'3.6'!H54</f>
        <v>Precio Unitario</v>
      </c>
      <c r="I104" s="169" t="str">
        <f>'3.6'!I54</f>
        <v>Subtotal</v>
      </c>
    </row>
    <row r="105" ht="14.25" customHeight="1">
      <c r="A105" s="171" t="str">
        <f>'3.6'!A55</f>
        <v/>
      </c>
      <c r="B105" s="74" t="str">
        <f>'3.6'!B55</f>
        <v/>
      </c>
      <c r="C105" s="74" t="str">
        <f>'3.6'!C55</f>
        <v/>
      </c>
      <c r="D105" s="172" t="str">
        <f>'3.6'!D55</f>
        <v/>
      </c>
      <c r="E105" s="171" t="str">
        <f>'3.6'!E55</f>
        <v/>
      </c>
      <c r="F105" s="173" t="str">
        <f>'3.6'!F55</f>
        <v/>
      </c>
      <c r="G105" s="174">
        <f>'3.6'!G55</f>
        <v>0</v>
      </c>
      <c r="H105" s="120" t="str">
        <f>'3.6'!H55</f>
        <v/>
      </c>
      <c r="I105" s="120" t="str">
        <f>'3.6'!I55</f>
        <v/>
      </c>
    </row>
    <row r="106" ht="14.25" customHeight="1">
      <c r="A106" s="171" t="str">
        <f>'3.6'!A56</f>
        <v/>
      </c>
      <c r="B106" s="74" t="str">
        <f>'3.6'!B56</f>
        <v/>
      </c>
      <c r="C106" s="74" t="str">
        <f>'3.6'!C56</f>
        <v/>
      </c>
      <c r="D106" s="172" t="str">
        <f>'3.6'!D56</f>
        <v/>
      </c>
      <c r="E106" s="171" t="str">
        <f>'3.6'!E56</f>
        <v/>
      </c>
      <c r="F106" s="173" t="str">
        <f>'3.6'!F56</f>
        <v/>
      </c>
      <c r="G106" s="174">
        <f>'3.6'!G56</f>
        <v>0</v>
      </c>
      <c r="H106" s="120" t="str">
        <f>'3.6'!H56</f>
        <v/>
      </c>
      <c r="I106" s="120" t="str">
        <f>'3.6'!I56</f>
        <v/>
      </c>
    </row>
    <row r="107" ht="14.25" customHeight="1">
      <c r="A107" s="171" t="str">
        <f>'3.6'!A57</f>
        <v/>
      </c>
      <c r="B107" s="74" t="str">
        <f>'3.6'!B57</f>
        <v/>
      </c>
      <c r="C107" s="74" t="str">
        <f>'3.6'!C57</f>
        <v/>
      </c>
      <c r="D107" s="172" t="str">
        <f>'3.6'!D57</f>
        <v/>
      </c>
      <c r="E107" s="171" t="str">
        <f>'3.6'!E57</f>
        <v/>
      </c>
      <c r="F107" s="173" t="str">
        <f>'3.6'!F57</f>
        <v/>
      </c>
      <c r="G107" s="174">
        <f>'3.6'!G57</f>
        <v>0</v>
      </c>
      <c r="H107" s="120" t="str">
        <f>'3.6'!H57</f>
        <v/>
      </c>
      <c r="I107" s="120" t="str">
        <f>'3.6'!I57</f>
        <v/>
      </c>
    </row>
    <row r="108" ht="14.25" customHeight="1">
      <c r="A108" s="171" t="str">
        <f>'3.6'!A58</f>
        <v/>
      </c>
      <c r="B108" s="74" t="str">
        <f>'3.6'!B58</f>
        <v/>
      </c>
      <c r="C108" s="74" t="str">
        <f>'3.6'!C58</f>
        <v/>
      </c>
      <c r="D108" s="172" t="str">
        <f>'3.6'!D58</f>
        <v/>
      </c>
      <c r="E108" s="171" t="str">
        <f>'3.6'!E58</f>
        <v/>
      </c>
      <c r="F108" s="173" t="str">
        <f>'3.6'!F58</f>
        <v/>
      </c>
      <c r="G108" s="174">
        <f>'3.6'!G58</f>
        <v>0</v>
      </c>
      <c r="H108" s="120" t="str">
        <f>'3.6'!H58</f>
        <v/>
      </c>
      <c r="I108" s="120" t="str">
        <f>'3.6'!I58</f>
        <v/>
      </c>
    </row>
    <row r="109" ht="14.25" customHeight="1">
      <c r="A109" s="171" t="str">
        <f>'3.6'!A59</f>
        <v/>
      </c>
      <c r="B109" s="74" t="str">
        <f>'3.6'!B59</f>
        <v/>
      </c>
      <c r="C109" s="74" t="str">
        <f>'3.6'!C59</f>
        <v/>
      </c>
      <c r="D109" s="172" t="str">
        <f>'3.6'!D59</f>
        <v/>
      </c>
      <c r="E109" s="171" t="str">
        <f>'3.6'!E59</f>
        <v/>
      </c>
      <c r="F109" s="173" t="str">
        <f>'3.6'!F59</f>
        <v/>
      </c>
      <c r="G109" s="174">
        <f>'3.6'!G59</f>
        <v>0</v>
      </c>
      <c r="H109" s="120" t="str">
        <f>'3.6'!H59</f>
        <v/>
      </c>
      <c r="I109" s="120" t="str">
        <f>'3.6'!I59</f>
        <v/>
      </c>
    </row>
    <row r="110" ht="14.25" customHeight="1">
      <c r="A110" s="171" t="str">
        <f>'3.6'!A60</f>
        <v/>
      </c>
      <c r="B110" s="74" t="str">
        <f>'3.6'!B60</f>
        <v/>
      </c>
      <c r="C110" s="74" t="str">
        <f>'3.6'!C60</f>
        <v/>
      </c>
      <c r="D110" s="172" t="str">
        <f>'3.6'!D60</f>
        <v/>
      </c>
      <c r="E110" s="171" t="str">
        <f>'3.6'!E60</f>
        <v/>
      </c>
      <c r="F110" s="173" t="str">
        <f>'3.6'!F60</f>
        <v/>
      </c>
      <c r="G110" s="174">
        <f>'3.6'!G60</f>
        <v>0</v>
      </c>
      <c r="H110" s="120" t="str">
        <f>'3.6'!H60</f>
        <v/>
      </c>
      <c r="I110" s="120" t="str">
        <f>'3.6'!I60</f>
        <v/>
      </c>
    </row>
    <row r="111" ht="14.25" customHeight="1">
      <c r="A111" s="127" t="str">
        <f>'3.6'!A61</f>
        <v/>
      </c>
      <c r="B111" s="127" t="str">
        <f>'3.6'!B61</f>
        <v/>
      </c>
      <c r="C111" s="127" t="str">
        <f>'3.6'!C61</f>
        <v/>
      </c>
      <c r="D111" s="127" t="str">
        <f>'3.6'!D61</f>
        <v/>
      </c>
      <c r="E111" s="127" t="str">
        <f>'3.6'!E61</f>
        <v/>
      </c>
      <c r="F111" s="126" t="str">
        <f>'3.6'!F61</f>
        <v/>
      </c>
      <c r="G111" s="3" t="str">
        <f>'3.6'!G61</f>
        <v/>
      </c>
      <c r="H111" s="120" t="str">
        <f>'3.6'!H61</f>
        <v/>
      </c>
      <c r="I111" s="120" t="str">
        <f>'3.6'!I61</f>
        <v/>
      </c>
    </row>
    <row r="112" ht="14.25" customHeight="1">
      <c r="A112" s="175" t="str">
        <f>'3.6'!A62</f>
        <v>TOTAL</v>
      </c>
      <c r="B112" s="176" t="str">
        <f>'3.6'!B62</f>
        <v/>
      </c>
      <c r="C112" s="176" t="str">
        <f>'3.6'!C62</f>
        <v/>
      </c>
      <c r="D112" s="176" t="str">
        <f>'3.6'!D62</f>
        <v/>
      </c>
      <c r="E112" s="176" t="str">
        <f>'3.6'!E62</f>
        <v/>
      </c>
      <c r="F112" s="176" t="str">
        <f>'3.6'!F62</f>
        <v/>
      </c>
      <c r="G112" s="177" t="str">
        <f>'3.6'!G62</f>
        <v/>
      </c>
      <c r="H112" s="176" t="str">
        <f>'3.6'!H62</f>
        <v/>
      </c>
      <c r="I112" s="178">
        <f>'3.6'!I62</f>
        <v>0</v>
      </c>
    </row>
    <row r="113" ht="14.25" customHeight="1">
      <c r="G113" s="3"/>
    </row>
    <row r="114" ht="14.25" customHeight="1">
      <c r="G114" s="3"/>
    </row>
    <row r="115">
      <c r="A115" s="162">
        <f>'3.7'!A3</f>
        <v>45841</v>
      </c>
      <c r="B115" s="163" t="str">
        <f>'2.1.'!B115</f>
        <v>#REF!</v>
      </c>
      <c r="C115" s="164"/>
      <c r="D115" s="164"/>
      <c r="E115" s="164"/>
      <c r="F115" s="164"/>
      <c r="G115" s="165" t="str">
        <f t="shared" ref="G115:I115" si="17">'2.1.'!G115</f>
        <v>#REF!</v>
      </c>
      <c r="H115" s="166" t="str">
        <f t="shared" si="17"/>
        <v>#REF!</v>
      </c>
      <c r="I115" s="167" t="str">
        <f t="shared" si="17"/>
        <v>#REF!</v>
      </c>
    </row>
    <row r="116" ht="14.25" customHeight="1">
      <c r="G116" s="3"/>
    </row>
    <row r="117" ht="14.25" customHeight="1">
      <c r="A117" s="168" t="str">
        <f>'3.7'!A53</f>
        <v>MANO DE OBRA - MATERIALES</v>
      </c>
      <c r="B117" s="76" t="str">
        <f>'3.7'!B53</f>
        <v/>
      </c>
      <c r="C117" s="76" t="str">
        <f>'3.7'!C53</f>
        <v/>
      </c>
      <c r="D117" s="76" t="str">
        <f>'3.7'!D53</f>
        <v/>
      </c>
      <c r="E117" s="76" t="str">
        <f>'3.7'!E53</f>
        <v/>
      </c>
      <c r="F117" s="76" t="str">
        <f>'3.7'!F53</f>
        <v/>
      </c>
      <c r="G117" s="2" t="str">
        <f>'3.7'!G53</f>
        <v/>
      </c>
      <c r="H117" s="76" t="str">
        <f>'3.7'!H53</f>
        <v/>
      </c>
      <c r="I117" s="76" t="str">
        <f>'3.7'!I53</f>
        <v/>
      </c>
    </row>
    <row r="118" ht="14.25" customHeight="1">
      <c r="A118" s="169" t="str">
        <f>'3.7'!A54</f>
        <v>Código</v>
      </c>
      <c r="B118" s="169" t="str">
        <f>'3.7'!B54</f>
        <v>Descripción</v>
      </c>
      <c r="C118" s="169" t="str">
        <f>'3.7'!C54</f>
        <v>Unidad</v>
      </c>
      <c r="D118" s="169" t="str">
        <f>'3.7'!D54</f>
        <v>Cantidad</v>
      </c>
      <c r="E118" s="169" t="str">
        <f>'3.7'!E54</f>
        <v/>
      </c>
      <c r="F118" s="169" t="str">
        <f>'3.7'!F54</f>
        <v>Desperdicio</v>
      </c>
      <c r="G118" s="4" t="str">
        <f>'3.7'!G54</f>
        <v>Cantidad + Desperdicio</v>
      </c>
      <c r="H118" s="169" t="str">
        <f>'3.7'!H54</f>
        <v>Precio Unitario</v>
      </c>
      <c r="I118" s="169" t="str">
        <f>'3.7'!I54</f>
        <v>Subtotal</v>
      </c>
    </row>
    <row r="119" ht="14.25" customHeight="1">
      <c r="A119" s="171" t="str">
        <f>'3.7'!A55</f>
        <v/>
      </c>
      <c r="B119" s="74" t="str">
        <f>'3.7'!B55</f>
        <v/>
      </c>
      <c r="C119" s="74" t="str">
        <f>'3.7'!C55</f>
        <v/>
      </c>
      <c r="D119" s="172" t="str">
        <f>'3.7'!D55</f>
        <v/>
      </c>
      <c r="E119" s="171" t="str">
        <f>'3.7'!E55</f>
        <v/>
      </c>
      <c r="F119" s="173" t="str">
        <f>'3.7'!F55</f>
        <v/>
      </c>
      <c r="G119" s="174">
        <f>'3.7'!G55</f>
        <v>0</v>
      </c>
      <c r="H119" s="120" t="str">
        <f>'3.7'!H55</f>
        <v/>
      </c>
      <c r="I119" s="120">
        <f>'3.7'!I55</f>
        <v>0</v>
      </c>
    </row>
    <row r="120" ht="14.25" customHeight="1">
      <c r="A120" s="171" t="str">
        <f>'3.7'!A56</f>
        <v/>
      </c>
      <c r="B120" s="74" t="str">
        <f>'3.7'!B56</f>
        <v/>
      </c>
      <c r="C120" s="74" t="str">
        <f>'3.7'!C56</f>
        <v/>
      </c>
      <c r="D120" s="172" t="str">
        <f>'3.7'!D56</f>
        <v/>
      </c>
      <c r="E120" s="171" t="str">
        <f>'3.7'!E56</f>
        <v/>
      </c>
      <c r="F120" s="173" t="str">
        <f>'3.7'!F56</f>
        <v/>
      </c>
      <c r="G120" s="174">
        <f>'3.7'!G56</f>
        <v>0</v>
      </c>
      <c r="H120" s="120" t="str">
        <f>'3.7'!H56</f>
        <v/>
      </c>
      <c r="I120" s="120" t="str">
        <f>'3.7'!I56</f>
        <v/>
      </c>
    </row>
    <row r="121" ht="14.25" customHeight="1">
      <c r="A121" s="171" t="str">
        <f>'3.7'!A57</f>
        <v/>
      </c>
      <c r="B121" s="74" t="str">
        <f>'3.7'!B57</f>
        <v/>
      </c>
      <c r="C121" s="74" t="str">
        <f>'3.7'!C57</f>
        <v/>
      </c>
      <c r="D121" s="172" t="str">
        <f>'3.7'!D57</f>
        <v/>
      </c>
      <c r="E121" s="171" t="str">
        <f>'3.7'!E57</f>
        <v/>
      </c>
      <c r="F121" s="173" t="str">
        <f>'3.7'!F57</f>
        <v/>
      </c>
      <c r="G121" s="174">
        <f>'3.7'!G57</f>
        <v>0</v>
      </c>
      <c r="H121" s="120" t="str">
        <f>'3.7'!H57</f>
        <v/>
      </c>
      <c r="I121" s="120" t="str">
        <f>'3.7'!I57</f>
        <v/>
      </c>
    </row>
    <row r="122" ht="14.25" customHeight="1">
      <c r="A122" s="171" t="str">
        <f>'3.7'!A58</f>
        <v/>
      </c>
      <c r="B122" s="74" t="str">
        <f>'3.7'!B58</f>
        <v/>
      </c>
      <c r="C122" s="74" t="str">
        <f>'3.7'!C58</f>
        <v/>
      </c>
      <c r="D122" s="172" t="str">
        <f>'3.7'!D58</f>
        <v/>
      </c>
      <c r="E122" s="171" t="str">
        <f>'3.7'!E58</f>
        <v/>
      </c>
      <c r="F122" s="173" t="str">
        <f>'3.7'!F58</f>
        <v/>
      </c>
      <c r="G122" s="174">
        <f>'3.7'!G58</f>
        <v>0</v>
      </c>
      <c r="H122" s="120" t="str">
        <f>'3.7'!H58</f>
        <v/>
      </c>
      <c r="I122" s="120" t="str">
        <f>'3.7'!I58</f>
        <v/>
      </c>
    </row>
    <row r="123" ht="14.25" customHeight="1">
      <c r="A123" s="171" t="str">
        <f>'3.7'!A59</f>
        <v/>
      </c>
      <c r="B123" s="74" t="str">
        <f>'3.7'!B59</f>
        <v/>
      </c>
      <c r="C123" s="74" t="str">
        <f>'3.7'!C59</f>
        <v/>
      </c>
      <c r="D123" s="172" t="str">
        <f>'3.7'!D59</f>
        <v/>
      </c>
      <c r="E123" s="171" t="str">
        <f>'3.7'!E59</f>
        <v/>
      </c>
      <c r="F123" s="173" t="str">
        <f>'3.7'!F59</f>
        <v/>
      </c>
      <c r="G123" s="174">
        <f>'3.7'!G59</f>
        <v>0</v>
      </c>
      <c r="H123" s="120" t="str">
        <f>'3.7'!H59</f>
        <v/>
      </c>
      <c r="I123" s="120" t="str">
        <f>'3.7'!I59</f>
        <v/>
      </c>
    </row>
    <row r="124" ht="14.25" customHeight="1">
      <c r="A124" s="171" t="str">
        <f>'3.7'!A60</f>
        <v/>
      </c>
      <c r="B124" s="74" t="str">
        <f>'3.7'!B60</f>
        <v/>
      </c>
      <c r="C124" s="74" t="str">
        <f>'3.7'!C60</f>
        <v/>
      </c>
      <c r="D124" s="172" t="str">
        <f>'3.7'!D60</f>
        <v/>
      </c>
      <c r="E124" s="171" t="str">
        <f>'3.7'!E60</f>
        <v/>
      </c>
      <c r="F124" s="173" t="str">
        <f>'3.7'!F60</f>
        <v/>
      </c>
      <c r="G124" s="174">
        <f>'3.7'!G60</f>
        <v>0</v>
      </c>
      <c r="H124" s="120" t="str">
        <f>'3.7'!H60</f>
        <v/>
      </c>
      <c r="I124" s="120" t="str">
        <f>'3.7'!I60</f>
        <v/>
      </c>
    </row>
    <row r="125" ht="14.25" customHeight="1">
      <c r="A125" s="127" t="str">
        <f>'3.7'!A61</f>
        <v/>
      </c>
      <c r="B125" s="127" t="str">
        <f>'3.7'!B61</f>
        <v/>
      </c>
      <c r="C125" s="127" t="str">
        <f>'3.7'!C61</f>
        <v/>
      </c>
      <c r="D125" s="127" t="str">
        <f>'3.7'!D61</f>
        <v/>
      </c>
      <c r="E125" s="127" t="str">
        <f>'3.7'!E61</f>
        <v/>
      </c>
      <c r="F125" s="126" t="str">
        <f>'3.7'!F61</f>
        <v/>
      </c>
      <c r="G125" s="3" t="str">
        <f>'3.7'!G61</f>
        <v/>
      </c>
      <c r="H125" s="120" t="str">
        <f>'3.7'!H61</f>
        <v/>
      </c>
      <c r="I125" s="120" t="str">
        <f>'3.7'!I61</f>
        <v/>
      </c>
    </row>
    <row r="126" ht="14.25" customHeight="1">
      <c r="A126" s="175" t="str">
        <f>'3.7'!A62</f>
        <v>TOTAL</v>
      </c>
      <c r="B126" s="176" t="str">
        <f>'3.7'!B62</f>
        <v/>
      </c>
      <c r="C126" s="176" t="str">
        <f>'3.7'!C62</f>
        <v/>
      </c>
      <c r="D126" s="176" t="str">
        <f>'3.7'!D62</f>
        <v/>
      </c>
      <c r="E126" s="176" t="str">
        <f>'3.7'!E62</f>
        <v/>
      </c>
      <c r="F126" s="176" t="str">
        <f>'3.7'!F62</f>
        <v/>
      </c>
      <c r="G126" s="177" t="str">
        <f>'3.7'!G62</f>
        <v/>
      </c>
      <c r="H126" s="176" t="str">
        <f>'3.7'!H62</f>
        <v/>
      </c>
      <c r="I126" s="178">
        <f>'3.7'!I62</f>
        <v>0</v>
      </c>
    </row>
    <row r="127" ht="14.25" customHeight="1">
      <c r="G127" s="3"/>
    </row>
    <row r="128" ht="14.25" customHeight="1">
      <c r="G128" s="3"/>
    </row>
    <row r="129">
      <c r="A129" s="162">
        <f>'4.2'!A3</f>
        <v>45692</v>
      </c>
      <c r="B129" s="163" t="str">
        <f>'2.1.'!B129</f>
        <v>#REF!</v>
      </c>
      <c r="C129" s="164"/>
      <c r="D129" s="164"/>
      <c r="E129" s="164"/>
      <c r="F129" s="164"/>
      <c r="G129" s="165" t="str">
        <f t="shared" ref="G129:I129" si="18">'2.1.'!G129</f>
        <v>#REF!</v>
      </c>
      <c r="H129" s="166" t="str">
        <f t="shared" si="18"/>
        <v>#REF!</v>
      </c>
      <c r="I129" s="167" t="str">
        <f t="shared" si="18"/>
        <v>#REF!</v>
      </c>
    </row>
    <row r="130" ht="14.25" customHeight="1">
      <c r="G130" s="3"/>
    </row>
    <row r="131" ht="14.25" customHeight="1">
      <c r="A131" s="168" t="str">
        <f>'4.2'!A53</f>
        <v>MANO DE OBRA - MATERIALES</v>
      </c>
      <c r="B131" s="76" t="str">
        <f>'4.2'!B53</f>
        <v/>
      </c>
      <c r="C131" s="76" t="str">
        <f>'4.2'!C53</f>
        <v/>
      </c>
      <c r="D131" s="76" t="str">
        <f>'4.2'!D53</f>
        <v/>
      </c>
      <c r="E131" s="76" t="str">
        <f>'4.2'!E53</f>
        <v/>
      </c>
      <c r="F131" s="76" t="str">
        <f>'4.2'!F53</f>
        <v/>
      </c>
      <c r="G131" s="2" t="str">
        <f>'4.2'!G53</f>
        <v/>
      </c>
      <c r="H131" s="76" t="str">
        <f>'4.2'!H53</f>
        <v/>
      </c>
      <c r="I131" s="76" t="str">
        <f>'4.2'!I53</f>
        <v/>
      </c>
    </row>
    <row r="132" ht="14.25" customHeight="1">
      <c r="A132" s="169" t="str">
        <f>'4.2'!A54</f>
        <v>Código</v>
      </c>
      <c r="B132" s="169" t="str">
        <f>'4.2'!B54</f>
        <v>Descripción</v>
      </c>
      <c r="C132" s="169" t="str">
        <f>'4.2'!C54</f>
        <v>Unidad</v>
      </c>
      <c r="D132" s="169" t="str">
        <f>'4.2'!D54</f>
        <v>Cantidad</v>
      </c>
      <c r="E132" s="169" t="str">
        <f>'4.2'!E54</f>
        <v/>
      </c>
      <c r="F132" s="169" t="str">
        <f>'4.2'!F54</f>
        <v>Desperdicio</v>
      </c>
      <c r="G132" s="4" t="str">
        <f>'4.2'!G54</f>
        <v>Cantidad + Desperdicio</v>
      </c>
      <c r="H132" s="169" t="str">
        <f>'4.2'!H54</f>
        <v>Precio Unitario</v>
      </c>
      <c r="I132" s="169" t="str">
        <f>'4.2'!I54</f>
        <v>Subtotal</v>
      </c>
    </row>
    <row r="133" ht="14.25" customHeight="1">
      <c r="A133" s="171" t="str">
        <f>'4.2'!A55</f>
        <v/>
      </c>
      <c r="B133" s="74" t="str">
        <f>'4.2'!B55</f>
        <v/>
      </c>
      <c r="C133" s="74" t="str">
        <f>'4.2'!C55</f>
        <v/>
      </c>
      <c r="D133" s="172" t="str">
        <f>'4.2'!D55</f>
        <v/>
      </c>
      <c r="E133" s="171" t="str">
        <f>'4.2'!E55</f>
        <v/>
      </c>
      <c r="F133" s="173" t="str">
        <f>'4.2'!F55</f>
        <v/>
      </c>
      <c r="G133" s="174">
        <f>'4.2'!G55</f>
        <v>0</v>
      </c>
      <c r="H133" s="120" t="str">
        <f>'4.2'!H55</f>
        <v/>
      </c>
      <c r="I133" s="120">
        <f>'4.2'!I55</f>
        <v>0</v>
      </c>
    </row>
    <row r="134" ht="14.25" customHeight="1">
      <c r="A134" s="171" t="str">
        <f>'4.2'!A56</f>
        <v/>
      </c>
      <c r="B134" s="74" t="str">
        <f>'4.2'!B56</f>
        <v/>
      </c>
      <c r="C134" s="74" t="str">
        <f>'4.2'!C56</f>
        <v/>
      </c>
      <c r="D134" s="172" t="str">
        <f>'4.2'!D56</f>
        <v/>
      </c>
      <c r="E134" s="171" t="str">
        <f>'4.2'!E56</f>
        <v/>
      </c>
      <c r="F134" s="173" t="str">
        <f>'4.2'!F56</f>
        <v/>
      </c>
      <c r="G134" s="174">
        <f>'4.2'!G56</f>
        <v>0</v>
      </c>
      <c r="H134" s="120" t="str">
        <f>'4.2'!H56</f>
        <v/>
      </c>
      <c r="I134" s="120" t="str">
        <f>'4.2'!I56</f>
        <v/>
      </c>
    </row>
    <row r="135" ht="14.25" customHeight="1">
      <c r="A135" s="171" t="str">
        <f>'4.2'!A57</f>
        <v/>
      </c>
      <c r="B135" s="74" t="str">
        <f>'4.2'!B57</f>
        <v/>
      </c>
      <c r="C135" s="74" t="str">
        <f>'4.2'!C57</f>
        <v/>
      </c>
      <c r="D135" s="172" t="str">
        <f>'4.2'!D57</f>
        <v/>
      </c>
      <c r="E135" s="171" t="str">
        <f>'4.2'!E57</f>
        <v/>
      </c>
      <c r="F135" s="173" t="str">
        <f>'4.2'!F57</f>
        <v/>
      </c>
      <c r="G135" s="174">
        <f>'4.2'!G57</f>
        <v>0</v>
      </c>
      <c r="H135" s="120" t="str">
        <f>'4.2'!H57</f>
        <v/>
      </c>
      <c r="I135" s="120" t="str">
        <f>'4.2'!I57</f>
        <v/>
      </c>
    </row>
    <row r="136" ht="14.25" customHeight="1">
      <c r="A136" s="171" t="str">
        <f>'4.2'!A58</f>
        <v/>
      </c>
      <c r="B136" s="74" t="str">
        <f>'4.2'!B58</f>
        <v/>
      </c>
      <c r="C136" s="74" t="str">
        <f>'4.2'!C58</f>
        <v/>
      </c>
      <c r="D136" s="172" t="str">
        <f>'4.2'!D58</f>
        <v/>
      </c>
      <c r="E136" s="171" t="str">
        <f>'4.2'!E58</f>
        <v/>
      </c>
      <c r="F136" s="173" t="str">
        <f>'4.2'!F58</f>
        <v/>
      </c>
      <c r="G136" s="174">
        <f>'4.2'!G58</f>
        <v>0</v>
      </c>
      <c r="H136" s="120" t="str">
        <f>'4.2'!H58</f>
        <v/>
      </c>
      <c r="I136" s="120" t="str">
        <f>'4.2'!I58</f>
        <v/>
      </c>
    </row>
    <row r="137" ht="14.25" customHeight="1">
      <c r="A137" s="171" t="str">
        <f>'4.2'!A59</f>
        <v/>
      </c>
      <c r="B137" s="74" t="str">
        <f>'4.2'!B59</f>
        <v/>
      </c>
      <c r="C137" s="74" t="str">
        <f>'4.2'!C59</f>
        <v/>
      </c>
      <c r="D137" s="172" t="str">
        <f>'4.2'!D59</f>
        <v/>
      </c>
      <c r="E137" s="171" t="str">
        <f>'4.2'!E59</f>
        <v/>
      </c>
      <c r="F137" s="173" t="str">
        <f>'4.2'!F59</f>
        <v/>
      </c>
      <c r="G137" s="174">
        <f>'4.2'!G59</f>
        <v>0</v>
      </c>
      <c r="H137" s="120" t="str">
        <f>'4.2'!H59</f>
        <v/>
      </c>
      <c r="I137" s="120" t="str">
        <f>'4.2'!I59</f>
        <v/>
      </c>
    </row>
    <row r="138" ht="14.25" customHeight="1">
      <c r="A138" s="171" t="str">
        <f>'4.2'!A60</f>
        <v/>
      </c>
      <c r="B138" s="74" t="str">
        <f>'4.2'!B60</f>
        <v/>
      </c>
      <c r="C138" s="74" t="str">
        <f>'4.2'!C60</f>
        <v/>
      </c>
      <c r="D138" s="172" t="str">
        <f>'4.2'!D60</f>
        <v/>
      </c>
      <c r="E138" s="171" t="str">
        <f>'4.2'!E60</f>
        <v/>
      </c>
      <c r="F138" s="173" t="str">
        <f>'4.2'!F60</f>
        <v/>
      </c>
      <c r="G138" s="174">
        <f>'4.2'!G60</f>
        <v>0</v>
      </c>
      <c r="H138" s="120" t="str">
        <f>'4.2'!H60</f>
        <v/>
      </c>
      <c r="I138" s="120" t="str">
        <f>'4.2'!I60</f>
        <v/>
      </c>
    </row>
    <row r="139" ht="14.25" customHeight="1">
      <c r="A139" s="127" t="str">
        <f>'4.2'!A61</f>
        <v/>
      </c>
      <c r="B139" s="127" t="str">
        <f>'4.2'!B61</f>
        <v/>
      </c>
      <c r="C139" s="127" t="str">
        <f>'4.2'!C61</f>
        <v/>
      </c>
      <c r="D139" s="127" t="str">
        <f>'4.2'!D61</f>
        <v/>
      </c>
      <c r="E139" s="127" t="str">
        <f>'4.2'!E61</f>
        <v/>
      </c>
      <c r="F139" s="126" t="str">
        <f>'4.2'!F61</f>
        <v/>
      </c>
      <c r="G139" s="3" t="str">
        <f>'4.2'!G61</f>
        <v/>
      </c>
      <c r="H139" s="120" t="str">
        <f>'4.2'!H61</f>
        <v/>
      </c>
      <c r="I139" s="120" t="str">
        <f>'4.2'!I61</f>
        <v/>
      </c>
    </row>
    <row r="140" ht="14.25" customHeight="1">
      <c r="A140" s="175" t="str">
        <f>'4.2'!A62</f>
        <v>TOTAL</v>
      </c>
      <c r="B140" s="176" t="str">
        <f>'4.2'!B62</f>
        <v/>
      </c>
      <c r="C140" s="176" t="str">
        <f>'4.2'!C62</f>
        <v/>
      </c>
      <c r="D140" s="176" t="str">
        <f>'4.2'!D62</f>
        <v/>
      </c>
      <c r="E140" s="176" t="str">
        <f>'4.2'!E62</f>
        <v/>
      </c>
      <c r="F140" s="176" t="str">
        <f>'4.2'!F62</f>
        <v/>
      </c>
      <c r="G140" s="177" t="str">
        <f>'4.2'!G62</f>
        <v/>
      </c>
      <c r="H140" s="176" t="str">
        <f>'4.2'!H62</f>
        <v/>
      </c>
      <c r="I140" s="178">
        <f>'4.2'!I62</f>
        <v>0</v>
      </c>
    </row>
    <row r="141" ht="14.25" customHeight="1">
      <c r="G141" s="3"/>
    </row>
    <row r="142" ht="14.25" customHeight="1">
      <c r="G142" s="3"/>
    </row>
    <row r="143">
      <c r="A143" s="162">
        <f>'4.1'!A3</f>
        <v>45661</v>
      </c>
      <c r="B143" s="163" t="str">
        <f>'2.1.'!B143</f>
        <v>#REF!</v>
      </c>
      <c r="C143" s="164"/>
      <c r="D143" s="164"/>
      <c r="E143" s="164"/>
      <c r="F143" s="164"/>
      <c r="G143" s="165" t="str">
        <f t="shared" ref="G143:I143" si="19">'2.1.'!G143</f>
        <v>#REF!</v>
      </c>
      <c r="H143" s="166" t="str">
        <f t="shared" si="19"/>
        <v>#REF!</v>
      </c>
      <c r="I143" s="167" t="str">
        <f t="shared" si="19"/>
        <v>#REF!</v>
      </c>
    </row>
    <row r="144" ht="14.25" customHeight="1">
      <c r="G144" s="3"/>
    </row>
    <row r="145" ht="14.25" customHeight="1">
      <c r="A145" s="168" t="str">
        <f>'4.1'!A53</f>
        <v>MANO DE OBRA - MATERIALES</v>
      </c>
      <c r="B145" s="76" t="str">
        <f>'4.1'!B53</f>
        <v/>
      </c>
      <c r="C145" s="76" t="str">
        <f>'4.1'!C53</f>
        <v/>
      </c>
      <c r="D145" s="76" t="str">
        <f>'4.1'!D53</f>
        <v/>
      </c>
      <c r="E145" s="76" t="str">
        <f>'4.1'!E53</f>
        <v/>
      </c>
      <c r="F145" s="76" t="str">
        <f>'4.1'!F53</f>
        <v/>
      </c>
      <c r="G145" s="2" t="str">
        <f>'4.1'!G53</f>
        <v/>
      </c>
      <c r="H145" s="76" t="str">
        <f>'4.1'!H53</f>
        <v/>
      </c>
      <c r="I145" s="76" t="str">
        <f>'4.1'!I53</f>
        <v/>
      </c>
    </row>
    <row r="146" ht="14.25" customHeight="1">
      <c r="A146" s="169" t="str">
        <f>'4.1'!A54</f>
        <v>Código</v>
      </c>
      <c r="B146" s="169" t="str">
        <f>'4.1'!B54</f>
        <v>Descripción</v>
      </c>
      <c r="C146" s="169" t="str">
        <f>'4.1'!C54</f>
        <v>Unidad</v>
      </c>
      <c r="D146" s="169" t="str">
        <f>'4.1'!D54</f>
        <v>Cantidad</v>
      </c>
      <c r="E146" s="169" t="str">
        <f>'4.1'!E54</f>
        <v/>
      </c>
      <c r="F146" s="169" t="str">
        <f>'4.1'!F54</f>
        <v>Desperdicio</v>
      </c>
      <c r="G146" s="4" t="str">
        <f>'4.1'!G54</f>
        <v>Cantidad + Desperdicio</v>
      </c>
      <c r="H146" s="169" t="str">
        <f>'4.1'!H54</f>
        <v>Precio Unitario</v>
      </c>
      <c r="I146" s="169" t="str">
        <f>'4.1'!I54</f>
        <v>Subtotal</v>
      </c>
    </row>
    <row r="147" ht="14.25" customHeight="1">
      <c r="A147" s="171" t="str">
        <f>'4.1'!A55</f>
        <v/>
      </c>
      <c r="B147" s="74" t="str">
        <f>'4.1'!B55</f>
        <v/>
      </c>
      <c r="C147" s="74" t="str">
        <f>'4.1'!C55</f>
        <v/>
      </c>
      <c r="D147" s="172" t="str">
        <f>'4.1'!D55</f>
        <v/>
      </c>
      <c r="E147" s="171" t="str">
        <f>'4.1'!E55</f>
        <v/>
      </c>
      <c r="F147" s="173" t="str">
        <f>'4.1'!F55</f>
        <v/>
      </c>
      <c r="G147" s="174">
        <f>'4.1'!G55</f>
        <v>0</v>
      </c>
      <c r="H147" s="120" t="str">
        <f>'4.1'!H55</f>
        <v/>
      </c>
      <c r="I147" s="120" t="str">
        <f>'4.1'!I55</f>
        <v/>
      </c>
    </row>
    <row r="148" ht="14.25" customHeight="1">
      <c r="A148" s="171" t="str">
        <f>'4.1'!A56</f>
        <v/>
      </c>
      <c r="B148" s="74" t="str">
        <f>'4.1'!B56</f>
        <v/>
      </c>
      <c r="C148" s="74" t="str">
        <f>'4.1'!C56</f>
        <v/>
      </c>
      <c r="D148" s="172" t="str">
        <f>'4.1'!D56</f>
        <v/>
      </c>
      <c r="E148" s="171" t="str">
        <f>'4.1'!E56</f>
        <v/>
      </c>
      <c r="F148" s="173" t="str">
        <f>'4.1'!F56</f>
        <v/>
      </c>
      <c r="G148" s="174">
        <f>'4.1'!G56</f>
        <v>0</v>
      </c>
      <c r="H148" s="120" t="str">
        <f>'4.1'!H56</f>
        <v/>
      </c>
      <c r="I148" s="120" t="str">
        <f>'4.1'!I56</f>
        <v/>
      </c>
    </row>
    <row r="149" ht="14.25" customHeight="1">
      <c r="A149" s="171" t="str">
        <f>'4.1'!A57</f>
        <v/>
      </c>
      <c r="B149" s="74" t="str">
        <f>'4.1'!B57</f>
        <v/>
      </c>
      <c r="C149" s="74" t="str">
        <f>'4.1'!C57</f>
        <v/>
      </c>
      <c r="D149" s="172" t="str">
        <f>'4.1'!D57</f>
        <v/>
      </c>
      <c r="E149" s="171" t="str">
        <f>'4.1'!E57</f>
        <v/>
      </c>
      <c r="F149" s="173" t="str">
        <f>'4.1'!F57</f>
        <v/>
      </c>
      <c r="G149" s="174">
        <f>'4.1'!G57</f>
        <v>0</v>
      </c>
      <c r="H149" s="120" t="str">
        <f>'4.1'!H57</f>
        <v/>
      </c>
      <c r="I149" s="120" t="str">
        <f>'4.1'!I57</f>
        <v/>
      </c>
    </row>
    <row r="150" ht="14.25" customHeight="1">
      <c r="A150" s="171" t="str">
        <f>'4.1'!A58</f>
        <v/>
      </c>
      <c r="B150" s="74" t="str">
        <f>'4.1'!B58</f>
        <v/>
      </c>
      <c r="C150" s="74" t="str">
        <f>'4.1'!C58</f>
        <v/>
      </c>
      <c r="D150" s="172" t="str">
        <f>'4.1'!D58</f>
        <v/>
      </c>
      <c r="E150" s="171" t="str">
        <f>'4.1'!E58</f>
        <v/>
      </c>
      <c r="F150" s="173" t="str">
        <f>'4.1'!F58</f>
        <v/>
      </c>
      <c r="G150" s="174">
        <f>'4.1'!G58</f>
        <v>0</v>
      </c>
      <c r="H150" s="120" t="str">
        <f>'4.1'!H58</f>
        <v/>
      </c>
      <c r="I150" s="120" t="str">
        <f>'4.1'!I58</f>
        <v/>
      </c>
    </row>
    <row r="151" ht="14.25" customHeight="1">
      <c r="A151" s="171" t="str">
        <f>'4.1'!A59</f>
        <v/>
      </c>
      <c r="B151" s="74" t="str">
        <f>'4.1'!B59</f>
        <v/>
      </c>
      <c r="C151" s="74" t="str">
        <f>'4.1'!C59</f>
        <v/>
      </c>
      <c r="D151" s="172" t="str">
        <f>'4.1'!D59</f>
        <v/>
      </c>
      <c r="E151" s="171" t="str">
        <f>'4.1'!E59</f>
        <v/>
      </c>
      <c r="F151" s="173" t="str">
        <f>'4.1'!F59</f>
        <v/>
      </c>
      <c r="G151" s="174">
        <f>'4.1'!G59</f>
        <v>0</v>
      </c>
      <c r="H151" s="120" t="str">
        <f>'4.1'!H59</f>
        <v/>
      </c>
      <c r="I151" s="120" t="str">
        <f>'4.1'!I59</f>
        <v/>
      </c>
    </row>
    <row r="152" ht="14.25" customHeight="1">
      <c r="A152" s="171" t="str">
        <f>'4.1'!A60</f>
        <v/>
      </c>
      <c r="B152" s="74" t="str">
        <f>'4.1'!B60</f>
        <v/>
      </c>
      <c r="C152" s="74" t="str">
        <f>'4.1'!C60</f>
        <v/>
      </c>
      <c r="D152" s="172" t="str">
        <f>'4.1'!D60</f>
        <v/>
      </c>
      <c r="E152" s="171" t="str">
        <f>'4.1'!E60</f>
        <v/>
      </c>
      <c r="F152" s="173" t="str">
        <f>'4.1'!F60</f>
        <v/>
      </c>
      <c r="G152" s="174">
        <f>'4.1'!G60</f>
        <v>0</v>
      </c>
      <c r="H152" s="120" t="str">
        <f>'4.1'!H60</f>
        <v/>
      </c>
      <c r="I152" s="120" t="str">
        <f>'4.1'!I60</f>
        <v/>
      </c>
    </row>
    <row r="153" ht="14.25" customHeight="1">
      <c r="A153" s="127" t="str">
        <f>'4.1'!A61</f>
        <v/>
      </c>
      <c r="B153" s="127" t="str">
        <f>'4.1'!B61</f>
        <v/>
      </c>
      <c r="C153" s="127" t="str">
        <f>'4.1'!C61</f>
        <v/>
      </c>
      <c r="D153" s="127" t="str">
        <f>'4.1'!D61</f>
        <v/>
      </c>
      <c r="E153" s="127" t="str">
        <f>'4.1'!E61</f>
        <v/>
      </c>
      <c r="F153" s="126" t="str">
        <f>'4.1'!F61</f>
        <v/>
      </c>
      <c r="G153" s="3" t="str">
        <f>'4.1'!G61</f>
        <v/>
      </c>
      <c r="H153" s="120" t="str">
        <f>'4.1'!H61</f>
        <v/>
      </c>
      <c r="I153" s="120" t="str">
        <f>'4.1'!I61</f>
        <v/>
      </c>
    </row>
    <row r="154" ht="14.25" customHeight="1">
      <c r="A154" s="175" t="str">
        <f>'4.1'!A62</f>
        <v>TOTAL</v>
      </c>
      <c r="B154" s="176" t="str">
        <f>'4.1'!B62</f>
        <v/>
      </c>
      <c r="C154" s="176" t="str">
        <f>'4.1'!C62</f>
        <v/>
      </c>
      <c r="D154" s="176" t="str">
        <f>'4.1'!D62</f>
        <v/>
      </c>
      <c r="E154" s="176" t="str">
        <f>'4.1'!E62</f>
        <v/>
      </c>
      <c r="F154" s="176" t="str">
        <f>'4.1'!F62</f>
        <v/>
      </c>
      <c r="G154" s="177" t="str">
        <f>'4.1'!G62</f>
        <v/>
      </c>
      <c r="H154" s="176" t="str">
        <f>'4.1'!H62</f>
        <v/>
      </c>
      <c r="I154" s="178">
        <f>'4.1'!I62</f>
        <v>0</v>
      </c>
    </row>
    <row r="155" ht="14.25" customHeight="1">
      <c r="G155" s="3"/>
    </row>
    <row r="156" ht="14.25" customHeight="1">
      <c r="G156" s="3"/>
    </row>
    <row r="157">
      <c r="A157" s="162">
        <f>'4.3'!A3</f>
        <v>45720</v>
      </c>
      <c r="B157" s="163" t="str">
        <f>'2.1.'!B157</f>
        <v>#REF!</v>
      </c>
      <c r="C157" s="164"/>
      <c r="D157" s="164"/>
      <c r="E157" s="164"/>
      <c r="F157" s="164"/>
      <c r="G157" s="165" t="str">
        <f t="shared" ref="G157:I157" si="20">'2.1.'!G157</f>
        <v>#REF!</v>
      </c>
      <c r="H157" s="166" t="str">
        <f t="shared" si="20"/>
        <v>#REF!</v>
      </c>
      <c r="I157" s="167" t="str">
        <f t="shared" si="20"/>
        <v>#REF!</v>
      </c>
    </row>
    <row r="158" ht="14.25" customHeight="1">
      <c r="G158" s="3"/>
    </row>
    <row r="159" ht="14.25" customHeight="1">
      <c r="A159" s="168" t="str">
        <f>'4.3'!A53</f>
        <v>MANO DE OBRA - MATERIALES</v>
      </c>
      <c r="B159" s="76" t="str">
        <f>'4.3'!B53</f>
        <v/>
      </c>
      <c r="C159" s="76" t="str">
        <f>'4.3'!C53</f>
        <v/>
      </c>
      <c r="D159" s="76" t="str">
        <f>'4.3'!D53</f>
        <v/>
      </c>
      <c r="E159" s="76" t="str">
        <f>'4.3'!E53</f>
        <v/>
      </c>
      <c r="F159" s="76" t="str">
        <f>'4.3'!F53</f>
        <v/>
      </c>
      <c r="G159" s="2" t="str">
        <f>'4.3'!G53</f>
        <v/>
      </c>
      <c r="H159" s="76" t="str">
        <f>'4.3'!H53</f>
        <v/>
      </c>
      <c r="I159" s="76" t="str">
        <f>'4.3'!I53</f>
        <v/>
      </c>
    </row>
    <row r="160" ht="14.25" customHeight="1">
      <c r="A160" s="169" t="str">
        <f>'4.3'!A54</f>
        <v>Código</v>
      </c>
      <c r="B160" s="169" t="str">
        <f>'4.3'!B54</f>
        <v>Descripción</v>
      </c>
      <c r="C160" s="169" t="str">
        <f>'4.3'!C54</f>
        <v>Unidad</v>
      </c>
      <c r="D160" s="169" t="str">
        <f>'4.3'!D54</f>
        <v>Cantidad</v>
      </c>
      <c r="E160" s="169" t="str">
        <f>'4.3'!E54</f>
        <v/>
      </c>
      <c r="F160" s="169" t="str">
        <f>'4.3'!F54</f>
        <v>Desperdicio</v>
      </c>
      <c r="G160" s="4" t="str">
        <f>'4.3'!G54</f>
        <v>Cantidad + Desperdicio</v>
      </c>
      <c r="H160" s="169" t="str">
        <f>'4.3'!H54</f>
        <v>Precio Unitario</v>
      </c>
      <c r="I160" s="169" t="str">
        <f>'4.3'!I54</f>
        <v>Subtotal</v>
      </c>
    </row>
    <row r="161" ht="14.25" customHeight="1">
      <c r="A161" s="171" t="str">
        <f>'4.3'!A55</f>
        <v/>
      </c>
      <c r="B161" s="74" t="str">
        <f>'4.3'!B55</f>
        <v/>
      </c>
      <c r="C161" s="74" t="str">
        <f>'4.3'!C55</f>
        <v/>
      </c>
      <c r="D161" s="172" t="str">
        <f>'4.3'!D55</f>
        <v/>
      </c>
      <c r="E161" s="171" t="str">
        <f>'4.3'!E55</f>
        <v/>
      </c>
      <c r="F161" s="173" t="str">
        <f>'4.3'!F55</f>
        <v/>
      </c>
      <c r="G161" s="174">
        <f>'4.3'!G55</f>
        <v>0</v>
      </c>
      <c r="H161" s="120" t="str">
        <f>'4.3'!H55</f>
        <v/>
      </c>
      <c r="I161" s="120" t="str">
        <f>'4.3'!I55</f>
        <v/>
      </c>
    </row>
    <row r="162" ht="14.25" customHeight="1">
      <c r="A162" s="171" t="str">
        <f>'4.3'!A56</f>
        <v/>
      </c>
      <c r="B162" s="74" t="str">
        <f>'4.3'!B56</f>
        <v/>
      </c>
      <c r="C162" s="74" t="str">
        <f>'4.3'!C56</f>
        <v/>
      </c>
      <c r="D162" s="172" t="str">
        <f>'4.3'!D56</f>
        <v/>
      </c>
      <c r="E162" s="171" t="str">
        <f>'4.3'!E56</f>
        <v/>
      </c>
      <c r="F162" s="173" t="str">
        <f>'4.3'!F56</f>
        <v/>
      </c>
      <c r="G162" s="174">
        <f>'4.3'!G56</f>
        <v>0</v>
      </c>
      <c r="H162" s="120" t="str">
        <f>'4.3'!H56</f>
        <v/>
      </c>
      <c r="I162" s="120" t="str">
        <f>'4.3'!I56</f>
        <v/>
      </c>
    </row>
    <row r="163" ht="14.25" customHeight="1">
      <c r="A163" s="171" t="str">
        <f>'4.3'!A57</f>
        <v/>
      </c>
      <c r="B163" s="74" t="str">
        <f>'4.3'!B57</f>
        <v/>
      </c>
      <c r="C163" s="74" t="str">
        <f>'4.3'!C57</f>
        <v/>
      </c>
      <c r="D163" s="172" t="str">
        <f>'4.3'!D57</f>
        <v/>
      </c>
      <c r="E163" s="171" t="str">
        <f>'4.3'!E57</f>
        <v/>
      </c>
      <c r="F163" s="173" t="str">
        <f>'4.3'!F57</f>
        <v/>
      </c>
      <c r="G163" s="174">
        <f>'4.3'!G57</f>
        <v>0</v>
      </c>
      <c r="H163" s="120" t="str">
        <f>'4.3'!H57</f>
        <v/>
      </c>
      <c r="I163" s="120" t="str">
        <f>'4.3'!I57</f>
        <v/>
      </c>
    </row>
    <row r="164" ht="14.25" customHeight="1">
      <c r="A164" s="171" t="str">
        <f>'4.3'!A58</f>
        <v/>
      </c>
      <c r="B164" s="74" t="str">
        <f>'4.3'!B58</f>
        <v/>
      </c>
      <c r="C164" s="74" t="str">
        <f>'4.3'!C58</f>
        <v/>
      </c>
      <c r="D164" s="172" t="str">
        <f>'4.3'!D58</f>
        <v/>
      </c>
      <c r="E164" s="171" t="str">
        <f>'4.3'!E58</f>
        <v/>
      </c>
      <c r="F164" s="173" t="str">
        <f>'4.3'!F58</f>
        <v/>
      </c>
      <c r="G164" s="174">
        <f>'4.3'!G58</f>
        <v>0</v>
      </c>
      <c r="H164" s="120" t="str">
        <f>'4.3'!H58</f>
        <v/>
      </c>
      <c r="I164" s="120" t="str">
        <f>'4.3'!I58</f>
        <v/>
      </c>
    </row>
    <row r="165" ht="14.25" customHeight="1">
      <c r="A165" s="171" t="str">
        <f>'4.3'!A59</f>
        <v/>
      </c>
      <c r="B165" s="74" t="str">
        <f>'4.3'!B59</f>
        <v/>
      </c>
      <c r="C165" s="74" t="str">
        <f>'4.3'!C59</f>
        <v/>
      </c>
      <c r="D165" s="172" t="str">
        <f>'4.3'!D59</f>
        <v/>
      </c>
      <c r="E165" s="171" t="str">
        <f>'4.3'!E59</f>
        <v/>
      </c>
      <c r="F165" s="173" t="str">
        <f>'4.3'!F59</f>
        <v/>
      </c>
      <c r="G165" s="174">
        <f>'4.3'!G59</f>
        <v>0</v>
      </c>
      <c r="H165" s="120" t="str">
        <f>'4.3'!H59</f>
        <v/>
      </c>
      <c r="I165" s="120" t="str">
        <f>'4.3'!I59</f>
        <v/>
      </c>
    </row>
    <row r="166" ht="14.25" customHeight="1">
      <c r="A166" s="171" t="str">
        <f>'4.3'!A60</f>
        <v/>
      </c>
      <c r="B166" s="74" t="str">
        <f>'4.3'!B60</f>
        <v/>
      </c>
      <c r="C166" s="74" t="str">
        <f>'4.3'!C60</f>
        <v/>
      </c>
      <c r="D166" s="172" t="str">
        <f>'4.3'!D60</f>
        <v/>
      </c>
      <c r="E166" s="171" t="str">
        <f>'4.3'!E60</f>
        <v/>
      </c>
      <c r="F166" s="173" t="str">
        <f>'4.3'!F60</f>
        <v/>
      </c>
      <c r="G166" s="174">
        <f>'4.3'!G60</f>
        <v>0</v>
      </c>
      <c r="H166" s="120" t="str">
        <f>'4.3'!H60</f>
        <v/>
      </c>
      <c r="I166" s="120" t="str">
        <f>'4.3'!I60</f>
        <v/>
      </c>
    </row>
    <row r="167" ht="14.25" customHeight="1">
      <c r="A167" s="127" t="str">
        <f>'4.3'!A61</f>
        <v/>
      </c>
      <c r="B167" s="127" t="str">
        <f>'4.3'!B61</f>
        <v/>
      </c>
      <c r="C167" s="127" t="str">
        <f>'4.3'!C61</f>
        <v/>
      </c>
      <c r="D167" s="127" t="str">
        <f>'4.3'!D61</f>
        <v/>
      </c>
      <c r="E167" s="127" t="str">
        <f>'4.3'!E61</f>
        <v/>
      </c>
      <c r="F167" s="126" t="str">
        <f>'4.3'!F61</f>
        <v/>
      </c>
      <c r="G167" s="3" t="str">
        <f>'4.3'!G61</f>
        <v/>
      </c>
      <c r="H167" s="120" t="str">
        <f>'4.3'!H61</f>
        <v/>
      </c>
      <c r="I167" s="120" t="str">
        <f>'4.3'!I61</f>
        <v/>
      </c>
    </row>
    <row r="168" ht="14.25" customHeight="1">
      <c r="A168" s="175" t="str">
        <f>'4.3'!A62</f>
        <v>TOTAL</v>
      </c>
      <c r="B168" s="176" t="str">
        <f>'4.3'!B62</f>
        <v/>
      </c>
      <c r="C168" s="176" t="str">
        <f>'4.3'!C62</f>
        <v/>
      </c>
      <c r="D168" s="176" t="str">
        <f>'4.3'!D62</f>
        <v/>
      </c>
      <c r="E168" s="176" t="str">
        <f>'4.3'!E62</f>
        <v/>
      </c>
      <c r="F168" s="176" t="str">
        <f>'4.3'!F62</f>
        <v/>
      </c>
      <c r="G168" s="177" t="str">
        <f>'4.3'!G62</f>
        <v/>
      </c>
      <c r="H168" s="176" t="str">
        <f>'4.3'!H62</f>
        <v/>
      </c>
      <c r="I168" s="178">
        <f>'4.3'!I62</f>
        <v>0</v>
      </c>
    </row>
    <row r="169" ht="14.25" customHeight="1">
      <c r="G169" s="3"/>
    </row>
    <row r="170" ht="14.25" customHeight="1">
      <c r="G170" s="3"/>
    </row>
    <row r="171">
      <c r="A171" s="162" t="str">
        <f>'2.13.'!A3</f>
        <v>#REF!</v>
      </c>
      <c r="B171" s="163" t="str">
        <f>'2.1.'!B171</f>
        <v>#REF!</v>
      </c>
      <c r="C171" s="164"/>
      <c r="D171" s="164"/>
      <c r="E171" s="164"/>
      <c r="F171" s="164"/>
      <c r="G171" s="165" t="str">
        <f t="shared" ref="G171:I171" si="21">'2.1.'!G171</f>
        <v>#REF!</v>
      </c>
      <c r="H171" s="166" t="str">
        <f t="shared" si="21"/>
        <v>#REF!</v>
      </c>
      <c r="I171" s="167" t="str">
        <f t="shared" si="21"/>
        <v>#REF!</v>
      </c>
    </row>
    <row r="172" ht="14.25" customHeight="1">
      <c r="G172" s="3"/>
    </row>
    <row r="173" ht="14.25" customHeight="1">
      <c r="A173" s="168" t="str">
        <f t="shared" ref="A173:I173" si="22">'2.13.'!A53</f>
        <v>#REF!</v>
      </c>
      <c r="B173" s="76" t="str">
        <f t="shared" si="22"/>
        <v>#REF!</v>
      </c>
      <c r="C173" s="76" t="str">
        <f t="shared" si="22"/>
        <v>#REF!</v>
      </c>
      <c r="D173" s="76" t="str">
        <f t="shared" si="22"/>
        <v>#REF!</v>
      </c>
      <c r="E173" s="76" t="str">
        <f t="shared" si="22"/>
        <v>#REF!</v>
      </c>
      <c r="F173" s="76" t="str">
        <f t="shared" si="22"/>
        <v>#REF!</v>
      </c>
      <c r="G173" s="2" t="str">
        <f t="shared" si="22"/>
        <v>#REF!</v>
      </c>
      <c r="H173" s="76" t="str">
        <f t="shared" si="22"/>
        <v>#REF!</v>
      </c>
      <c r="I173" s="76" t="str">
        <f t="shared" si="22"/>
        <v>#REF!</v>
      </c>
    </row>
    <row r="174" ht="14.25" customHeight="1">
      <c r="A174" s="169" t="str">
        <f t="shared" ref="A174:I174" si="23">'2.13.'!A54</f>
        <v>#REF!</v>
      </c>
      <c r="B174" s="169" t="str">
        <f t="shared" si="23"/>
        <v>#REF!</v>
      </c>
      <c r="C174" s="169" t="str">
        <f t="shared" si="23"/>
        <v>#REF!</v>
      </c>
      <c r="D174" s="169" t="str">
        <f t="shared" si="23"/>
        <v>#REF!</v>
      </c>
      <c r="E174" s="169" t="str">
        <f t="shared" si="23"/>
        <v>#REF!</v>
      </c>
      <c r="F174" s="169" t="str">
        <f t="shared" si="23"/>
        <v>#REF!</v>
      </c>
      <c r="G174" s="4" t="str">
        <f t="shared" si="23"/>
        <v>#REF!</v>
      </c>
      <c r="H174" s="169" t="str">
        <f t="shared" si="23"/>
        <v>#REF!</v>
      </c>
      <c r="I174" s="169" t="str">
        <f t="shared" si="23"/>
        <v>#REF!</v>
      </c>
    </row>
    <row r="175" ht="14.25" customHeight="1">
      <c r="A175" s="171" t="str">
        <f t="shared" ref="A175:I175" si="24">'2.13.'!A55</f>
        <v>#REF!</v>
      </c>
      <c r="B175" s="74" t="str">
        <f t="shared" si="24"/>
        <v>#REF!</v>
      </c>
      <c r="C175" s="74" t="str">
        <f t="shared" si="24"/>
        <v>#REF!</v>
      </c>
      <c r="D175" s="172" t="str">
        <f t="shared" si="24"/>
        <v>#REF!</v>
      </c>
      <c r="E175" s="171" t="str">
        <f t="shared" si="24"/>
        <v>#REF!</v>
      </c>
      <c r="F175" s="173" t="str">
        <f t="shared" si="24"/>
        <v>#REF!</v>
      </c>
      <c r="G175" s="174" t="str">
        <f t="shared" si="24"/>
        <v>#REF!</v>
      </c>
      <c r="H175" s="120" t="str">
        <f t="shared" si="24"/>
        <v>#REF!</v>
      </c>
      <c r="I175" s="120" t="str">
        <f t="shared" si="24"/>
        <v>#REF!</v>
      </c>
    </row>
    <row r="176" ht="14.25" customHeight="1">
      <c r="A176" s="171" t="str">
        <f t="shared" ref="A176:I176" si="25">'2.13.'!A56</f>
        <v>#REF!</v>
      </c>
      <c r="B176" s="74" t="str">
        <f t="shared" si="25"/>
        <v>#REF!</v>
      </c>
      <c r="C176" s="74" t="str">
        <f t="shared" si="25"/>
        <v>#REF!</v>
      </c>
      <c r="D176" s="172" t="str">
        <f t="shared" si="25"/>
        <v>#REF!</v>
      </c>
      <c r="E176" s="171" t="str">
        <f t="shared" si="25"/>
        <v>#REF!</v>
      </c>
      <c r="F176" s="173" t="str">
        <f t="shared" si="25"/>
        <v>#REF!</v>
      </c>
      <c r="G176" s="174" t="str">
        <f t="shared" si="25"/>
        <v>#REF!</v>
      </c>
      <c r="H176" s="120" t="str">
        <f t="shared" si="25"/>
        <v>#REF!</v>
      </c>
      <c r="I176" s="120" t="str">
        <f t="shared" si="25"/>
        <v>#REF!</v>
      </c>
    </row>
    <row r="177" ht="14.25" customHeight="1">
      <c r="A177" s="171" t="str">
        <f t="shared" ref="A177:I177" si="26">'2.13.'!A57</f>
        <v>#REF!</v>
      </c>
      <c r="B177" s="74" t="str">
        <f t="shared" si="26"/>
        <v>#REF!</v>
      </c>
      <c r="C177" s="74" t="str">
        <f t="shared" si="26"/>
        <v>#REF!</v>
      </c>
      <c r="D177" s="172" t="str">
        <f t="shared" si="26"/>
        <v>#REF!</v>
      </c>
      <c r="E177" s="171" t="str">
        <f t="shared" si="26"/>
        <v>#REF!</v>
      </c>
      <c r="F177" s="173" t="str">
        <f t="shared" si="26"/>
        <v>#REF!</v>
      </c>
      <c r="G177" s="174" t="str">
        <f t="shared" si="26"/>
        <v>#REF!</v>
      </c>
      <c r="H177" s="120" t="str">
        <f t="shared" si="26"/>
        <v>#REF!</v>
      </c>
      <c r="I177" s="120" t="str">
        <f t="shared" si="26"/>
        <v>#REF!</v>
      </c>
    </row>
    <row r="178" ht="14.25" customHeight="1">
      <c r="A178" s="171" t="str">
        <f t="shared" ref="A178:I178" si="27">'2.13.'!A58</f>
        <v>#REF!</v>
      </c>
      <c r="B178" s="74" t="str">
        <f t="shared" si="27"/>
        <v>#REF!</v>
      </c>
      <c r="C178" s="74" t="str">
        <f t="shared" si="27"/>
        <v>#REF!</v>
      </c>
      <c r="D178" s="172" t="str">
        <f t="shared" si="27"/>
        <v>#REF!</v>
      </c>
      <c r="E178" s="171" t="str">
        <f t="shared" si="27"/>
        <v>#REF!</v>
      </c>
      <c r="F178" s="173" t="str">
        <f t="shared" si="27"/>
        <v>#REF!</v>
      </c>
      <c r="G178" s="174" t="str">
        <f t="shared" si="27"/>
        <v>#REF!</v>
      </c>
      <c r="H178" s="120" t="str">
        <f t="shared" si="27"/>
        <v>#REF!</v>
      </c>
      <c r="I178" s="120" t="str">
        <f t="shared" si="27"/>
        <v>#REF!</v>
      </c>
    </row>
    <row r="179" ht="14.25" customHeight="1">
      <c r="A179" s="171" t="str">
        <f t="shared" ref="A179:I179" si="28">'2.13.'!A59</f>
        <v>#REF!</v>
      </c>
      <c r="B179" s="74" t="str">
        <f t="shared" si="28"/>
        <v>#REF!</v>
      </c>
      <c r="C179" s="74" t="str">
        <f t="shared" si="28"/>
        <v>#REF!</v>
      </c>
      <c r="D179" s="172" t="str">
        <f t="shared" si="28"/>
        <v>#REF!</v>
      </c>
      <c r="E179" s="171" t="str">
        <f t="shared" si="28"/>
        <v>#REF!</v>
      </c>
      <c r="F179" s="173" t="str">
        <f t="shared" si="28"/>
        <v>#REF!</v>
      </c>
      <c r="G179" s="174" t="str">
        <f t="shared" si="28"/>
        <v>#REF!</v>
      </c>
      <c r="H179" s="120" t="str">
        <f t="shared" si="28"/>
        <v>#REF!</v>
      </c>
      <c r="I179" s="120" t="str">
        <f t="shared" si="28"/>
        <v>#REF!</v>
      </c>
    </row>
    <row r="180" ht="14.25" customHeight="1">
      <c r="A180" s="171" t="str">
        <f t="shared" ref="A180:I180" si="29">'2.13.'!A60</f>
        <v>#REF!</v>
      </c>
      <c r="B180" s="74" t="str">
        <f t="shared" si="29"/>
        <v>#REF!</v>
      </c>
      <c r="C180" s="74" t="str">
        <f t="shared" si="29"/>
        <v>#REF!</v>
      </c>
      <c r="D180" s="172" t="str">
        <f t="shared" si="29"/>
        <v>#REF!</v>
      </c>
      <c r="E180" s="171" t="str">
        <f t="shared" si="29"/>
        <v>#REF!</v>
      </c>
      <c r="F180" s="173" t="str">
        <f t="shared" si="29"/>
        <v>#REF!</v>
      </c>
      <c r="G180" s="174" t="str">
        <f t="shared" si="29"/>
        <v>#REF!</v>
      </c>
      <c r="H180" s="120" t="str">
        <f t="shared" si="29"/>
        <v>#REF!</v>
      </c>
      <c r="I180" s="120" t="str">
        <f t="shared" si="29"/>
        <v>#REF!</v>
      </c>
    </row>
    <row r="181" ht="14.25" customHeight="1">
      <c r="A181" s="127" t="str">
        <f t="shared" ref="A181:I181" si="30">'2.13.'!A61</f>
        <v>#REF!</v>
      </c>
      <c r="B181" s="127" t="str">
        <f t="shared" si="30"/>
        <v>#REF!</v>
      </c>
      <c r="C181" s="127" t="str">
        <f t="shared" si="30"/>
        <v>#REF!</v>
      </c>
      <c r="D181" s="127" t="str">
        <f t="shared" si="30"/>
        <v>#REF!</v>
      </c>
      <c r="E181" s="127" t="str">
        <f t="shared" si="30"/>
        <v>#REF!</v>
      </c>
      <c r="F181" s="126" t="str">
        <f t="shared" si="30"/>
        <v>#REF!</v>
      </c>
      <c r="G181" s="3" t="str">
        <f t="shared" si="30"/>
        <v>#REF!</v>
      </c>
      <c r="H181" s="120" t="str">
        <f t="shared" si="30"/>
        <v>#REF!</v>
      </c>
      <c r="I181" s="120" t="str">
        <f t="shared" si="30"/>
        <v>#REF!</v>
      </c>
    </row>
    <row r="182" ht="14.25" customHeight="1">
      <c r="A182" s="175" t="str">
        <f t="shared" ref="A182:I182" si="31">'2.13.'!A62</f>
        <v>#REF!</v>
      </c>
      <c r="B182" s="176" t="str">
        <f t="shared" si="31"/>
        <v>#REF!</v>
      </c>
      <c r="C182" s="176" t="str">
        <f t="shared" si="31"/>
        <v>#REF!</v>
      </c>
      <c r="D182" s="176" t="str">
        <f t="shared" si="31"/>
        <v>#REF!</v>
      </c>
      <c r="E182" s="176" t="str">
        <f t="shared" si="31"/>
        <v>#REF!</v>
      </c>
      <c r="F182" s="176" t="str">
        <f t="shared" si="31"/>
        <v>#REF!</v>
      </c>
      <c r="G182" s="177" t="str">
        <f t="shared" si="31"/>
        <v>#REF!</v>
      </c>
      <c r="H182" s="176" t="str">
        <f t="shared" si="31"/>
        <v>#REF!</v>
      </c>
      <c r="I182" s="178" t="str">
        <f t="shared" si="31"/>
        <v>#REF!</v>
      </c>
    </row>
    <row r="183" ht="14.25" customHeight="1">
      <c r="G183" s="3"/>
    </row>
    <row r="184" ht="14.25" customHeight="1">
      <c r="G184" s="3"/>
    </row>
    <row r="185">
      <c r="A185" s="162" t="str">
        <f>'2.14.'!A3</f>
        <v>#REF!</v>
      </c>
      <c r="B185" s="163" t="str">
        <f>'2.1.'!B185</f>
        <v>#REF!</v>
      </c>
      <c r="C185" s="164"/>
      <c r="D185" s="164"/>
      <c r="E185" s="164"/>
      <c r="F185" s="164"/>
      <c r="G185" s="165" t="str">
        <f t="shared" ref="G185:I185" si="32">'2.1.'!G185</f>
        <v>#REF!</v>
      </c>
      <c r="H185" s="166" t="str">
        <f t="shared" si="32"/>
        <v>#REF!</v>
      </c>
      <c r="I185" s="167" t="str">
        <f t="shared" si="32"/>
        <v>#REF!</v>
      </c>
    </row>
    <row r="186" ht="14.25" customHeight="1">
      <c r="G186" s="3"/>
    </row>
    <row r="187" ht="14.25" customHeight="1">
      <c r="A187" s="168" t="str">
        <f t="shared" ref="A187:I187" si="33">'2.14.'!A53</f>
        <v>#REF!</v>
      </c>
      <c r="B187" s="76" t="str">
        <f t="shared" si="33"/>
        <v>#REF!</v>
      </c>
      <c r="C187" s="76" t="str">
        <f t="shared" si="33"/>
        <v>#REF!</v>
      </c>
      <c r="D187" s="76" t="str">
        <f t="shared" si="33"/>
        <v>#REF!</v>
      </c>
      <c r="E187" s="76" t="str">
        <f t="shared" si="33"/>
        <v>#REF!</v>
      </c>
      <c r="F187" s="76" t="str">
        <f t="shared" si="33"/>
        <v>#REF!</v>
      </c>
      <c r="G187" s="2" t="str">
        <f t="shared" si="33"/>
        <v>#REF!</v>
      </c>
      <c r="H187" s="76" t="str">
        <f t="shared" si="33"/>
        <v>#REF!</v>
      </c>
      <c r="I187" s="76" t="str">
        <f t="shared" si="33"/>
        <v>#REF!</v>
      </c>
    </row>
    <row r="188" ht="14.25" customHeight="1">
      <c r="A188" s="169" t="str">
        <f t="shared" ref="A188:I188" si="34">'2.14.'!A54</f>
        <v>#REF!</v>
      </c>
      <c r="B188" s="169" t="str">
        <f t="shared" si="34"/>
        <v>#REF!</v>
      </c>
      <c r="C188" s="169" t="str">
        <f t="shared" si="34"/>
        <v>#REF!</v>
      </c>
      <c r="D188" s="169" t="str">
        <f t="shared" si="34"/>
        <v>#REF!</v>
      </c>
      <c r="E188" s="169" t="str">
        <f t="shared" si="34"/>
        <v>#REF!</v>
      </c>
      <c r="F188" s="169" t="str">
        <f t="shared" si="34"/>
        <v>#REF!</v>
      </c>
      <c r="G188" s="4" t="str">
        <f t="shared" si="34"/>
        <v>#REF!</v>
      </c>
      <c r="H188" s="169" t="str">
        <f t="shared" si="34"/>
        <v>#REF!</v>
      </c>
      <c r="I188" s="169" t="str">
        <f t="shared" si="34"/>
        <v>#REF!</v>
      </c>
    </row>
    <row r="189" ht="14.25" customHeight="1">
      <c r="A189" s="171" t="str">
        <f t="shared" ref="A189:I189" si="35">'2.14.'!A55</f>
        <v>#REF!</v>
      </c>
      <c r="B189" s="74" t="str">
        <f t="shared" si="35"/>
        <v>#REF!</v>
      </c>
      <c r="C189" s="74" t="str">
        <f t="shared" si="35"/>
        <v>#REF!</v>
      </c>
      <c r="D189" s="172" t="str">
        <f t="shared" si="35"/>
        <v>#REF!</v>
      </c>
      <c r="E189" s="171" t="str">
        <f t="shared" si="35"/>
        <v>#REF!</v>
      </c>
      <c r="F189" s="173" t="str">
        <f t="shared" si="35"/>
        <v>#REF!</v>
      </c>
      <c r="G189" s="174" t="str">
        <f t="shared" si="35"/>
        <v>#REF!</v>
      </c>
      <c r="H189" s="120" t="str">
        <f t="shared" si="35"/>
        <v>#REF!</v>
      </c>
      <c r="I189" s="120" t="str">
        <f t="shared" si="35"/>
        <v>#REF!</v>
      </c>
    </row>
    <row r="190" ht="14.25" customHeight="1">
      <c r="A190" s="171" t="str">
        <f t="shared" ref="A190:I190" si="36">'2.14.'!A56</f>
        <v>#REF!</v>
      </c>
      <c r="B190" s="74" t="str">
        <f t="shared" si="36"/>
        <v>#REF!</v>
      </c>
      <c r="C190" s="74" t="str">
        <f t="shared" si="36"/>
        <v>#REF!</v>
      </c>
      <c r="D190" s="172" t="str">
        <f t="shared" si="36"/>
        <v>#REF!</v>
      </c>
      <c r="E190" s="171" t="str">
        <f t="shared" si="36"/>
        <v>#REF!</v>
      </c>
      <c r="F190" s="173" t="str">
        <f t="shared" si="36"/>
        <v>#REF!</v>
      </c>
      <c r="G190" s="174" t="str">
        <f t="shared" si="36"/>
        <v>#REF!</v>
      </c>
      <c r="H190" s="120" t="str">
        <f t="shared" si="36"/>
        <v>#REF!</v>
      </c>
      <c r="I190" s="120" t="str">
        <f t="shared" si="36"/>
        <v>#REF!</v>
      </c>
    </row>
    <row r="191" ht="14.25" customHeight="1">
      <c r="A191" s="171" t="str">
        <f t="shared" ref="A191:I191" si="37">'2.14.'!A57</f>
        <v>#REF!</v>
      </c>
      <c r="B191" s="74" t="str">
        <f t="shared" si="37"/>
        <v>#REF!</v>
      </c>
      <c r="C191" s="74" t="str">
        <f t="shared" si="37"/>
        <v>#REF!</v>
      </c>
      <c r="D191" s="172" t="str">
        <f t="shared" si="37"/>
        <v>#REF!</v>
      </c>
      <c r="E191" s="171" t="str">
        <f t="shared" si="37"/>
        <v>#REF!</v>
      </c>
      <c r="F191" s="173" t="str">
        <f t="shared" si="37"/>
        <v>#REF!</v>
      </c>
      <c r="G191" s="174" t="str">
        <f t="shared" si="37"/>
        <v>#REF!</v>
      </c>
      <c r="H191" s="120" t="str">
        <f t="shared" si="37"/>
        <v>#REF!</v>
      </c>
      <c r="I191" s="120" t="str">
        <f t="shared" si="37"/>
        <v>#REF!</v>
      </c>
    </row>
    <row r="192" ht="14.25" customHeight="1">
      <c r="A192" s="171" t="str">
        <f t="shared" ref="A192:I192" si="38">'2.14.'!A58</f>
        <v>#REF!</v>
      </c>
      <c r="B192" s="74" t="str">
        <f t="shared" si="38"/>
        <v>#REF!</v>
      </c>
      <c r="C192" s="74" t="str">
        <f t="shared" si="38"/>
        <v>#REF!</v>
      </c>
      <c r="D192" s="172" t="str">
        <f t="shared" si="38"/>
        <v>#REF!</v>
      </c>
      <c r="E192" s="171" t="str">
        <f t="shared" si="38"/>
        <v>#REF!</v>
      </c>
      <c r="F192" s="173" t="str">
        <f t="shared" si="38"/>
        <v>#REF!</v>
      </c>
      <c r="G192" s="174" t="str">
        <f t="shared" si="38"/>
        <v>#REF!</v>
      </c>
      <c r="H192" s="120" t="str">
        <f t="shared" si="38"/>
        <v>#REF!</v>
      </c>
      <c r="I192" s="120" t="str">
        <f t="shared" si="38"/>
        <v>#REF!</v>
      </c>
    </row>
    <row r="193" ht="14.25" customHeight="1">
      <c r="A193" s="171" t="str">
        <f t="shared" ref="A193:I193" si="39">'2.14.'!A59</f>
        <v>#REF!</v>
      </c>
      <c r="B193" s="74" t="str">
        <f t="shared" si="39"/>
        <v>#REF!</v>
      </c>
      <c r="C193" s="74" t="str">
        <f t="shared" si="39"/>
        <v>#REF!</v>
      </c>
      <c r="D193" s="172" t="str">
        <f t="shared" si="39"/>
        <v>#REF!</v>
      </c>
      <c r="E193" s="171" t="str">
        <f t="shared" si="39"/>
        <v>#REF!</v>
      </c>
      <c r="F193" s="173" t="str">
        <f t="shared" si="39"/>
        <v>#REF!</v>
      </c>
      <c r="G193" s="174" t="str">
        <f t="shared" si="39"/>
        <v>#REF!</v>
      </c>
      <c r="H193" s="120" t="str">
        <f t="shared" si="39"/>
        <v>#REF!</v>
      </c>
      <c r="I193" s="120" t="str">
        <f t="shared" si="39"/>
        <v>#REF!</v>
      </c>
    </row>
    <row r="194" ht="14.25" customHeight="1">
      <c r="A194" s="171" t="str">
        <f t="shared" ref="A194:I194" si="40">'2.14.'!A60</f>
        <v>#REF!</v>
      </c>
      <c r="B194" s="74" t="str">
        <f t="shared" si="40"/>
        <v>#REF!</v>
      </c>
      <c r="C194" s="74" t="str">
        <f t="shared" si="40"/>
        <v>#REF!</v>
      </c>
      <c r="D194" s="172" t="str">
        <f t="shared" si="40"/>
        <v>#REF!</v>
      </c>
      <c r="E194" s="171" t="str">
        <f t="shared" si="40"/>
        <v>#REF!</v>
      </c>
      <c r="F194" s="173" t="str">
        <f t="shared" si="40"/>
        <v>#REF!</v>
      </c>
      <c r="G194" s="174" t="str">
        <f t="shared" si="40"/>
        <v>#REF!</v>
      </c>
      <c r="H194" s="120" t="str">
        <f t="shared" si="40"/>
        <v>#REF!</v>
      </c>
      <c r="I194" s="120" t="str">
        <f t="shared" si="40"/>
        <v>#REF!</v>
      </c>
    </row>
    <row r="195" ht="14.25" customHeight="1">
      <c r="A195" s="127" t="str">
        <f t="shared" ref="A195:I195" si="41">'2.14.'!A61</f>
        <v>#REF!</v>
      </c>
      <c r="B195" s="127" t="str">
        <f t="shared" si="41"/>
        <v>#REF!</v>
      </c>
      <c r="C195" s="127" t="str">
        <f t="shared" si="41"/>
        <v>#REF!</v>
      </c>
      <c r="D195" s="127" t="str">
        <f t="shared" si="41"/>
        <v>#REF!</v>
      </c>
      <c r="E195" s="127" t="str">
        <f t="shared" si="41"/>
        <v>#REF!</v>
      </c>
      <c r="F195" s="126" t="str">
        <f t="shared" si="41"/>
        <v>#REF!</v>
      </c>
      <c r="G195" s="3" t="str">
        <f t="shared" si="41"/>
        <v>#REF!</v>
      </c>
      <c r="H195" s="120" t="str">
        <f t="shared" si="41"/>
        <v>#REF!</v>
      </c>
      <c r="I195" s="120" t="str">
        <f t="shared" si="41"/>
        <v>#REF!</v>
      </c>
    </row>
    <row r="196" ht="14.25" customHeight="1">
      <c r="A196" s="175" t="str">
        <f t="shared" ref="A196:I196" si="42">'2.14.'!A62</f>
        <v>#REF!</v>
      </c>
      <c r="B196" s="176" t="str">
        <f t="shared" si="42"/>
        <v>#REF!</v>
      </c>
      <c r="C196" s="176" t="str">
        <f t="shared" si="42"/>
        <v>#REF!</v>
      </c>
      <c r="D196" s="176" t="str">
        <f t="shared" si="42"/>
        <v>#REF!</v>
      </c>
      <c r="E196" s="176" t="str">
        <f t="shared" si="42"/>
        <v>#REF!</v>
      </c>
      <c r="F196" s="176" t="str">
        <f t="shared" si="42"/>
        <v>#REF!</v>
      </c>
      <c r="G196" s="177" t="str">
        <f t="shared" si="42"/>
        <v>#REF!</v>
      </c>
      <c r="H196" s="176" t="str">
        <f t="shared" si="42"/>
        <v>#REF!</v>
      </c>
      <c r="I196" s="178" t="str">
        <f t="shared" si="42"/>
        <v>#REF!</v>
      </c>
    </row>
    <row r="197" ht="14.25" customHeight="1">
      <c r="G197" s="3"/>
    </row>
    <row r="198" ht="14.25" customHeight="1">
      <c r="G198" s="3"/>
    </row>
    <row r="199">
      <c r="A199" s="162" t="str">
        <f>'2.15.'!A3</f>
        <v>#REF!</v>
      </c>
      <c r="B199" s="163" t="str">
        <f>'2.1.'!B199</f>
        <v>#REF!</v>
      </c>
      <c r="C199" s="164"/>
      <c r="D199" s="164"/>
      <c r="E199" s="164"/>
      <c r="F199" s="164"/>
      <c r="G199" s="165" t="str">
        <f t="shared" ref="G199:I199" si="43">'2.1.'!G199</f>
        <v>#REF!</v>
      </c>
      <c r="H199" s="166" t="str">
        <f t="shared" si="43"/>
        <v>#REF!</v>
      </c>
      <c r="I199" s="167" t="str">
        <f t="shared" si="43"/>
        <v>#REF!</v>
      </c>
    </row>
    <row r="200" ht="14.25" customHeight="1">
      <c r="G200" s="3"/>
    </row>
    <row r="201" ht="14.25" customHeight="1">
      <c r="A201" s="168" t="str">
        <f t="shared" ref="A201:I201" si="44">'2.15.'!A53</f>
        <v>#REF!</v>
      </c>
      <c r="B201" s="76" t="str">
        <f t="shared" si="44"/>
        <v>#REF!</v>
      </c>
      <c r="C201" s="76" t="str">
        <f t="shared" si="44"/>
        <v>#REF!</v>
      </c>
      <c r="D201" s="76" t="str">
        <f t="shared" si="44"/>
        <v>#REF!</v>
      </c>
      <c r="E201" s="76" t="str">
        <f t="shared" si="44"/>
        <v>#REF!</v>
      </c>
      <c r="F201" s="76" t="str">
        <f t="shared" si="44"/>
        <v>#REF!</v>
      </c>
      <c r="G201" s="2" t="str">
        <f t="shared" si="44"/>
        <v>#REF!</v>
      </c>
      <c r="H201" s="76" t="str">
        <f t="shared" si="44"/>
        <v>#REF!</v>
      </c>
      <c r="I201" s="76" t="str">
        <f t="shared" si="44"/>
        <v>#REF!</v>
      </c>
    </row>
    <row r="202" ht="14.25" customHeight="1">
      <c r="A202" s="169" t="str">
        <f t="shared" ref="A202:I202" si="45">'2.15.'!A54</f>
        <v>#REF!</v>
      </c>
      <c r="B202" s="169" t="str">
        <f t="shared" si="45"/>
        <v>#REF!</v>
      </c>
      <c r="C202" s="169" t="str">
        <f t="shared" si="45"/>
        <v>#REF!</v>
      </c>
      <c r="D202" s="169" t="str">
        <f t="shared" si="45"/>
        <v>#REF!</v>
      </c>
      <c r="E202" s="169" t="str">
        <f t="shared" si="45"/>
        <v>#REF!</v>
      </c>
      <c r="F202" s="169" t="str">
        <f t="shared" si="45"/>
        <v>#REF!</v>
      </c>
      <c r="G202" s="4" t="str">
        <f t="shared" si="45"/>
        <v>#REF!</v>
      </c>
      <c r="H202" s="169" t="str">
        <f t="shared" si="45"/>
        <v>#REF!</v>
      </c>
      <c r="I202" s="169" t="str">
        <f t="shared" si="45"/>
        <v>#REF!</v>
      </c>
    </row>
    <row r="203" ht="14.25" customHeight="1">
      <c r="A203" s="171" t="str">
        <f t="shared" ref="A203:I203" si="46">'2.15.'!A55</f>
        <v>#REF!</v>
      </c>
      <c r="B203" s="74" t="str">
        <f t="shared" si="46"/>
        <v>#REF!</v>
      </c>
      <c r="C203" s="74" t="str">
        <f t="shared" si="46"/>
        <v>#REF!</v>
      </c>
      <c r="D203" s="172" t="str">
        <f t="shared" si="46"/>
        <v>#REF!</v>
      </c>
      <c r="E203" s="171" t="str">
        <f t="shared" si="46"/>
        <v>#REF!</v>
      </c>
      <c r="F203" s="173" t="str">
        <f t="shared" si="46"/>
        <v>#REF!</v>
      </c>
      <c r="G203" s="174" t="str">
        <f t="shared" si="46"/>
        <v>#REF!</v>
      </c>
      <c r="H203" s="120" t="str">
        <f t="shared" si="46"/>
        <v>#REF!</v>
      </c>
      <c r="I203" s="120" t="str">
        <f t="shared" si="46"/>
        <v>#REF!</v>
      </c>
    </row>
    <row r="204" ht="14.25" customHeight="1">
      <c r="A204" s="171" t="str">
        <f t="shared" ref="A204:I204" si="47">'2.15.'!A56</f>
        <v>#REF!</v>
      </c>
      <c r="B204" s="74" t="str">
        <f t="shared" si="47"/>
        <v>#REF!</v>
      </c>
      <c r="C204" s="74" t="str">
        <f t="shared" si="47"/>
        <v>#REF!</v>
      </c>
      <c r="D204" s="172" t="str">
        <f t="shared" si="47"/>
        <v>#REF!</v>
      </c>
      <c r="E204" s="171" t="str">
        <f t="shared" si="47"/>
        <v>#REF!</v>
      </c>
      <c r="F204" s="173" t="str">
        <f t="shared" si="47"/>
        <v>#REF!</v>
      </c>
      <c r="G204" s="174" t="str">
        <f t="shared" si="47"/>
        <v>#REF!</v>
      </c>
      <c r="H204" s="120" t="str">
        <f t="shared" si="47"/>
        <v>#REF!</v>
      </c>
      <c r="I204" s="120" t="str">
        <f t="shared" si="47"/>
        <v>#REF!</v>
      </c>
    </row>
    <row r="205" ht="14.25" customHeight="1">
      <c r="A205" s="171" t="str">
        <f t="shared" ref="A205:I205" si="48">'2.15.'!A57</f>
        <v>#REF!</v>
      </c>
      <c r="B205" s="74" t="str">
        <f t="shared" si="48"/>
        <v>#REF!</v>
      </c>
      <c r="C205" s="74" t="str">
        <f t="shared" si="48"/>
        <v>#REF!</v>
      </c>
      <c r="D205" s="172" t="str">
        <f t="shared" si="48"/>
        <v>#REF!</v>
      </c>
      <c r="E205" s="171" t="str">
        <f t="shared" si="48"/>
        <v>#REF!</v>
      </c>
      <c r="F205" s="173" t="str">
        <f t="shared" si="48"/>
        <v>#REF!</v>
      </c>
      <c r="G205" s="174" t="str">
        <f t="shared" si="48"/>
        <v>#REF!</v>
      </c>
      <c r="H205" s="120" t="str">
        <f t="shared" si="48"/>
        <v>#REF!</v>
      </c>
      <c r="I205" s="120" t="str">
        <f t="shared" si="48"/>
        <v>#REF!</v>
      </c>
    </row>
    <row r="206" ht="14.25" customHeight="1">
      <c r="A206" s="171" t="str">
        <f t="shared" ref="A206:I206" si="49">'2.15.'!A58</f>
        <v>#REF!</v>
      </c>
      <c r="B206" s="74" t="str">
        <f t="shared" si="49"/>
        <v>#REF!</v>
      </c>
      <c r="C206" s="74" t="str">
        <f t="shared" si="49"/>
        <v>#REF!</v>
      </c>
      <c r="D206" s="172" t="str">
        <f t="shared" si="49"/>
        <v>#REF!</v>
      </c>
      <c r="E206" s="171" t="str">
        <f t="shared" si="49"/>
        <v>#REF!</v>
      </c>
      <c r="F206" s="173" t="str">
        <f t="shared" si="49"/>
        <v>#REF!</v>
      </c>
      <c r="G206" s="174" t="str">
        <f t="shared" si="49"/>
        <v>#REF!</v>
      </c>
      <c r="H206" s="120" t="str">
        <f t="shared" si="49"/>
        <v>#REF!</v>
      </c>
      <c r="I206" s="120" t="str">
        <f t="shared" si="49"/>
        <v>#REF!</v>
      </c>
    </row>
    <row r="207" ht="14.25" customHeight="1">
      <c r="A207" s="171" t="str">
        <f t="shared" ref="A207:I207" si="50">'2.15.'!A59</f>
        <v>#REF!</v>
      </c>
      <c r="B207" s="74" t="str">
        <f t="shared" si="50"/>
        <v>#REF!</v>
      </c>
      <c r="C207" s="74" t="str">
        <f t="shared" si="50"/>
        <v>#REF!</v>
      </c>
      <c r="D207" s="172" t="str">
        <f t="shared" si="50"/>
        <v>#REF!</v>
      </c>
      <c r="E207" s="171" t="str">
        <f t="shared" si="50"/>
        <v>#REF!</v>
      </c>
      <c r="F207" s="173" t="str">
        <f t="shared" si="50"/>
        <v>#REF!</v>
      </c>
      <c r="G207" s="174" t="str">
        <f t="shared" si="50"/>
        <v>#REF!</v>
      </c>
      <c r="H207" s="120" t="str">
        <f t="shared" si="50"/>
        <v>#REF!</v>
      </c>
      <c r="I207" s="120" t="str">
        <f t="shared" si="50"/>
        <v>#REF!</v>
      </c>
    </row>
    <row r="208" ht="14.25" customHeight="1">
      <c r="A208" s="171" t="str">
        <f t="shared" ref="A208:I208" si="51">'2.15.'!A60</f>
        <v>#REF!</v>
      </c>
      <c r="B208" s="74" t="str">
        <f t="shared" si="51"/>
        <v>#REF!</v>
      </c>
      <c r="C208" s="74" t="str">
        <f t="shared" si="51"/>
        <v>#REF!</v>
      </c>
      <c r="D208" s="172" t="str">
        <f t="shared" si="51"/>
        <v>#REF!</v>
      </c>
      <c r="E208" s="171" t="str">
        <f t="shared" si="51"/>
        <v>#REF!</v>
      </c>
      <c r="F208" s="173" t="str">
        <f t="shared" si="51"/>
        <v>#REF!</v>
      </c>
      <c r="G208" s="174" t="str">
        <f t="shared" si="51"/>
        <v>#REF!</v>
      </c>
      <c r="H208" s="120" t="str">
        <f t="shared" si="51"/>
        <v>#REF!</v>
      </c>
      <c r="I208" s="120" t="str">
        <f t="shared" si="51"/>
        <v>#REF!</v>
      </c>
    </row>
    <row r="209" ht="14.25" customHeight="1">
      <c r="A209" s="127" t="str">
        <f t="shared" ref="A209:I209" si="52">'2.15.'!A61</f>
        <v>#REF!</v>
      </c>
      <c r="B209" s="127" t="str">
        <f t="shared" si="52"/>
        <v>#REF!</v>
      </c>
      <c r="C209" s="127" t="str">
        <f t="shared" si="52"/>
        <v>#REF!</v>
      </c>
      <c r="D209" s="127" t="str">
        <f t="shared" si="52"/>
        <v>#REF!</v>
      </c>
      <c r="E209" s="127" t="str">
        <f t="shared" si="52"/>
        <v>#REF!</v>
      </c>
      <c r="F209" s="126" t="str">
        <f t="shared" si="52"/>
        <v>#REF!</v>
      </c>
      <c r="G209" s="3" t="str">
        <f t="shared" si="52"/>
        <v>#REF!</v>
      </c>
      <c r="H209" s="120" t="str">
        <f t="shared" si="52"/>
        <v>#REF!</v>
      </c>
      <c r="I209" s="120" t="str">
        <f t="shared" si="52"/>
        <v>#REF!</v>
      </c>
    </row>
    <row r="210" ht="14.25" customHeight="1">
      <c r="A210" s="175" t="str">
        <f t="shared" ref="A210:I210" si="53">'2.15.'!A62</f>
        <v>#REF!</v>
      </c>
      <c r="B210" s="176" t="str">
        <f t="shared" si="53"/>
        <v>#REF!</v>
      </c>
      <c r="C210" s="176" t="str">
        <f t="shared" si="53"/>
        <v>#REF!</v>
      </c>
      <c r="D210" s="176" t="str">
        <f t="shared" si="53"/>
        <v>#REF!</v>
      </c>
      <c r="E210" s="176" t="str">
        <f t="shared" si="53"/>
        <v>#REF!</v>
      </c>
      <c r="F210" s="176" t="str">
        <f t="shared" si="53"/>
        <v>#REF!</v>
      </c>
      <c r="G210" s="177" t="str">
        <f t="shared" si="53"/>
        <v>#REF!</v>
      </c>
      <c r="H210" s="176" t="str">
        <f t="shared" si="53"/>
        <v>#REF!</v>
      </c>
      <c r="I210" s="178" t="str">
        <f t="shared" si="53"/>
        <v>#REF!</v>
      </c>
    </row>
    <row r="211" ht="14.25" customHeight="1">
      <c r="G211" s="3"/>
    </row>
    <row r="212" ht="14.25" customHeight="1">
      <c r="G212" s="3"/>
    </row>
    <row r="213">
      <c r="A213" s="162" t="str">
        <f>'2.16.'!A3</f>
        <v>#REF!</v>
      </c>
      <c r="B213" s="163" t="str">
        <f>'2.1.'!B213</f>
        <v>#REF!</v>
      </c>
      <c r="C213" s="164"/>
      <c r="D213" s="164"/>
      <c r="E213" s="164"/>
      <c r="F213" s="164"/>
      <c r="G213" s="165" t="str">
        <f t="shared" ref="G213:I213" si="54">'2.1.'!G213</f>
        <v>#REF!</v>
      </c>
      <c r="H213" s="166" t="str">
        <f t="shared" si="54"/>
        <v>#REF!</v>
      </c>
      <c r="I213" s="167" t="str">
        <f t="shared" si="54"/>
        <v>#REF!</v>
      </c>
    </row>
    <row r="214" ht="14.25" customHeight="1">
      <c r="G214" s="3"/>
    </row>
    <row r="215" ht="14.25" customHeight="1">
      <c r="A215" s="168" t="str">
        <f t="shared" ref="A215:I215" si="55">'2.16.'!A53</f>
        <v>#REF!</v>
      </c>
      <c r="B215" s="76" t="str">
        <f t="shared" si="55"/>
        <v>#REF!</v>
      </c>
      <c r="C215" s="76" t="str">
        <f t="shared" si="55"/>
        <v>#REF!</v>
      </c>
      <c r="D215" s="76" t="str">
        <f t="shared" si="55"/>
        <v>#REF!</v>
      </c>
      <c r="E215" s="76" t="str">
        <f t="shared" si="55"/>
        <v>#REF!</v>
      </c>
      <c r="F215" s="76" t="str">
        <f t="shared" si="55"/>
        <v>#REF!</v>
      </c>
      <c r="G215" s="2" t="str">
        <f t="shared" si="55"/>
        <v>#REF!</v>
      </c>
      <c r="H215" s="76" t="str">
        <f t="shared" si="55"/>
        <v>#REF!</v>
      </c>
      <c r="I215" s="76" t="str">
        <f t="shared" si="55"/>
        <v>#REF!</v>
      </c>
    </row>
    <row r="216" ht="14.25" customHeight="1">
      <c r="A216" s="169" t="str">
        <f t="shared" ref="A216:I216" si="56">'2.16.'!A54</f>
        <v>#REF!</v>
      </c>
      <c r="B216" s="169" t="str">
        <f t="shared" si="56"/>
        <v>#REF!</v>
      </c>
      <c r="C216" s="169" t="str">
        <f t="shared" si="56"/>
        <v>#REF!</v>
      </c>
      <c r="D216" s="169" t="str">
        <f t="shared" si="56"/>
        <v>#REF!</v>
      </c>
      <c r="E216" s="169" t="str">
        <f t="shared" si="56"/>
        <v>#REF!</v>
      </c>
      <c r="F216" s="169" t="str">
        <f t="shared" si="56"/>
        <v>#REF!</v>
      </c>
      <c r="G216" s="4" t="str">
        <f t="shared" si="56"/>
        <v>#REF!</v>
      </c>
      <c r="H216" s="169" t="str">
        <f t="shared" si="56"/>
        <v>#REF!</v>
      </c>
      <c r="I216" s="169" t="str">
        <f t="shared" si="56"/>
        <v>#REF!</v>
      </c>
    </row>
    <row r="217" ht="14.25" customHeight="1">
      <c r="A217" s="171" t="str">
        <f t="shared" ref="A217:I217" si="57">'2.16.'!A55</f>
        <v>#REF!</v>
      </c>
      <c r="B217" s="74" t="str">
        <f t="shared" si="57"/>
        <v>#REF!</v>
      </c>
      <c r="C217" s="74" t="str">
        <f t="shared" si="57"/>
        <v>#REF!</v>
      </c>
      <c r="D217" s="172" t="str">
        <f t="shared" si="57"/>
        <v>#REF!</v>
      </c>
      <c r="E217" s="171" t="str">
        <f t="shared" si="57"/>
        <v>#REF!</v>
      </c>
      <c r="F217" s="173" t="str">
        <f t="shared" si="57"/>
        <v>#REF!</v>
      </c>
      <c r="G217" s="174" t="str">
        <f t="shared" si="57"/>
        <v>#REF!</v>
      </c>
      <c r="H217" s="120" t="str">
        <f t="shared" si="57"/>
        <v>#REF!</v>
      </c>
      <c r="I217" s="120" t="str">
        <f t="shared" si="57"/>
        <v>#REF!</v>
      </c>
    </row>
    <row r="218" ht="14.25" customHeight="1">
      <c r="A218" s="171" t="str">
        <f t="shared" ref="A218:I218" si="58">'2.16.'!A56</f>
        <v>#REF!</v>
      </c>
      <c r="B218" s="74" t="str">
        <f t="shared" si="58"/>
        <v>#REF!</v>
      </c>
      <c r="C218" s="74" t="str">
        <f t="shared" si="58"/>
        <v>#REF!</v>
      </c>
      <c r="D218" s="172" t="str">
        <f t="shared" si="58"/>
        <v>#REF!</v>
      </c>
      <c r="E218" s="171" t="str">
        <f t="shared" si="58"/>
        <v>#REF!</v>
      </c>
      <c r="F218" s="173" t="str">
        <f t="shared" si="58"/>
        <v>#REF!</v>
      </c>
      <c r="G218" s="174" t="str">
        <f t="shared" si="58"/>
        <v>#REF!</v>
      </c>
      <c r="H218" s="120" t="str">
        <f t="shared" si="58"/>
        <v>#REF!</v>
      </c>
      <c r="I218" s="120" t="str">
        <f t="shared" si="58"/>
        <v>#REF!</v>
      </c>
    </row>
    <row r="219" ht="14.25" customHeight="1">
      <c r="A219" s="171" t="str">
        <f t="shared" ref="A219:I219" si="59">'2.16.'!A57</f>
        <v>#REF!</v>
      </c>
      <c r="B219" s="74" t="str">
        <f t="shared" si="59"/>
        <v>#REF!</v>
      </c>
      <c r="C219" s="74" t="str">
        <f t="shared" si="59"/>
        <v>#REF!</v>
      </c>
      <c r="D219" s="172" t="str">
        <f t="shared" si="59"/>
        <v>#REF!</v>
      </c>
      <c r="E219" s="171" t="str">
        <f t="shared" si="59"/>
        <v>#REF!</v>
      </c>
      <c r="F219" s="173" t="str">
        <f t="shared" si="59"/>
        <v>#REF!</v>
      </c>
      <c r="G219" s="174" t="str">
        <f t="shared" si="59"/>
        <v>#REF!</v>
      </c>
      <c r="H219" s="120" t="str">
        <f t="shared" si="59"/>
        <v>#REF!</v>
      </c>
      <c r="I219" s="120" t="str">
        <f t="shared" si="59"/>
        <v>#REF!</v>
      </c>
    </row>
    <row r="220" ht="14.25" customHeight="1">
      <c r="A220" s="171" t="str">
        <f t="shared" ref="A220:I220" si="60">'2.16.'!A58</f>
        <v>#REF!</v>
      </c>
      <c r="B220" s="74" t="str">
        <f t="shared" si="60"/>
        <v>#REF!</v>
      </c>
      <c r="C220" s="74" t="str">
        <f t="shared" si="60"/>
        <v>#REF!</v>
      </c>
      <c r="D220" s="172" t="str">
        <f t="shared" si="60"/>
        <v>#REF!</v>
      </c>
      <c r="E220" s="171" t="str">
        <f t="shared" si="60"/>
        <v>#REF!</v>
      </c>
      <c r="F220" s="173" t="str">
        <f t="shared" si="60"/>
        <v>#REF!</v>
      </c>
      <c r="G220" s="174" t="str">
        <f t="shared" si="60"/>
        <v>#REF!</v>
      </c>
      <c r="H220" s="120" t="str">
        <f t="shared" si="60"/>
        <v>#REF!</v>
      </c>
      <c r="I220" s="120" t="str">
        <f t="shared" si="60"/>
        <v>#REF!</v>
      </c>
    </row>
    <row r="221" ht="14.25" customHeight="1">
      <c r="A221" s="171" t="str">
        <f t="shared" ref="A221:I221" si="61">'2.16.'!A59</f>
        <v>#REF!</v>
      </c>
      <c r="B221" s="74" t="str">
        <f t="shared" si="61"/>
        <v>#REF!</v>
      </c>
      <c r="C221" s="74" t="str">
        <f t="shared" si="61"/>
        <v>#REF!</v>
      </c>
      <c r="D221" s="172" t="str">
        <f t="shared" si="61"/>
        <v>#REF!</v>
      </c>
      <c r="E221" s="171" t="str">
        <f t="shared" si="61"/>
        <v>#REF!</v>
      </c>
      <c r="F221" s="173" t="str">
        <f t="shared" si="61"/>
        <v>#REF!</v>
      </c>
      <c r="G221" s="174" t="str">
        <f t="shared" si="61"/>
        <v>#REF!</v>
      </c>
      <c r="H221" s="120" t="str">
        <f t="shared" si="61"/>
        <v>#REF!</v>
      </c>
      <c r="I221" s="120" t="str">
        <f t="shared" si="61"/>
        <v>#REF!</v>
      </c>
    </row>
    <row r="222" ht="14.25" customHeight="1">
      <c r="A222" s="171" t="str">
        <f t="shared" ref="A222:I222" si="62">'2.16.'!A60</f>
        <v>#REF!</v>
      </c>
      <c r="B222" s="74" t="str">
        <f t="shared" si="62"/>
        <v>#REF!</v>
      </c>
      <c r="C222" s="74" t="str">
        <f t="shared" si="62"/>
        <v>#REF!</v>
      </c>
      <c r="D222" s="172" t="str">
        <f t="shared" si="62"/>
        <v>#REF!</v>
      </c>
      <c r="E222" s="171" t="str">
        <f t="shared" si="62"/>
        <v>#REF!</v>
      </c>
      <c r="F222" s="173" t="str">
        <f t="shared" si="62"/>
        <v>#REF!</v>
      </c>
      <c r="G222" s="174" t="str">
        <f t="shared" si="62"/>
        <v>#REF!</v>
      </c>
      <c r="H222" s="120" t="str">
        <f t="shared" si="62"/>
        <v>#REF!</v>
      </c>
      <c r="I222" s="120" t="str">
        <f t="shared" si="62"/>
        <v>#REF!</v>
      </c>
    </row>
    <row r="223" ht="14.25" customHeight="1">
      <c r="A223" s="127" t="str">
        <f t="shared" ref="A223:I223" si="63">'2.16.'!A61</f>
        <v>#REF!</v>
      </c>
      <c r="B223" s="127" t="str">
        <f t="shared" si="63"/>
        <v>#REF!</v>
      </c>
      <c r="C223" s="127" t="str">
        <f t="shared" si="63"/>
        <v>#REF!</v>
      </c>
      <c r="D223" s="127" t="str">
        <f t="shared" si="63"/>
        <v>#REF!</v>
      </c>
      <c r="E223" s="127" t="str">
        <f t="shared" si="63"/>
        <v>#REF!</v>
      </c>
      <c r="F223" s="126" t="str">
        <f t="shared" si="63"/>
        <v>#REF!</v>
      </c>
      <c r="G223" s="3" t="str">
        <f t="shared" si="63"/>
        <v>#REF!</v>
      </c>
      <c r="H223" s="120" t="str">
        <f t="shared" si="63"/>
        <v>#REF!</v>
      </c>
      <c r="I223" s="120" t="str">
        <f t="shared" si="63"/>
        <v>#REF!</v>
      </c>
    </row>
    <row r="224" ht="14.25" customHeight="1">
      <c r="A224" s="175" t="str">
        <f t="shared" ref="A224:I224" si="64">'2.16.'!A62</f>
        <v>#REF!</v>
      </c>
      <c r="B224" s="176" t="str">
        <f t="shared" si="64"/>
        <v>#REF!</v>
      </c>
      <c r="C224" s="176" t="str">
        <f t="shared" si="64"/>
        <v>#REF!</v>
      </c>
      <c r="D224" s="176" t="str">
        <f t="shared" si="64"/>
        <v>#REF!</v>
      </c>
      <c r="E224" s="176" t="str">
        <f t="shared" si="64"/>
        <v>#REF!</v>
      </c>
      <c r="F224" s="176" t="str">
        <f t="shared" si="64"/>
        <v>#REF!</v>
      </c>
      <c r="G224" s="177" t="str">
        <f t="shared" si="64"/>
        <v>#REF!</v>
      </c>
      <c r="H224" s="176" t="str">
        <f t="shared" si="64"/>
        <v>#REF!</v>
      </c>
      <c r="I224" s="178" t="str">
        <f t="shared" si="64"/>
        <v>#REF!</v>
      </c>
    </row>
    <row r="225" ht="14.25" customHeight="1">
      <c r="G225" s="3"/>
    </row>
    <row r="226" ht="14.25" customHeight="1">
      <c r="G226" s="3"/>
    </row>
    <row r="227">
      <c r="A227" s="162" t="str">
        <f>'2.17.'!A3</f>
        <v>#REF!</v>
      </c>
      <c r="B227" s="163" t="str">
        <f>'2.1.'!B227</f>
        <v>#REF!</v>
      </c>
      <c r="C227" s="164"/>
      <c r="D227" s="164"/>
      <c r="E227" s="164"/>
      <c r="F227" s="164"/>
      <c r="G227" s="165" t="str">
        <f t="shared" ref="G227:I227" si="65">'2.1.'!G227</f>
        <v>#REF!</v>
      </c>
      <c r="H227" s="166" t="str">
        <f t="shared" si="65"/>
        <v>#REF!</v>
      </c>
      <c r="I227" s="167" t="str">
        <f t="shared" si="65"/>
        <v>#REF!</v>
      </c>
    </row>
    <row r="228" ht="14.25" customHeight="1">
      <c r="G228" s="3"/>
    </row>
    <row r="229" ht="14.25" customHeight="1">
      <c r="A229" s="168" t="str">
        <f t="shared" ref="A229:I229" si="66">'2.17.'!A53</f>
        <v>#REF!</v>
      </c>
      <c r="B229" s="76" t="str">
        <f t="shared" si="66"/>
        <v>#REF!</v>
      </c>
      <c r="C229" s="76" t="str">
        <f t="shared" si="66"/>
        <v>#REF!</v>
      </c>
      <c r="D229" s="76" t="str">
        <f t="shared" si="66"/>
        <v>#REF!</v>
      </c>
      <c r="E229" s="76" t="str">
        <f t="shared" si="66"/>
        <v>#REF!</v>
      </c>
      <c r="F229" s="76" t="str">
        <f t="shared" si="66"/>
        <v>#REF!</v>
      </c>
      <c r="G229" s="2" t="str">
        <f t="shared" si="66"/>
        <v>#REF!</v>
      </c>
      <c r="H229" s="76" t="str">
        <f t="shared" si="66"/>
        <v>#REF!</v>
      </c>
      <c r="I229" s="76" t="str">
        <f t="shared" si="66"/>
        <v>#REF!</v>
      </c>
    </row>
    <row r="230" ht="14.25" customHeight="1">
      <c r="A230" s="169" t="str">
        <f t="shared" ref="A230:I230" si="67">'2.17.'!A54</f>
        <v>#REF!</v>
      </c>
      <c r="B230" s="169" t="str">
        <f t="shared" si="67"/>
        <v>#REF!</v>
      </c>
      <c r="C230" s="169" t="str">
        <f t="shared" si="67"/>
        <v>#REF!</v>
      </c>
      <c r="D230" s="169" t="str">
        <f t="shared" si="67"/>
        <v>#REF!</v>
      </c>
      <c r="E230" s="169" t="str">
        <f t="shared" si="67"/>
        <v>#REF!</v>
      </c>
      <c r="F230" s="169" t="str">
        <f t="shared" si="67"/>
        <v>#REF!</v>
      </c>
      <c r="G230" s="4" t="str">
        <f t="shared" si="67"/>
        <v>#REF!</v>
      </c>
      <c r="H230" s="169" t="str">
        <f t="shared" si="67"/>
        <v>#REF!</v>
      </c>
      <c r="I230" s="169" t="str">
        <f t="shared" si="67"/>
        <v>#REF!</v>
      </c>
    </row>
    <row r="231" ht="14.25" customHeight="1">
      <c r="A231" s="171" t="str">
        <f t="shared" ref="A231:I231" si="68">'2.17.'!A55</f>
        <v>#REF!</v>
      </c>
      <c r="B231" s="74" t="str">
        <f t="shared" si="68"/>
        <v>#REF!</v>
      </c>
      <c r="C231" s="74" t="str">
        <f t="shared" si="68"/>
        <v>#REF!</v>
      </c>
      <c r="D231" s="172" t="str">
        <f t="shared" si="68"/>
        <v>#REF!</v>
      </c>
      <c r="E231" s="171" t="str">
        <f t="shared" si="68"/>
        <v>#REF!</v>
      </c>
      <c r="F231" s="173" t="str">
        <f t="shared" si="68"/>
        <v>#REF!</v>
      </c>
      <c r="G231" s="174" t="str">
        <f t="shared" si="68"/>
        <v>#REF!</v>
      </c>
      <c r="H231" s="120" t="str">
        <f t="shared" si="68"/>
        <v>#REF!</v>
      </c>
      <c r="I231" s="120" t="str">
        <f t="shared" si="68"/>
        <v>#REF!</v>
      </c>
    </row>
    <row r="232" ht="14.25" customHeight="1">
      <c r="A232" s="171" t="str">
        <f t="shared" ref="A232:I232" si="69">'2.17.'!A56</f>
        <v>#REF!</v>
      </c>
      <c r="B232" s="74" t="str">
        <f t="shared" si="69"/>
        <v>#REF!</v>
      </c>
      <c r="C232" s="74" t="str">
        <f t="shared" si="69"/>
        <v>#REF!</v>
      </c>
      <c r="D232" s="172" t="str">
        <f t="shared" si="69"/>
        <v>#REF!</v>
      </c>
      <c r="E232" s="171" t="str">
        <f t="shared" si="69"/>
        <v>#REF!</v>
      </c>
      <c r="F232" s="173" t="str">
        <f t="shared" si="69"/>
        <v>#REF!</v>
      </c>
      <c r="G232" s="174" t="str">
        <f t="shared" si="69"/>
        <v>#REF!</v>
      </c>
      <c r="H232" s="120" t="str">
        <f t="shared" si="69"/>
        <v>#REF!</v>
      </c>
      <c r="I232" s="120" t="str">
        <f t="shared" si="69"/>
        <v>#REF!</v>
      </c>
    </row>
    <row r="233" ht="14.25" customHeight="1">
      <c r="A233" s="171" t="str">
        <f t="shared" ref="A233:I233" si="70">'2.17.'!A57</f>
        <v>#REF!</v>
      </c>
      <c r="B233" s="74" t="str">
        <f t="shared" si="70"/>
        <v>#REF!</v>
      </c>
      <c r="C233" s="74" t="str">
        <f t="shared" si="70"/>
        <v>#REF!</v>
      </c>
      <c r="D233" s="172" t="str">
        <f t="shared" si="70"/>
        <v>#REF!</v>
      </c>
      <c r="E233" s="171" t="str">
        <f t="shared" si="70"/>
        <v>#REF!</v>
      </c>
      <c r="F233" s="173" t="str">
        <f t="shared" si="70"/>
        <v>#REF!</v>
      </c>
      <c r="G233" s="174" t="str">
        <f t="shared" si="70"/>
        <v>#REF!</v>
      </c>
      <c r="H233" s="120" t="str">
        <f t="shared" si="70"/>
        <v>#REF!</v>
      </c>
      <c r="I233" s="120" t="str">
        <f t="shared" si="70"/>
        <v>#REF!</v>
      </c>
    </row>
    <row r="234" ht="14.25" customHeight="1">
      <c r="A234" s="171" t="str">
        <f t="shared" ref="A234:I234" si="71">'2.17.'!A58</f>
        <v>#REF!</v>
      </c>
      <c r="B234" s="74" t="str">
        <f t="shared" si="71"/>
        <v>#REF!</v>
      </c>
      <c r="C234" s="74" t="str">
        <f t="shared" si="71"/>
        <v>#REF!</v>
      </c>
      <c r="D234" s="172" t="str">
        <f t="shared" si="71"/>
        <v>#REF!</v>
      </c>
      <c r="E234" s="171" t="str">
        <f t="shared" si="71"/>
        <v>#REF!</v>
      </c>
      <c r="F234" s="173" t="str">
        <f t="shared" si="71"/>
        <v>#REF!</v>
      </c>
      <c r="G234" s="174" t="str">
        <f t="shared" si="71"/>
        <v>#REF!</v>
      </c>
      <c r="H234" s="120" t="str">
        <f t="shared" si="71"/>
        <v>#REF!</v>
      </c>
      <c r="I234" s="120" t="str">
        <f t="shared" si="71"/>
        <v>#REF!</v>
      </c>
    </row>
    <row r="235" ht="14.25" customHeight="1">
      <c r="A235" s="171" t="str">
        <f t="shared" ref="A235:I235" si="72">'2.17.'!A59</f>
        <v>#REF!</v>
      </c>
      <c r="B235" s="74" t="str">
        <f t="shared" si="72"/>
        <v>#REF!</v>
      </c>
      <c r="C235" s="74" t="str">
        <f t="shared" si="72"/>
        <v>#REF!</v>
      </c>
      <c r="D235" s="172" t="str">
        <f t="shared" si="72"/>
        <v>#REF!</v>
      </c>
      <c r="E235" s="171" t="str">
        <f t="shared" si="72"/>
        <v>#REF!</v>
      </c>
      <c r="F235" s="173" t="str">
        <f t="shared" si="72"/>
        <v>#REF!</v>
      </c>
      <c r="G235" s="174" t="str">
        <f t="shared" si="72"/>
        <v>#REF!</v>
      </c>
      <c r="H235" s="120" t="str">
        <f t="shared" si="72"/>
        <v>#REF!</v>
      </c>
      <c r="I235" s="120" t="str">
        <f t="shared" si="72"/>
        <v>#REF!</v>
      </c>
    </row>
    <row r="236" ht="14.25" customHeight="1">
      <c r="A236" s="171" t="str">
        <f t="shared" ref="A236:I236" si="73">'2.17.'!A60</f>
        <v>#REF!</v>
      </c>
      <c r="B236" s="74" t="str">
        <f t="shared" si="73"/>
        <v>#REF!</v>
      </c>
      <c r="C236" s="74" t="str">
        <f t="shared" si="73"/>
        <v>#REF!</v>
      </c>
      <c r="D236" s="172" t="str">
        <f t="shared" si="73"/>
        <v>#REF!</v>
      </c>
      <c r="E236" s="171" t="str">
        <f t="shared" si="73"/>
        <v>#REF!</v>
      </c>
      <c r="F236" s="173" t="str">
        <f t="shared" si="73"/>
        <v>#REF!</v>
      </c>
      <c r="G236" s="174" t="str">
        <f t="shared" si="73"/>
        <v>#REF!</v>
      </c>
      <c r="H236" s="120" t="str">
        <f t="shared" si="73"/>
        <v>#REF!</v>
      </c>
      <c r="I236" s="120" t="str">
        <f t="shared" si="73"/>
        <v>#REF!</v>
      </c>
    </row>
    <row r="237" ht="14.25" customHeight="1">
      <c r="A237" s="127" t="str">
        <f t="shared" ref="A237:I237" si="74">'2.17.'!A61</f>
        <v>#REF!</v>
      </c>
      <c r="B237" s="127" t="str">
        <f t="shared" si="74"/>
        <v>#REF!</v>
      </c>
      <c r="C237" s="127" t="str">
        <f t="shared" si="74"/>
        <v>#REF!</v>
      </c>
      <c r="D237" s="127" t="str">
        <f t="shared" si="74"/>
        <v>#REF!</v>
      </c>
      <c r="E237" s="127" t="str">
        <f t="shared" si="74"/>
        <v>#REF!</v>
      </c>
      <c r="F237" s="126" t="str">
        <f t="shared" si="74"/>
        <v>#REF!</v>
      </c>
      <c r="G237" s="3" t="str">
        <f t="shared" si="74"/>
        <v>#REF!</v>
      </c>
      <c r="H237" s="120" t="str">
        <f t="shared" si="74"/>
        <v>#REF!</v>
      </c>
      <c r="I237" s="120" t="str">
        <f t="shared" si="74"/>
        <v>#REF!</v>
      </c>
    </row>
    <row r="238" ht="14.25" customHeight="1">
      <c r="A238" s="175" t="str">
        <f t="shared" ref="A238:I238" si="75">'2.17.'!A62</f>
        <v>#REF!</v>
      </c>
      <c r="B238" s="176" t="str">
        <f t="shared" si="75"/>
        <v>#REF!</v>
      </c>
      <c r="C238" s="176" t="str">
        <f t="shared" si="75"/>
        <v>#REF!</v>
      </c>
      <c r="D238" s="176" t="str">
        <f t="shared" si="75"/>
        <v>#REF!</v>
      </c>
      <c r="E238" s="176" t="str">
        <f t="shared" si="75"/>
        <v>#REF!</v>
      </c>
      <c r="F238" s="176" t="str">
        <f t="shared" si="75"/>
        <v>#REF!</v>
      </c>
      <c r="G238" s="177" t="str">
        <f t="shared" si="75"/>
        <v>#REF!</v>
      </c>
      <c r="H238" s="176" t="str">
        <f t="shared" si="75"/>
        <v>#REF!</v>
      </c>
      <c r="I238" s="178" t="str">
        <f t="shared" si="75"/>
        <v>#REF!</v>
      </c>
    </row>
    <row r="239" ht="14.25" customHeight="1">
      <c r="G239" s="3"/>
    </row>
    <row r="240" ht="14.25" customHeight="1">
      <c r="G240" s="3"/>
    </row>
    <row r="241">
      <c r="A241" s="162" t="str">
        <f>'2.18.'!A3</f>
        <v>#REF!</v>
      </c>
      <c r="B241" s="163" t="str">
        <f>'2.1.'!B241</f>
        <v>#REF!</v>
      </c>
      <c r="C241" s="164"/>
      <c r="D241" s="164"/>
      <c r="E241" s="164"/>
      <c r="F241" s="164"/>
      <c r="G241" s="165" t="str">
        <f t="shared" ref="G241:I241" si="76">'2.1.'!G241</f>
        <v>#REF!</v>
      </c>
      <c r="H241" s="166" t="str">
        <f t="shared" si="76"/>
        <v>#REF!</v>
      </c>
      <c r="I241" s="167" t="str">
        <f t="shared" si="76"/>
        <v>#REF!</v>
      </c>
    </row>
    <row r="242" ht="14.25" customHeight="1">
      <c r="G242" s="3"/>
    </row>
    <row r="243" ht="15.75" customHeight="1">
      <c r="A243" s="168" t="str">
        <f t="shared" ref="A243:I243" si="77">'2.18.'!A53</f>
        <v>#REF!</v>
      </c>
      <c r="B243" s="76" t="str">
        <f t="shared" si="77"/>
        <v>#REF!</v>
      </c>
      <c r="C243" s="76" t="str">
        <f t="shared" si="77"/>
        <v>#REF!</v>
      </c>
      <c r="D243" s="76" t="str">
        <f t="shared" si="77"/>
        <v>#REF!</v>
      </c>
      <c r="E243" s="76" t="str">
        <f t="shared" si="77"/>
        <v>#REF!</v>
      </c>
      <c r="F243" s="76" t="str">
        <f t="shared" si="77"/>
        <v>#REF!</v>
      </c>
      <c r="G243" s="2" t="str">
        <f t="shared" si="77"/>
        <v>#REF!</v>
      </c>
      <c r="H243" s="76" t="str">
        <f t="shared" si="77"/>
        <v>#REF!</v>
      </c>
      <c r="I243" s="76" t="str">
        <f t="shared" si="77"/>
        <v>#REF!</v>
      </c>
    </row>
    <row r="244" ht="15.75" customHeight="1">
      <c r="A244" s="169" t="str">
        <f t="shared" ref="A244:I244" si="78">'2.18.'!A54</f>
        <v>#REF!</v>
      </c>
      <c r="B244" s="169" t="str">
        <f t="shared" si="78"/>
        <v>#REF!</v>
      </c>
      <c r="C244" s="169" t="str">
        <f t="shared" si="78"/>
        <v>#REF!</v>
      </c>
      <c r="D244" s="169" t="str">
        <f t="shared" si="78"/>
        <v>#REF!</v>
      </c>
      <c r="E244" s="169" t="str">
        <f t="shared" si="78"/>
        <v>#REF!</v>
      </c>
      <c r="F244" s="169" t="str">
        <f t="shared" si="78"/>
        <v>#REF!</v>
      </c>
      <c r="G244" s="4" t="str">
        <f t="shared" si="78"/>
        <v>#REF!</v>
      </c>
      <c r="H244" s="169" t="str">
        <f t="shared" si="78"/>
        <v>#REF!</v>
      </c>
      <c r="I244" s="169" t="str">
        <f t="shared" si="78"/>
        <v>#REF!</v>
      </c>
    </row>
    <row r="245" ht="15.75" customHeight="1">
      <c r="A245" s="171" t="str">
        <f t="shared" ref="A245:I245" si="79">'2.18.'!A55</f>
        <v>#REF!</v>
      </c>
      <c r="B245" s="74" t="str">
        <f t="shared" si="79"/>
        <v>#REF!</v>
      </c>
      <c r="C245" s="74" t="str">
        <f t="shared" si="79"/>
        <v>#REF!</v>
      </c>
      <c r="D245" s="172" t="str">
        <f t="shared" si="79"/>
        <v>#REF!</v>
      </c>
      <c r="E245" s="171" t="str">
        <f t="shared" si="79"/>
        <v>#REF!</v>
      </c>
      <c r="F245" s="173" t="str">
        <f t="shared" si="79"/>
        <v>#REF!</v>
      </c>
      <c r="G245" s="174" t="str">
        <f t="shared" si="79"/>
        <v>#REF!</v>
      </c>
      <c r="H245" s="120" t="str">
        <f t="shared" si="79"/>
        <v>#REF!</v>
      </c>
      <c r="I245" s="120" t="str">
        <f t="shared" si="79"/>
        <v>#REF!</v>
      </c>
    </row>
    <row r="246" ht="15.75" customHeight="1">
      <c r="A246" s="171" t="str">
        <f t="shared" ref="A246:I246" si="80">'2.18.'!A56</f>
        <v>#REF!</v>
      </c>
      <c r="B246" s="74" t="str">
        <f t="shared" si="80"/>
        <v>#REF!</v>
      </c>
      <c r="C246" s="74" t="str">
        <f t="shared" si="80"/>
        <v>#REF!</v>
      </c>
      <c r="D246" s="172" t="str">
        <f t="shared" si="80"/>
        <v>#REF!</v>
      </c>
      <c r="E246" s="171" t="str">
        <f t="shared" si="80"/>
        <v>#REF!</v>
      </c>
      <c r="F246" s="173" t="str">
        <f t="shared" si="80"/>
        <v>#REF!</v>
      </c>
      <c r="G246" s="174" t="str">
        <f t="shared" si="80"/>
        <v>#REF!</v>
      </c>
      <c r="H246" s="120" t="str">
        <f t="shared" si="80"/>
        <v>#REF!</v>
      </c>
      <c r="I246" s="120" t="str">
        <f t="shared" si="80"/>
        <v>#REF!</v>
      </c>
    </row>
    <row r="247" ht="15.75" customHeight="1">
      <c r="A247" s="171" t="str">
        <f t="shared" ref="A247:I247" si="81">'2.18.'!A57</f>
        <v>#REF!</v>
      </c>
      <c r="B247" s="74" t="str">
        <f t="shared" si="81"/>
        <v>#REF!</v>
      </c>
      <c r="C247" s="74" t="str">
        <f t="shared" si="81"/>
        <v>#REF!</v>
      </c>
      <c r="D247" s="172" t="str">
        <f t="shared" si="81"/>
        <v>#REF!</v>
      </c>
      <c r="E247" s="171" t="str">
        <f t="shared" si="81"/>
        <v>#REF!</v>
      </c>
      <c r="F247" s="173" t="str">
        <f t="shared" si="81"/>
        <v>#REF!</v>
      </c>
      <c r="G247" s="174" t="str">
        <f t="shared" si="81"/>
        <v>#REF!</v>
      </c>
      <c r="H247" s="120" t="str">
        <f t="shared" si="81"/>
        <v>#REF!</v>
      </c>
      <c r="I247" s="120" t="str">
        <f t="shared" si="81"/>
        <v>#REF!</v>
      </c>
    </row>
    <row r="248" ht="15.75" customHeight="1">
      <c r="A248" s="171" t="str">
        <f t="shared" ref="A248:I248" si="82">'2.18.'!A58</f>
        <v>#REF!</v>
      </c>
      <c r="B248" s="74" t="str">
        <f t="shared" si="82"/>
        <v>#REF!</v>
      </c>
      <c r="C248" s="74" t="str">
        <f t="shared" si="82"/>
        <v>#REF!</v>
      </c>
      <c r="D248" s="172" t="str">
        <f t="shared" si="82"/>
        <v>#REF!</v>
      </c>
      <c r="E248" s="171" t="str">
        <f t="shared" si="82"/>
        <v>#REF!</v>
      </c>
      <c r="F248" s="173" t="str">
        <f t="shared" si="82"/>
        <v>#REF!</v>
      </c>
      <c r="G248" s="174" t="str">
        <f t="shared" si="82"/>
        <v>#REF!</v>
      </c>
      <c r="H248" s="120" t="str">
        <f t="shared" si="82"/>
        <v>#REF!</v>
      </c>
      <c r="I248" s="120" t="str">
        <f t="shared" si="82"/>
        <v>#REF!</v>
      </c>
    </row>
    <row r="249" ht="15.75" customHeight="1">
      <c r="A249" s="171" t="str">
        <f t="shared" ref="A249:I249" si="83">'2.18.'!A59</f>
        <v>#REF!</v>
      </c>
      <c r="B249" s="74" t="str">
        <f t="shared" si="83"/>
        <v>#REF!</v>
      </c>
      <c r="C249" s="74" t="str">
        <f t="shared" si="83"/>
        <v>#REF!</v>
      </c>
      <c r="D249" s="172" t="str">
        <f t="shared" si="83"/>
        <v>#REF!</v>
      </c>
      <c r="E249" s="171" t="str">
        <f t="shared" si="83"/>
        <v>#REF!</v>
      </c>
      <c r="F249" s="173" t="str">
        <f t="shared" si="83"/>
        <v>#REF!</v>
      </c>
      <c r="G249" s="174" t="str">
        <f t="shared" si="83"/>
        <v>#REF!</v>
      </c>
      <c r="H249" s="120" t="str">
        <f t="shared" si="83"/>
        <v>#REF!</v>
      </c>
      <c r="I249" s="120" t="str">
        <f t="shared" si="83"/>
        <v>#REF!</v>
      </c>
    </row>
    <row r="250" ht="15.75" customHeight="1">
      <c r="A250" s="171" t="str">
        <f t="shared" ref="A250:I250" si="84">'2.18.'!A60</f>
        <v>#REF!</v>
      </c>
      <c r="B250" s="74" t="str">
        <f t="shared" si="84"/>
        <v>#REF!</v>
      </c>
      <c r="C250" s="74" t="str">
        <f t="shared" si="84"/>
        <v>#REF!</v>
      </c>
      <c r="D250" s="172" t="str">
        <f t="shared" si="84"/>
        <v>#REF!</v>
      </c>
      <c r="E250" s="171" t="str">
        <f t="shared" si="84"/>
        <v>#REF!</v>
      </c>
      <c r="F250" s="173" t="str">
        <f t="shared" si="84"/>
        <v>#REF!</v>
      </c>
      <c r="G250" s="174" t="str">
        <f t="shared" si="84"/>
        <v>#REF!</v>
      </c>
      <c r="H250" s="120" t="str">
        <f t="shared" si="84"/>
        <v>#REF!</v>
      </c>
      <c r="I250" s="120" t="str">
        <f t="shared" si="84"/>
        <v>#REF!</v>
      </c>
    </row>
    <row r="251" ht="15.75" customHeight="1">
      <c r="A251" s="127" t="str">
        <f t="shared" ref="A251:I251" si="85">'2.18.'!A61</f>
        <v>#REF!</v>
      </c>
      <c r="B251" s="127" t="str">
        <f t="shared" si="85"/>
        <v>#REF!</v>
      </c>
      <c r="C251" s="127" t="str">
        <f t="shared" si="85"/>
        <v>#REF!</v>
      </c>
      <c r="D251" s="127" t="str">
        <f t="shared" si="85"/>
        <v>#REF!</v>
      </c>
      <c r="E251" s="127" t="str">
        <f t="shared" si="85"/>
        <v>#REF!</v>
      </c>
      <c r="F251" s="126" t="str">
        <f t="shared" si="85"/>
        <v>#REF!</v>
      </c>
      <c r="G251" s="3" t="str">
        <f t="shared" si="85"/>
        <v>#REF!</v>
      </c>
      <c r="H251" s="120" t="str">
        <f t="shared" si="85"/>
        <v>#REF!</v>
      </c>
      <c r="I251" s="120" t="str">
        <f t="shared" si="85"/>
        <v>#REF!</v>
      </c>
    </row>
    <row r="252" ht="15.75" customHeight="1">
      <c r="A252" s="175" t="str">
        <f t="shared" ref="A252:I252" si="86">'2.18.'!A62</f>
        <v>#REF!</v>
      </c>
      <c r="B252" s="176" t="str">
        <f t="shared" si="86"/>
        <v>#REF!</v>
      </c>
      <c r="C252" s="176" t="str">
        <f t="shared" si="86"/>
        <v>#REF!</v>
      </c>
      <c r="D252" s="176" t="str">
        <f t="shared" si="86"/>
        <v>#REF!</v>
      </c>
      <c r="E252" s="176" t="str">
        <f t="shared" si="86"/>
        <v>#REF!</v>
      </c>
      <c r="F252" s="176" t="str">
        <f t="shared" si="86"/>
        <v>#REF!</v>
      </c>
      <c r="G252" s="177" t="str">
        <f t="shared" si="86"/>
        <v>#REF!</v>
      </c>
      <c r="H252" s="176" t="str">
        <f t="shared" si="86"/>
        <v>#REF!</v>
      </c>
      <c r="I252" s="178" t="str">
        <f t="shared" si="86"/>
        <v>#REF!</v>
      </c>
    </row>
    <row r="253" ht="15.75" customHeight="1">
      <c r="G253" s="3"/>
    </row>
    <row r="254" ht="15.75" customHeight="1">
      <c r="G254" s="3"/>
    </row>
    <row r="255">
      <c r="A255" s="162" t="str">
        <f>'2.19.'!A3</f>
        <v>#REF!</v>
      </c>
      <c r="B255" s="163" t="str">
        <f>'2.1.'!B255</f>
        <v>#REF!</v>
      </c>
      <c r="C255" s="164"/>
      <c r="D255" s="164"/>
      <c r="E255" s="164"/>
      <c r="F255" s="164"/>
      <c r="G255" s="165" t="str">
        <f t="shared" ref="G255:I255" si="87">'2.1.'!G255</f>
        <v>#REF!</v>
      </c>
      <c r="H255" s="166" t="str">
        <f t="shared" si="87"/>
        <v>#REF!</v>
      </c>
      <c r="I255" s="167" t="str">
        <f t="shared" si="87"/>
        <v>#REF!</v>
      </c>
    </row>
    <row r="256" ht="15.75" customHeight="1">
      <c r="G256" s="3"/>
    </row>
    <row r="257" ht="15.75" customHeight="1">
      <c r="A257" s="168" t="str">
        <f t="shared" ref="A257:I257" si="88">'2.19.'!A53</f>
        <v>#REF!</v>
      </c>
      <c r="B257" s="76" t="str">
        <f t="shared" si="88"/>
        <v>#REF!</v>
      </c>
      <c r="C257" s="76" t="str">
        <f t="shared" si="88"/>
        <v>#REF!</v>
      </c>
      <c r="D257" s="76" t="str">
        <f t="shared" si="88"/>
        <v>#REF!</v>
      </c>
      <c r="E257" s="76" t="str">
        <f t="shared" si="88"/>
        <v>#REF!</v>
      </c>
      <c r="F257" s="76" t="str">
        <f t="shared" si="88"/>
        <v>#REF!</v>
      </c>
      <c r="G257" s="2" t="str">
        <f t="shared" si="88"/>
        <v>#REF!</v>
      </c>
      <c r="H257" s="76" t="str">
        <f t="shared" si="88"/>
        <v>#REF!</v>
      </c>
      <c r="I257" s="76" t="str">
        <f t="shared" si="88"/>
        <v>#REF!</v>
      </c>
    </row>
    <row r="258" ht="15.75" customHeight="1">
      <c r="A258" s="169" t="str">
        <f t="shared" ref="A258:I258" si="89">'2.19.'!A54</f>
        <v>#REF!</v>
      </c>
      <c r="B258" s="169" t="str">
        <f t="shared" si="89"/>
        <v>#REF!</v>
      </c>
      <c r="C258" s="169" t="str">
        <f t="shared" si="89"/>
        <v>#REF!</v>
      </c>
      <c r="D258" s="169" t="str">
        <f t="shared" si="89"/>
        <v>#REF!</v>
      </c>
      <c r="E258" s="169" t="str">
        <f t="shared" si="89"/>
        <v>#REF!</v>
      </c>
      <c r="F258" s="169" t="str">
        <f t="shared" si="89"/>
        <v>#REF!</v>
      </c>
      <c r="G258" s="4" t="str">
        <f t="shared" si="89"/>
        <v>#REF!</v>
      </c>
      <c r="H258" s="169" t="str">
        <f t="shared" si="89"/>
        <v>#REF!</v>
      </c>
      <c r="I258" s="169" t="str">
        <f t="shared" si="89"/>
        <v>#REF!</v>
      </c>
    </row>
    <row r="259" ht="15.75" customHeight="1">
      <c r="A259" s="171" t="str">
        <f t="shared" ref="A259:I259" si="90">'2.19.'!A55</f>
        <v>#REF!</v>
      </c>
      <c r="B259" s="74" t="str">
        <f t="shared" si="90"/>
        <v>#REF!</v>
      </c>
      <c r="C259" s="74" t="str">
        <f t="shared" si="90"/>
        <v>#REF!</v>
      </c>
      <c r="D259" s="172" t="str">
        <f t="shared" si="90"/>
        <v>#REF!</v>
      </c>
      <c r="E259" s="171" t="str">
        <f t="shared" si="90"/>
        <v>#REF!</v>
      </c>
      <c r="F259" s="173" t="str">
        <f t="shared" si="90"/>
        <v>#REF!</v>
      </c>
      <c r="G259" s="174" t="str">
        <f t="shared" si="90"/>
        <v>#REF!</v>
      </c>
      <c r="H259" s="120" t="str">
        <f t="shared" si="90"/>
        <v>#REF!</v>
      </c>
      <c r="I259" s="120" t="str">
        <f t="shared" si="90"/>
        <v>#REF!</v>
      </c>
    </row>
    <row r="260" ht="15.75" customHeight="1">
      <c r="A260" s="171" t="str">
        <f t="shared" ref="A260:I260" si="91">'2.19.'!A56</f>
        <v>#REF!</v>
      </c>
      <c r="B260" s="74" t="str">
        <f t="shared" si="91"/>
        <v>#REF!</v>
      </c>
      <c r="C260" s="74" t="str">
        <f t="shared" si="91"/>
        <v>#REF!</v>
      </c>
      <c r="D260" s="172" t="str">
        <f t="shared" si="91"/>
        <v>#REF!</v>
      </c>
      <c r="E260" s="171" t="str">
        <f t="shared" si="91"/>
        <v>#REF!</v>
      </c>
      <c r="F260" s="173" t="str">
        <f t="shared" si="91"/>
        <v>#REF!</v>
      </c>
      <c r="G260" s="174" t="str">
        <f t="shared" si="91"/>
        <v>#REF!</v>
      </c>
      <c r="H260" s="120" t="str">
        <f t="shared" si="91"/>
        <v>#REF!</v>
      </c>
      <c r="I260" s="120" t="str">
        <f t="shared" si="91"/>
        <v>#REF!</v>
      </c>
    </row>
    <row r="261" ht="15.75" customHeight="1">
      <c r="A261" s="171" t="str">
        <f t="shared" ref="A261:I261" si="92">'2.19.'!A57</f>
        <v>#REF!</v>
      </c>
      <c r="B261" s="74" t="str">
        <f t="shared" si="92"/>
        <v>#REF!</v>
      </c>
      <c r="C261" s="74" t="str">
        <f t="shared" si="92"/>
        <v>#REF!</v>
      </c>
      <c r="D261" s="172" t="str">
        <f t="shared" si="92"/>
        <v>#REF!</v>
      </c>
      <c r="E261" s="171" t="str">
        <f t="shared" si="92"/>
        <v>#REF!</v>
      </c>
      <c r="F261" s="173" t="str">
        <f t="shared" si="92"/>
        <v>#REF!</v>
      </c>
      <c r="G261" s="174" t="str">
        <f t="shared" si="92"/>
        <v>#REF!</v>
      </c>
      <c r="H261" s="120" t="str">
        <f t="shared" si="92"/>
        <v>#REF!</v>
      </c>
      <c r="I261" s="120" t="str">
        <f t="shared" si="92"/>
        <v>#REF!</v>
      </c>
    </row>
    <row r="262" ht="15.75" customHeight="1">
      <c r="A262" s="171" t="str">
        <f t="shared" ref="A262:I262" si="93">'2.19.'!A58</f>
        <v>#REF!</v>
      </c>
      <c r="B262" s="74" t="str">
        <f t="shared" si="93"/>
        <v>#REF!</v>
      </c>
      <c r="C262" s="74" t="str">
        <f t="shared" si="93"/>
        <v>#REF!</v>
      </c>
      <c r="D262" s="172" t="str">
        <f t="shared" si="93"/>
        <v>#REF!</v>
      </c>
      <c r="E262" s="171" t="str">
        <f t="shared" si="93"/>
        <v>#REF!</v>
      </c>
      <c r="F262" s="173" t="str">
        <f t="shared" si="93"/>
        <v>#REF!</v>
      </c>
      <c r="G262" s="174" t="str">
        <f t="shared" si="93"/>
        <v>#REF!</v>
      </c>
      <c r="H262" s="120" t="str">
        <f t="shared" si="93"/>
        <v>#REF!</v>
      </c>
      <c r="I262" s="120" t="str">
        <f t="shared" si="93"/>
        <v>#REF!</v>
      </c>
    </row>
    <row r="263" ht="15.75" customHeight="1">
      <c r="A263" s="171" t="str">
        <f t="shared" ref="A263:I263" si="94">'2.19.'!A59</f>
        <v>#REF!</v>
      </c>
      <c r="B263" s="74" t="str">
        <f t="shared" si="94"/>
        <v>#REF!</v>
      </c>
      <c r="C263" s="74" t="str">
        <f t="shared" si="94"/>
        <v>#REF!</v>
      </c>
      <c r="D263" s="172" t="str">
        <f t="shared" si="94"/>
        <v>#REF!</v>
      </c>
      <c r="E263" s="171" t="str">
        <f t="shared" si="94"/>
        <v>#REF!</v>
      </c>
      <c r="F263" s="173" t="str">
        <f t="shared" si="94"/>
        <v>#REF!</v>
      </c>
      <c r="G263" s="174" t="str">
        <f t="shared" si="94"/>
        <v>#REF!</v>
      </c>
      <c r="H263" s="120" t="str">
        <f t="shared" si="94"/>
        <v>#REF!</v>
      </c>
      <c r="I263" s="120" t="str">
        <f t="shared" si="94"/>
        <v>#REF!</v>
      </c>
    </row>
    <row r="264" ht="15.75" customHeight="1">
      <c r="A264" s="171" t="str">
        <f t="shared" ref="A264:I264" si="95">'2.19.'!A60</f>
        <v>#REF!</v>
      </c>
      <c r="B264" s="74" t="str">
        <f t="shared" si="95"/>
        <v>#REF!</v>
      </c>
      <c r="C264" s="74" t="str">
        <f t="shared" si="95"/>
        <v>#REF!</v>
      </c>
      <c r="D264" s="172" t="str">
        <f t="shared" si="95"/>
        <v>#REF!</v>
      </c>
      <c r="E264" s="171" t="str">
        <f t="shared" si="95"/>
        <v>#REF!</v>
      </c>
      <c r="F264" s="173" t="str">
        <f t="shared" si="95"/>
        <v>#REF!</v>
      </c>
      <c r="G264" s="174" t="str">
        <f t="shared" si="95"/>
        <v>#REF!</v>
      </c>
      <c r="H264" s="120" t="str">
        <f t="shared" si="95"/>
        <v>#REF!</v>
      </c>
      <c r="I264" s="120" t="str">
        <f t="shared" si="95"/>
        <v>#REF!</v>
      </c>
    </row>
    <row r="265" ht="15.75" customHeight="1">
      <c r="A265" s="127" t="str">
        <f t="shared" ref="A265:I265" si="96">'2.19.'!A61</f>
        <v>#REF!</v>
      </c>
      <c r="B265" s="127" t="str">
        <f t="shared" si="96"/>
        <v>#REF!</v>
      </c>
      <c r="C265" s="127" t="str">
        <f t="shared" si="96"/>
        <v>#REF!</v>
      </c>
      <c r="D265" s="127" t="str">
        <f t="shared" si="96"/>
        <v>#REF!</v>
      </c>
      <c r="E265" s="127" t="str">
        <f t="shared" si="96"/>
        <v>#REF!</v>
      </c>
      <c r="F265" s="126" t="str">
        <f t="shared" si="96"/>
        <v>#REF!</v>
      </c>
      <c r="G265" s="3" t="str">
        <f t="shared" si="96"/>
        <v>#REF!</v>
      </c>
      <c r="H265" s="120" t="str">
        <f t="shared" si="96"/>
        <v>#REF!</v>
      </c>
      <c r="I265" s="120" t="str">
        <f t="shared" si="96"/>
        <v>#REF!</v>
      </c>
    </row>
    <row r="266" ht="15.75" customHeight="1">
      <c r="A266" s="175" t="str">
        <f t="shared" ref="A266:I266" si="97">'2.19.'!A62</f>
        <v>#REF!</v>
      </c>
      <c r="B266" s="176" t="str">
        <f t="shared" si="97"/>
        <v>#REF!</v>
      </c>
      <c r="C266" s="176" t="str">
        <f t="shared" si="97"/>
        <v>#REF!</v>
      </c>
      <c r="D266" s="176" t="str">
        <f t="shared" si="97"/>
        <v>#REF!</v>
      </c>
      <c r="E266" s="176" t="str">
        <f t="shared" si="97"/>
        <v>#REF!</v>
      </c>
      <c r="F266" s="176" t="str">
        <f t="shared" si="97"/>
        <v>#REF!</v>
      </c>
      <c r="G266" s="177" t="str">
        <f t="shared" si="97"/>
        <v>#REF!</v>
      </c>
      <c r="H266" s="176" t="str">
        <f t="shared" si="97"/>
        <v>#REF!</v>
      </c>
      <c r="I266" s="178" t="str">
        <f t="shared" si="97"/>
        <v>#REF!</v>
      </c>
    </row>
    <row r="267" ht="15.75" customHeight="1">
      <c r="G267" s="3"/>
    </row>
    <row r="268" ht="15.75" customHeight="1">
      <c r="G268" s="3"/>
    </row>
    <row r="269" ht="15.75" customHeight="1">
      <c r="G269" s="3"/>
    </row>
    <row r="270" ht="15.75" customHeight="1">
      <c r="G270" s="3"/>
    </row>
    <row r="271" ht="15.75" customHeight="1">
      <c r="G271" s="3"/>
    </row>
    <row r="272" ht="15.75" customHeight="1">
      <c r="G272" s="3"/>
    </row>
    <row r="273" ht="15.75" customHeight="1">
      <c r="G273" s="3"/>
    </row>
    <row r="274" ht="15.75" customHeight="1">
      <c r="G274" s="3"/>
    </row>
    <row r="275" ht="15.75" customHeight="1">
      <c r="G275" s="3"/>
    </row>
    <row r="276" ht="15.75" customHeight="1">
      <c r="G276" s="3"/>
    </row>
    <row r="277" ht="15.75" customHeight="1">
      <c r="G277" s="3"/>
    </row>
    <row r="278" ht="15.7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</sheetData>
  <mergeCells count="22">
    <mergeCell ref="B3:F3"/>
    <mergeCell ref="A5:B5"/>
    <mergeCell ref="B17:F17"/>
    <mergeCell ref="A19:B19"/>
    <mergeCell ref="B31:F31"/>
    <mergeCell ref="A33:B33"/>
    <mergeCell ref="B45:F45"/>
    <mergeCell ref="B157:F157"/>
    <mergeCell ref="B171:F171"/>
    <mergeCell ref="B185:F185"/>
    <mergeCell ref="B199:F199"/>
    <mergeCell ref="B213:F213"/>
    <mergeCell ref="B227:F227"/>
    <mergeCell ref="B241:F241"/>
    <mergeCell ref="B255:F255"/>
    <mergeCell ref="B59:F59"/>
    <mergeCell ref="B73:F73"/>
    <mergeCell ref="B87:F87"/>
    <mergeCell ref="B101:F101"/>
    <mergeCell ref="B115:F115"/>
    <mergeCell ref="B129:F129"/>
    <mergeCell ref="B143:F143"/>
  </mergeCell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73" t="str">
        <f>'01_C&amp;P'!A1</f>
        <v>NOMBRE DE LA OBRA</v>
      </c>
      <c r="B1" s="73"/>
      <c r="C1" s="73"/>
      <c r="G1" s="3"/>
    </row>
    <row r="2" ht="14.25" customHeight="1">
      <c r="G2" s="3"/>
    </row>
    <row r="3" ht="23.25" customHeight="1">
      <c r="A3" s="162" t="str">
        <f t="shared" ref="A3:B3" si="1">'2.1.'!A3</f>
        <v>#REF!</v>
      </c>
      <c r="B3" s="163" t="str">
        <f t="shared" si="1"/>
        <v>#REF!</v>
      </c>
      <c r="C3" s="164"/>
      <c r="D3" s="164"/>
      <c r="E3" s="164"/>
      <c r="F3" s="164"/>
      <c r="G3" s="165" t="str">
        <f t="shared" ref="G3:I3" si="2">'2.1.'!G3</f>
        <v>#REF!</v>
      </c>
      <c r="H3" s="166" t="str">
        <f t="shared" si="2"/>
        <v>#REF!</v>
      </c>
      <c r="I3" s="167" t="str">
        <f t="shared" si="2"/>
        <v>#REF!</v>
      </c>
    </row>
    <row r="4" ht="14.25" customHeight="1">
      <c r="G4" s="3"/>
    </row>
    <row r="5" ht="14.25" customHeight="1">
      <c r="A5" s="198" t="str">
        <f t="shared" ref="A5:A14" si="4">'2.1.'!A39</f>
        <v>#REF!</v>
      </c>
      <c r="B5" s="164"/>
      <c r="C5" s="76" t="str">
        <f t="shared" ref="C5:I5" si="3">'2.1.'!C39</f>
        <v>#REF!</v>
      </c>
      <c r="D5" s="76" t="str">
        <f t="shared" si="3"/>
        <v>#REF!</v>
      </c>
      <c r="E5" s="76" t="str">
        <f t="shared" si="3"/>
        <v>#REF!</v>
      </c>
      <c r="F5" s="76" t="str">
        <f t="shared" si="3"/>
        <v>#REF!</v>
      </c>
      <c r="G5" s="2" t="str">
        <f t="shared" si="3"/>
        <v>#REF!</v>
      </c>
      <c r="H5" s="76" t="str">
        <f t="shared" si="3"/>
        <v>#REF!</v>
      </c>
      <c r="I5" s="76" t="str">
        <f t="shared" si="3"/>
        <v>#REF!</v>
      </c>
    </row>
    <row r="6" ht="14.25" customHeight="1">
      <c r="A6" s="169" t="str">
        <f t="shared" si="4"/>
        <v>#REF!</v>
      </c>
      <c r="B6" s="169" t="str">
        <f t="shared" ref="B6:I6" si="5">'2.1.'!B40</f>
        <v>#REF!</v>
      </c>
      <c r="C6" s="169" t="str">
        <f t="shared" si="5"/>
        <v>#REF!</v>
      </c>
      <c r="D6" s="169" t="str">
        <f t="shared" si="5"/>
        <v>#REF!</v>
      </c>
      <c r="E6" s="169" t="str">
        <f t="shared" si="5"/>
        <v>#REF!</v>
      </c>
      <c r="F6" s="169" t="str">
        <f t="shared" si="5"/>
        <v>#REF!</v>
      </c>
      <c r="G6" s="4" t="str">
        <f t="shared" si="5"/>
        <v>#REF!</v>
      </c>
      <c r="H6" s="169" t="str">
        <f t="shared" si="5"/>
        <v>#REF!</v>
      </c>
      <c r="I6" s="169" t="str">
        <f t="shared" si="5"/>
        <v>#REF!</v>
      </c>
    </row>
    <row r="7" ht="14.25" customHeight="1">
      <c r="A7" s="171" t="str">
        <f t="shared" si="4"/>
        <v>#REF!</v>
      </c>
      <c r="B7" s="74" t="str">
        <f t="shared" ref="B7:I7" si="6">'2.1.'!B41</f>
        <v>#REF!</v>
      </c>
      <c r="C7" s="74" t="str">
        <f t="shared" si="6"/>
        <v>#REF!</v>
      </c>
      <c r="D7" s="171" t="str">
        <f t="shared" si="6"/>
        <v>#REF!</v>
      </c>
      <c r="E7" s="171" t="str">
        <f t="shared" si="6"/>
        <v>#REF!</v>
      </c>
      <c r="F7" s="173" t="str">
        <f t="shared" si="6"/>
        <v>#REF!</v>
      </c>
      <c r="G7" s="184" t="str">
        <f t="shared" si="6"/>
        <v>#REF!</v>
      </c>
      <c r="H7" s="120" t="str">
        <f t="shared" si="6"/>
        <v>#REF!</v>
      </c>
      <c r="I7" s="120" t="str">
        <f t="shared" si="6"/>
        <v>#REF!</v>
      </c>
    </row>
    <row r="8" ht="14.25" customHeight="1">
      <c r="A8" s="171" t="str">
        <f t="shared" si="4"/>
        <v>#REF!</v>
      </c>
      <c r="B8" s="74" t="str">
        <f t="shared" ref="B8:I8" si="7">'2.1.'!B42</f>
        <v>#REF!</v>
      </c>
      <c r="C8" s="74" t="str">
        <f t="shared" si="7"/>
        <v>#REF!</v>
      </c>
      <c r="D8" s="171" t="str">
        <f t="shared" si="7"/>
        <v>#REF!</v>
      </c>
      <c r="E8" s="171" t="str">
        <f t="shared" si="7"/>
        <v>#REF!</v>
      </c>
      <c r="F8" s="173" t="str">
        <f t="shared" si="7"/>
        <v>#REF!</v>
      </c>
      <c r="G8" s="184" t="str">
        <f t="shared" si="7"/>
        <v>#REF!</v>
      </c>
      <c r="H8" s="120" t="str">
        <f t="shared" si="7"/>
        <v>#REF!</v>
      </c>
      <c r="I8" s="120" t="str">
        <f t="shared" si="7"/>
        <v>#REF!</v>
      </c>
    </row>
    <row r="9" ht="14.25" customHeight="1">
      <c r="A9" s="171" t="str">
        <f t="shared" si="4"/>
        <v>#REF!</v>
      </c>
      <c r="B9" s="74" t="str">
        <f t="shared" ref="B9:I9" si="8">'2.1.'!B43</f>
        <v>#REF!</v>
      </c>
      <c r="C9" s="74" t="str">
        <f t="shared" si="8"/>
        <v>#REF!</v>
      </c>
      <c r="D9" s="171" t="str">
        <f t="shared" si="8"/>
        <v>#REF!</v>
      </c>
      <c r="E9" s="171" t="str">
        <f t="shared" si="8"/>
        <v>#REF!</v>
      </c>
      <c r="F9" s="173" t="str">
        <f t="shared" si="8"/>
        <v>#REF!</v>
      </c>
      <c r="G9" s="184" t="str">
        <f t="shared" si="8"/>
        <v>#REF!</v>
      </c>
      <c r="H9" s="120" t="str">
        <f t="shared" si="8"/>
        <v>#REF!</v>
      </c>
      <c r="I9" s="120" t="str">
        <f t="shared" si="8"/>
        <v>#REF!</v>
      </c>
    </row>
    <row r="10" ht="14.25" customHeight="1">
      <c r="A10" s="171" t="str">
        <f t="shared" si="4"/>
        <v>#REF!</v>
      </c>
      <c r="B10" s="74" t="str">
        <f t="shared" ref="B10:I10" si="9">'2.1.'!B44</f>
        <v>#REF!</v>
      </c>
      <c r="C10" s="74" t="str">
        <f t="shared" si="9"/>
        <v>#REF!</v>
      </c>
      <c r="D10" s="171" t="str">
        <f t="shared" si="9"/>
        <v>#REF!</v>
      </c>
      <c r="E10" s="171" t="str">
        <f t="shared" si="9"/>
        <v>#REF!</v>
      </c>
      <c r="F10" s="173" t="str">
        <f t="shared" si="9"/>
        <v>#REF!</v>
      </c>
      <c r="G10" s="184" t="str">
        <f t="shared" si="9"/>
        <v>#REF!</v>
      </c>
      <c r="H10" s="120" t="str">
        <f t="shared" si="9"/>
        <v>#REF!</v>
      </c>
      <c r="I10" s="120" t="str">
        <f t="shared" si="9"/>
        <v>#REF!</v>
      </c>
    </row>
    <row r="11" ht="14.25" customHeight="1">
      <c r="A11" s="171" t="str">
        <f t="shared" si="4"/>
        <v>#REF!</v>
      </c>
      <c r="B11" s="74" t="str">
        <f t="shared" ref="B11:I11" si="10">'2.1.'!B45</f>
        <v>#REF!</v>
      </c>
      <c r="C11" s="74" t="str">
        <f t="shared" si="10"/>
        <v>#REF!</v>
      </c>
      <c r="D11" s="171" t="str">
        <f t="shared" si="10"/>
        <v>#REF!</v>
      </c>
      <c r="E11" s="171" t="str">
        <f t="shared" si="10"/>
        <v>#REF!</v>
      </c>
      <c r="F11" s="173" t="str">
        <f t="shared" si="10"/>
        <v>#REF!</v>
      </c>
      <c r="G11" s="184" t="str">
        <f t="shared" si="10"/>
        <v>#REF!</v>
      </c>
      <c r="H11" s="120" t="str">
        <f t="shared" si="10"/>
        <v>#REF!</v>
      </c>
      <c r="I11" s="120" t="str">
        <f t="shared" si="10"/>
        <v>#REF!</v>
      </c>
    </row>
    <row r="12" ht="14.25" customHeight="1">
      <c r="A12" s="171" t="str">
        <f t="shared" si="4"/>
        <v>#REF!</v>
      </c>
      <c r="B12" s="74" t="str">
        <f t="shared" ref="B12:I12" si="11">'2.1.'!B46</f>
        <v>#REF!</v>
      </c>
      <c r="C12" s="74" t="str">
        <f t="shared" si="11"/>
        <v>#REF!</v>
      </c>
      <c r="D12" s="171" t="str">
        <f t="shared" si="11"/>
        <v>#REF!</v>
      </c>
      <c r="E12" s="171" t="str">
        <f t="shared" si="11"/>
        <v>#REF!</v>
      </c>
      <c r="F12" s="173" t="str">
        <f t="shared" si="11"/>
        <v>#REF!</v>
      </c>
      <c r="G12" s="184" t="str">
        <f t="shared" si="11"/>
        <v>#REF!</v>
      </c>
      <c r="H12" s="120" t="str">
        <f t="shared" si="11"/>
        <v>#REF!</v>
      </c>
      <c r="I12" s="120" t="str">
        <f t="shared" si="11"/>
        <v>#REF!</v>
      </c>
    </row>
    <row r="13" ht="14.25" customHeight="1">
      <c r="A13" s="127" t="str">
        <f t="shared" si="4"/>
        <v>#REF!</v>
      </c>
      <c r="B13" s="127" t="str">
        <f t="shared" ref="B13:I13" si="12">'2.1.'!B47</f>
        <v>#REF!</v>
      </c>
      <c r="C13" s="127" t="str">
        <f t="shared" si="12"/>
        <v>#REF!</v>
      </c>
      <c r="D13" s="127" t="str">
        <f t="shared" si="12"/>
        <v>#REF!</v>
      </c>
      <c r="E13" s="127" t="str">
        <f t="shared" si="12"/>
        <v>#REF!</v>
      </c>
      <c r="F13" s="126" t="str">
        <f t="shared" si="12"/>
        <v>#REF!</v>
      </c>
      <c r="G13" s="3" t="str">
        <f t="shared" si="12"/>
        <v>#REF!</v>
      </c>
      <c r="H13" s="120" t="str">
        <f t="shared" si="12"/>
        <v>#REF!</v>
      </c>
      <c r="I13" s="120" t="str">
        <f t="shared" si="12"/>
        <v>#REF!</v>
      </c>
    </row>
    <row r="14" ht="14.25" customHeight="1">
      <c r="A14" s="175" t="str">
        <f t="shared" si="4"/>
        <v>#REF!</v>
      </c>
      <c r="B14" s="176" t="str">
        <f t="shared" ref="B14:I14" si="13">'2.1.'!B48</f>
        <v>#REF!</v>
      </c>
      <c r="C14" s="176" t="str">
        <f t="shared" si="13"/>
        <v>#REF!</v>
      </c>
      <c r="D14" s="176" t="str">
        <f t="shared" si="13"/>
        <v>#REF!</v>
      </c>
      <c r="E14" s="176" t="str">
        <f t="shared" si="13"/>
        <v>#REF!</v>
      </c>
      <c r="F14" s="176" t="str">
        <f t="shared" si="13"/>
        <v>#REF!</v>
      </c>
      <c r="G14" s="177" t="str">
        <f t="shared" si="13"/>
        <v>#REF!</v>
      </c>
      <c r="H14" s="176" t="str">
        <f t="shared" si="13"/>
        <v>#REF!</v>
      </c>
      <c r="I14" s="178" t="str">
        <f t="shared" si="13"/>
        <v>#REF!</v>
      </c>
    </row>
    <row r="15" ht="14.25" customHeight="1">
      <c r="G15" s="3"/>
    </row>
    <row r="16" ht="14.25" customHeight="1">
      <c r="G16" s="3"/>
    </row>
    <row r="17" ht="14.25" customHeight="1">
      <c r="A17" s="198" t="str">
        <f t="shared" ref="A17:A26" si="15">'2.1.'!A67</f>
        <v>#REF!</v>
      </c>
      <c r="B17" s="164"/>
      <c r="C17" s="76" t="str">
        <f t="shared" ref="C17:I17" si="14">'2.1.'!C67</f>
        <v>#REF!</v>
      </c>
      <c r="D17" s="76" t="str">
        <f t="shared" si="14"/>
        <v>#REF!</v>
      </c>
      <c r="E17" s="76" t="str">
        <f t="shared" si="14"/>
        <v>#REF!</v>
      </c>
      <c r="F17" s="76" t="str">
        <f t="shared" si="14"/>
        <v>#REF!</v>
      </c>
      <c r="G17" s="2" t="str">
        <f t="shared" si="14"/>
        <v>#REF!</v>
      </c>
      <c r="H17" s="76" t="str">
        <f t="shared" si="14"/>
        <v>#REF!</v>
      </c>
      <c r="I17" s="76" t="str">
        <f t="shared" si="14"/>
        <v>#REF!</v>
      </c>
    </row>
    <row r="18" ht="14.25" customHeight="1">
      <c r="A18" s="169" t="str">
        <f t="shared" si="15"/>
        <v>#REF!</v>
      </c>
      <c r="B18" s="169" t="str">
        <f t="shared" ref="B18:I18" si="16">'2.1.'!B68</f>
        <v>#REF!</v>
      </c>
      <c r="C18" s="169" t="str">
        <f t="shared" si="16"/>
        <v>#REF!</v>
      </c>
      <c r="D18" s="169" t="str">
        <f t="shared" si="16"/>
        <v>#REF!</v>
      </c>
      <c r="E18" s="169" t="str">
        <f t="shared" si="16"/>
        <v>#REF!</v>
      </c>
      <c r="F18" s="169" t="str">
        <f t="shared" si="16"/>
        <v>#REF!</v>
      </c>
      <c r="G18" s="4" t="str">
        <f t="shared" si="16"/>
        <v>#REF!</v>
      </c>
      <c r="H18" s="169" t="str">
        <f t="shared" si="16"/>
        <v>#REF!</v>
      </c>
      <c r="I18" s="169" t="str">
        <f t="shared" si="16"/>
        <v>#REF!</v>
      </c>
    </row>
    <row r="19" ht="14.25" customHeight="1">
      <c r="A19" s="171" t="str">
        <f t="shared" si="15"/>
        <v>#REF!</v>
      </c>
      <c r="B19" s="74" t="str">
        <f t="shared" ref="B19:I19" si="17">'2.1.'!B69</f>
        <v>#REF!</v>
      </c>
      <c r="C19" s="74" t="str">
        <f t="shared" si="17"/>
        <v>#REF!</v>
      </c>
      <c r="D19" s="171" t="str">
        <f t="shared" si="17"/>
        <v>#REF!</v>
      </c>
      <c r="E19" s="171" t="str">
        <f t="shared" si="17"/>
        <v>#REF!</v>
      </c>
      <c r="F19" s="173" t="str">
        <f t="shared" si="17"/>
        <v>#REF!</v>
      </c>
      <c r="G19" s="174" t="str">
        <f t="shared" si="17"/>
        <v>#REF!</v>
      </c>
      <c r="H19" s="120" t="str">
        <f t="shared" si="17"/>
        <v>#REF!</v>
      </c>
      <c r="I19" s="120" t="str">
        <f t="shared" si="17"/>
        <v>#REF!</v>
      </c>
    </row>
    <row r="20" ht="14.25" customHeight="1">
      <c r="A20" s="171" t="str">
        <f t="shared" si="15"/>
        <v>#REF!</v>
      </c>
      <c r="B20" s="74" t="str">
        <f t="shared" ref="B20:I20" si="18">'2.1.'!B70</f>
        <v>#REF!</v>
      </c>
      <c r="C20" s="74" t="str">
        <f t="shared" si="18"/>
        <v>#REF!</v>
      </c>
      <c r="D20" s="171" t="str">
        <f t="shared" si="18"/>
        <v>#REF!</v>
      </c>
      <c r="E20" s="171" t="str">
        <f t="shared" si="18"/>
        <v>#REF!</v>
      </c>
      <c r="F20" s="173" t="str">
        <f t="shared" si="18"/>
        <v>#REF!</v>
      </c>
      <c r="G20" s="174" t="str">
        <f t="shared" si="18"/>
        <v>#REF!</v>
      </c>
      <c r="H20" s="120" t="str">
        <f t="shared" si="18"/>
        <v>#REF!</v>
      </c>
      <c r="I20" s="120" t="str">
        <f t="shared" si="18"/>
        <v>#REF!</v>
      </c>
    </row>
    <row r="21" ht="14.25" customHeight="1">
      <c r="A21" s="171" t="str">
        <f t="shared" si="15"/>
        <v>#REF!</v>
      </c>
      <c r="B21" s="74" t="str">
        <f t="shared" ref="B21:I21" si="19">'2.1.'!B71</f>
        <v>#REF!</v>
      </c>
      <c r="C21" s="74" t="str">
        <f t="shared" si="19"/>
        <v>#REF!</v>
      </c>
      <c r="D21" s="171" t="str">
        <f t="shared" si="19"/>
        <v>#REF!</v>
      </c>
      <c r="E21" s="171" t="str">
        <f t="shared" si="19"/>
        <v>#REF!</v>
      </c>
      <c r="F21" s="173" t="str">
        <f t="shared" si="19"/>
        <v>#REF!</v>
      </c>
      <c r="G21" s="174" t="str">
        <f t="shared" si="19"/>
        <v>#REF!</v>
      </c>
      <c r="H21" s="120" t="str">
        <f t="shared" si="19"/>
        <v>#REF!</v>
      </c>
      <c r="I21" s="120" t="str">
        <f t="shared" si="19"/>
        <v>#REF!</v>
      </c>
    </row>
    <row r="22" ht="14.25" customHeight="1">
      <c r="A22" s="171" t="str">
        <f t="shared" si="15"/>
        <v>#REF!</v>
      </c>
      <c r="B22" s="74" t="str">
        <f t="shared" ref="B22:I22" si="20">'2.1.'!B72</f>
        <v>#REF!</v>
      </c>
      <c r="C22" s="74" t="str">
        <f t="shared" si="20"/>
        <v>#REF!</v>
      </c>
      <c r="D22" s="171" t="str">
        <f t="shared" si="20"/>
        <v>#REF!</v>
      </c>
      <c r="E22" s="171" t="str">
        <f t="shared" si="20"/>
        <v>#REF!</v>
      </c>
      <c r="F22" s="173" t="str">
        <f t="shared" si="20"/>
        <v>#REF!</v>
      </c>
      <c r="G22" s="174" t="str">
        <f t="shared" si="20"/>
        <v>#REF!</v>
      </c>
      <c r="H22" s="120" t="str">
        <f t="shared" si="20"/>
        <v>#REF!</v>
      </c>
      <c r="I22" s="120" t="str">
        <f t="shared" si="20"/>
        <v>#REF!</v>
      </c>
    </row>
    <row r="23" ht="14.25" customHeight="1">
      <c r="A23" s="171" t="str">
        <f t="shared" si="15"/>
        <v>#REF!</v>
      </c>
      <c r="B23" s="74" t="str">
        <f t="shared" ref="B23:I23" si="21">'2.1.'!B73</f>
        <v>#REF!</v>
      </c>
      <c r="C23" s="74" t="str">
        <f t="shared" si="21"/>
        <v>#REF!</v>
      </c>
      <c r="D23" s="171" t="str">
        <f t="shared" si="21"/>
        <v>#REF!</v>
      </c>
      <c r="E23" s="171" t="str">
        <f t="shared" si="21"/>
        <v>#REF!</v>
      </c>
      <c r="F23" s="173" t="str">
        <f t="shared" si="21"/>
        <v>#REF!</v>
      </c>
      <c r="G23" s="174" t="str">
        <f t="shared" si="21"/>
        <v>#REF!</v>
      </c>
      <c r="H23" s="120" t="str">
        <f t="shared" si="21"/>
        <v>#REF!</v>
      </c>
      <c r="I23" s="120" t="str">
        <f t="shared" si="21"/>
        <v>#REF!</v>
      </c>
    </row>
    <row r="24" ht="14.25" customHeight="1">
      <c r="A24" s="171" t="str">
        <f t="shared" si="15"/>
        <v>#REF!</v>
      </c>
      <c r="B24" s="74" t="str">
        <f t="shared" ref="B24:I24" si="22">'2.1.'!B74</f>
        <v>#REF!</v>
      </c>
      <c r="C24" s="74" t="str">
        <f t="shared" si="22"/>
        <v>#REF!</v>
      </c>
      <c r="D24" s="171" t="str">
        <f t="shared" si="22"/>
        <v>#REF!</v>
      </c>
      <c r="E24" s="171" t="str">
        <f t="shared" si="22"/>
        <v>#REF!</v>
      </c>
      <c r="F24" s="173" t="str">
        <f t="shared" si="22"/>
        <v>#REF!</v>
      </c>
      <c r="G24" s="174" t="str">
        <f t="shared" si="22"/>
        <v>#REF!</v>
      </c>
      <c r="H24" s="120" t="str">
        <f t="shared" si="22"/>
        <v>#REF!</v>
      </c>
      <c r="I24" s="120" t="str">
        <f t="shared" si="22"/>
        <v>#REF!</v>
      </c>
    </row>
    <row r="25" ht="14.25" customHeight="1">
      <c r="A25" s="127" t="str">
        <f t="shared" si="15"/>
        <v>#REF!</v>
      </c>
      <c r="B25" s="127" t="str">
        <f t="shared" ref="B25:I25" si="23">'2.1.'!B75</f>
        <v>#REF!</v>
      </c>
      <c r="C25" s="127" t="str">
        <f t="shared" si="23"/>
        <v>#REF!</v>
      </c>
      <c r="D25" s="127" t="str">
        <f t="shared" si="23"/>
        <v>#REF!</v>
      </c>
      <c r="E25" s="127" t="str">
        <f t="shared" si="23"/>
        <v>#REF!</v>
      </c>
      <c r="F25" s="126" t="str">
        <f t="shared" si="23"/>
        <v>#REF!</v>
      </c>
      <c r="G25" s="3" t="str">
        <f t="shared" si="23"/>
        <v>#REF!</v>
      </c>
      <c r="H25" s="120" t="str">
        <f t="shared" si="23"/>
        <v>#REF!</v>
      </c>
      <c r="I25" s="120" t="str">
        <f t="shared" si="23"/>
        <v>#REF!</v>
      </c>
    </row>
    <row r="26" ht="14.25" customHeight="1">
      <c r="A26" s="175" t="str">
        <f t="shared" si="15"/>
        <v>#REF!</v>
      </c>
      <c r="B26" s="176" t="str">
        <f t="shared" ref="B26:I26" si="24">'2.1.'!B76</f>
        <v>#REF!</v>
      </c>
      <c r="C26" s="176" t="str">
        <f t="shared" si="24"/>
        <v>#REF!</v>
      </c>
      <c r="D26" s="176" t="str">
        <f t="shared" si="24"/>
        <v>#REF!</v>
      </c>
      <c r="E26" s="176" t="str">
        <f t="shared" si="24"/>
        <v>#REF!</v>
      </c>
      <c r="F26" s="176" t="str">
        <f t="shared" si="24"/>
        <v>#REF!</v>
      </c>
      <c r="G26" s="177" t="str">
        <f t="shared" si="24"/>
        <v>#REF!</v>
      </c>
      <c r="H26" s="176" t="str">
        <f t="shared" si="24"/>
        <v>#REF!</v>
      </c>
      <c r="I26" s="178" t="str">
        <f t="shared" si="24"/>
        <v>#REF!</v>
      </c>
    </row>
    <row r="27" ht="14.25" customHeight="1">
      <c r="G27" s="3"/>
    </row>
    <row r="28" ht="14.25" customHeight="1">
      <c r="G28" s="3"/>
    </row>
    <row r="29" ht="23.25" customHeight="1">
      <c r="A29" s="162">
        <f>'2.2.'!A3</f>
        <v>45324</v>
      </c>
      <c r="B29" s="163" t="str">
        <f>'2.1.'!B29</f>
        <v>#REF!</v>
      </c>
      <c r="C29" s="164"/>
      <c r="D29" s="164"/>
      <c r="E29" s="164"/>
      <c r="F29" s="164"/>
      <c r="G29" s="202" t="str">
        <f t="shared" ref="G29:I29" si="25">'2.1.'!G29</f>
        <v>#REF!</v>
      </c>
      <c r="H29" s="166" t="str">
        <f t="shared" si="25"/>
        <v>#REF!</v>
      </c>
      <c r="I29" s="201" t="str">
        <f t="shared" si="25"/>
        <v>#REF!</v>
      </c>
    </row>
    <row r="30" ht="14.25" customHeight="1">
      <c r="G30" s="3"/>
    </row>
    <row r="31" ht="14.25" customHeight="1">
      <c r="A31" s="168" t="str">
        <f>'2.2.'!A39</f>
        <v>MANO DE OBRA - EQUIPOS</v>
      </c>
      <c r="B31" s="76" t="str">
        <f>'2.2.'!B39</f>
        <v/>
      </c>
      <c r="C31" s="76" t="str">
        <f>'2.2.'!C39</f>
        <v/>
      </c>
      <c r="D31" s="76" t="str">
        <f>'2.2.'!D39</f>
        <v/>
      </c>
      <c r="E31" s="76" t="str">
        <f>'2.2.'!E39</f>
        <v/>
      </c>
      <c r="F31" s="76" t="str">
        <f>'2.2.'!F39</f>
        <v/>
      </c>
      <c r="G31" s="2" t="str">
        <f>'2.2.'!G39</f>
        <v/>
      </c>
      <c r="H31" s="76" t="str">
        <f>'2.2.'!H39</f>
        <v/>
      </c>
      <c r="I31" s="76" t="str">
        <f>'2.2.'!I39</f>
        <v/>
      </c>
    </row>
    <row r="32" ht="14.25" customHeight="1">
      <c r="A32" s="169" t="str">
        <f>'2.2.'!A40</f>
        <v>Código</v>
      </c>
      <c r="B32" s="169" t="str">
        <f>'2.2.'!B40</f>
        <v>Descripción</v>
      </c>
      <c r="C32" s="169" t="str">
        <f>'2.2.'!C40</f>
        <v>Unidad</v>
      </c>
      <c r="D32" s="169" t="str">
        <f>'2.2.'!D40</f>
        <v>Cantidad</v>
      </c>
      <c r="E32" s="169" t="str">
        <f>'2.2.'!E40</f>
        <v>Dias</v>
      </c>
      <c r="F32" s="169" t="str">
        <f>'2.2.'!F40</f>
        <v>Desperdicio</v>
      </c>
      <c r="G32" s="4" t="str">
        <f>'2.2.'!G40</f>
        <v>Cantidad + Desperdicio</v>
      </c>
      <c r="H32" s="169" t="str">
        <f>'2.2.'!H40</f>
        <v>Precio Unitario</v>
      </c>
      <c r="I32" s="169" t="str">
        <f>'2.2.'!I40</f>
        <v>Subtotal</v>
      </c>
    </row>
    <row r="33" ht="14.25" customHeight="1">
      <c r="A33" s="171" t="str">
        <f>'2.2.'!A41</f>
        <v/>
      </c>
      <c r="B33" s="74" t="str">
        <f>'2.2.'!B41</f>
        <v/>
      </c>
      <c r="C33" s="74" t="str">
        <f>'2.2.'!C41</f>
        <v/>
      </c>
      <c r="D33" s="171" t="str">
        <f>'2.2.'!D41</f>
        <v/>
      </c>
      <c r="E33" s="171" t="str">
        <f>'2.2.'!E41</f>
        <v/>
      </c>
      <c r="F33" s="173" t="str">
        <f>'2.2.'!F41</f>
        <v/>
      </c>
      <c r="G33" s="184">
        <f>'2.2.'!G41</f>
        <v>0</v>
      </c>
      <c r="H33" s="120" t="str">
        <f>'2.2.'!H41</f>
        <v/>
      </c>
      <c r="I33" s="120">
        <f>'2.2.'!I41</f>
        <v>0</v>
      </c>
    </row>
    <row r="34" ht="14.25" customHeight="1">
      <c r="A34" s="171" t="str">
        <f>'2.2.'!A42</f>
        <v/>
      </c>
      <c r="B34" s="74" t="str">
        <f>'2.2.'!B42</f>
        <v/>
      </c>
      <c r="C34" s="74" t="str">
        <f>'2.2.'!C42</f>
        <v/>
      </c>
      <c r="D34" s="171" t="str">
        <f>'2.2.'!D42</f>
        <v/>
      </c>
      <c r="E34" s="171" t="str">
        <f>'2.2.'!E42</f>
        <v/>
      </c>
      <c r="F34" s="173" t="str">
        <f>'2.2.'!F42</f>
        <v/>
      </c>
      <c r="G34" s="184">
        <f>'2.2.'!G42</f>
        <v>0</v>
      </c>
      <c r="H34" s="120" t="str">
        <f>'2.2.'!H42</f>
        <v/>
      </c>
      <c r="I34" s="120">
        <f>'2.2.'!I42</f>
        <v>0</v>
      </c>
    </row>
    <row r="35" ht="14.25" customHeight="1">
      <c r="A35" s="171" t="str">
        <f>'2.2.'!A43</f>
        <v/>
      </c>
      <c r="B35" s="74" t="str">
        <f>'2.2.'!B43</f>
        <v/>
      </c>
      <c r="C35" s="74" t="str">
        <f>'2.2.'!C43</f>
        <v/>
      </c>
      <c r="D35" s="171" t="str">
        <f>'2.2.'!D43</f>
        <v/>
      </c>
      <c r="E35" s="171" t="str">
        <f>'2.2.'!E43</f>
        <v/>
      </c>
      <c r="F35" s="173" t="str">
        <f>'2.2.'!F43</f>
        <v/>
      </c>
      <c r="G35" s="184">
        <f>'2.2.'!G43</f>
        <v>0</v>
      </c>
      <c r="H35" s="120" t="str">
        <f>'2.2.'!H43</f>
        <v/>
      </c>
      <c r="I35" s="120">
        <f>'2.2.'!I43</f>
        <v>0</v>
      </c>
    </row>
    <row r="36" ht="14.25" customHeight="1">
      <c r="A36" s="171" t="str">
        <f>'2.2.'!A44</f>
        <v/>
      </c>
      <c r="B36" s="74" t="str">
        <f>'2.2.'!B44</f>
        <v/>
      </c>
      <c r="C36" s="74" t="str">
        <f>'2.2.'!C44</f>
        <v/>
      </c>
      <c r="D36" s="171" t="str">
        <f>'2.2.'!D44</f>
        <v/>
      </c>
      <c r="E36" s="171" t="str">
        <f>'2.2.'!E44</f>
        <v/>
      </c>
      <c r="F36" s="173" t="str">
        <f>'2.2.'!F44</f>
        <v/>
      </c>
      <c r="G36" s="184">
        <f>'2.2.'!G44</f>
        <v>0</v>
      </c>
      <c r="H36" s="120" t="str">
        <f>'2.2.'!H44</f>
        <v/>
      </c>
      <c r="I36" s="120">
        <f>'2.2.'!I44</f>
        <v>0</v>
      </c>
    </row>
    <row r="37" ht="14.25" customHeight="1">
      <c r="A37" s="171" t="str">
        <f>'2.2.'!A45</f>
        <v/>
      </c>
      <c r="B37" s="74" t="str">
        <f>'2.2.'!B45</f>
        <v/>
      </c>
      <c r="C37" s="74" t="str">
        <f>'2.2.'!C45</f>
        <v/>
      </c>
      <c r="D37" s="171" t="str">
        <f>'2.2.'!D45</f>
        <v/>
      </c>
      <c r="E37" s="171" t="str">
        <f>'2.2.'!E45</f>
        <v/>
      </c>
      <c r="F37" s="173" t="str">
        <f>'2.2.'!F45</f>
        <v/>
      </c>
      <c r="G37" s="184">
        <f>'2.2.'!G45</f>
        <v>0</v>
      </c>
      <c r="H37" s="120" t="str">
        <f>'2.2.'!H45</f>
        <v/>
      </c>
      <c r="I37" s="120" t="str">
        <f>'2.2.'!I45</f>
        <v/>
      </c>
    </row>
    <row r="38" ht="14.25" customHeight="1">
      <c r="A38" s="171" t="str">
        <f>'2.2.'!A46</f>
        <v/>
      </c>
      <c r="B38" s="74" t="str">
        <f>'2.2.'!B46</f>
        <v/>
      </c>
      <c r="C38" s="74" t="str">
        <f>'2.2.'!C46</f>
        <v/>
      </c>
      <c r="D38" s="171" t="str">
        <f>'2.2.'!D46</f>
        <v/>
      </c>
      <c r="E38" s="171" t="str">
        <f>'2.2.'!E46</f>
        <v/>
      </c>
      <c r="F38" s="173" t="str">
        <f>'2.2.'!F46</f>
        <v/>
      </c>
      <c r="G38" s="184">
        <f>'2.2.'!G46</f>
        <v>0</v>
      </c>
      <c r="H38" s="120" t="str">
        <f>'2.2.'!H46</f>
        <v/>
      </c>
      <c r="I38" s="120" t="str">
        <f>'2.2.'!I46</f>
        <v/>
      </c>
    </row>
    <row r="39" ht="14.25" customHeight="1">
      <c r="A39" s="127" t="str">
        <f>'2.2.'!A47</f>
        <v/>
      </c>
      <c r="B39" s="127" t="str">
        <f>'2.2.'!B47</f>
        <v/>
      </c>
      <c r="C39" s="127" t="str">
        <f>'2.2.'!C47</f>
        <v/>
      </c>
      <c r="D39" s="127" t="str">
        <f>'2.2.'!D47</f>
        <v/>
      </c>
      <c r="E39" s="127" t="str">
        <f>'2.2.'!E47</f>
        <v/>
      </c>
      <c r="F39" s="126" t="str">
        <f>'2.2.'!F47</f>
        <v/>
      </c>
      <c r="G39" s="3" t="str">
        <f>'2.2.'!G47</f>
        <v/>
      </c>
      <c r="H39" s="120" t="str">
        <f>'2.2.'!H47</f>
        <v/>
      </c>
      <c r="I39" s="120" t="str">
        <f>'2.2.'!I47</f>
        <v/>
      </c>
    </row>
    <row r="40" ht="14.25" customHeight="1">
      <c r="A40" s="175" t="str">
        <f>'2.2.'!A48</f>
        <v>TOTAL</v>
      </c>
      <c r="B40" s="176" t="str">
        <f>'2.2.'!B48</f>
        <v/>
      </c>
      <c r="C40" s="176" t="str">
        <f>'2.2.'!C48</f>
        <v/>
      </c>
      <c r="D40" s="176" t="str">
        <f>'2.2.'!D48</f>
        <v/>
      </c>
      <c r="E40" s="176" t="str">
        <f>'2.2.'!E48</f>
        <v/>
      </c>
      <c r="F40" s="176" t="str">
        <f>'2.2.'!F48</f>
        <v/>
      </c>
      <c r="G40" s="177" t="str">
        <f>'2.2.'!G48</f>
        <v/>
      </c>
      <c r="H40" s="176" t="str">
        <f>'2.2.'!H48</f>
        <v/>
      </c>
      <c r="I40" s="178">
        <f>'2.2.'!I48</f>
        <v>0</v>
      </c>
    </row>
    <row r="41" ht="14.25" customHeight="1">
      <c r="G41" s="3"/>
    </row>
    <row r="42" ht="14.25" customHeight="1">
      <c r="G42" s="3"/>
    </row>
    <row r="43" ht="14.25" customHeight="1">
      <c r="A43" s="168" t="str">
        <f>'2.2.'!A67</f>
        <v>MANO DE OBRA - SUBCONTRATOS</v>
      </c>
      <c r="B43" s="76" t="str">
        <f>'2.2.'!B67</f>
        <v/>
      </c>
      <c r="C43" s="76" t="str">
        <f>'2.2.'!C67</f>
        <v/>
      </c>
      <c r="D43" s="76" t="str">
        <f>'2.2.'!D67</f>
        <v/>
      </c>
      <c r="E43" s="76" t="str">
        <f>'2.2.'!E67</f>
        <v/>
      </c>
      <c r="F43" s="76" t="str">
        <f>'2.2.'!F67</f>
        <v/>
      </c>
      <c r="G43" s="2" t="str">
        <f>'2.2.'!G67</f>
        <v/>
      </c>
      <c r="H43" s="76" t="str">
        <f>'2.2.'!H67</f>
        <v/>
      </c>
      <c r="I43" s="76" t="str">
        <f>'2.2.'!I67</f>
        <v/>
      </c>
    </row>
    <row r="44" ht="14.25" customHeight="1">
      <c r="A44" s="169" t="str">
        <f>'2.2.'!A68</f>
        <v>Código</v>
      </c>
      <c r="B44" s="169" t="str">
        <f>'2.2.'!B68</f>
        <v>Descripción</v>
      </c>
      <c r="C44" s="169" t="str">
        <f>'2.2.'!C68</f>
        <v>Unidad</v>
      </c>
      <c r="D44" s="169" t="str">
        <f>'2.2.'!D68</f>
        <v>Cantidad</v>
      </c>
      <c r="E44" s="169" t="str">
        <f>'2.2.'!E68</f>
        <v>Dias</v>
      </c>
      <c r="F44" s="169" t="str">
        <f>'2.2.'!F68</f>
        <v>Desperdicio</v>
      </c>
      <c r="G44" s="4" t="str">
        <f>'2.2.'!G68</f>
        <v>Cantidad + Desperdicio</v>
      </c>
      <c r="H44" s="169" t="str">
        <f>'2.2.'!H68</f>
        <v>Precio Unitario</v>
      </c>
      <c r="I44" s="169" t="str">
        <f>'2.2.'!I68</f>
        <v>Subtotal</v>
      </c>
    </row>
    <row r="45" ht="14.25" customHeight="1">
      <c r="A45" s="171" t="str">
        <f>'2.2.'!A69</f>
        <v/>
      </c>
      <c r="B45" s="74" t="str">
        <f>'2.2.'!B69</f>
        <v/>
      </c>
      <c r="C45" s="74" t="str">
        <f>'2.2.'!C69</f>
        <v/>
      </c>
      <c r="D45" s="171" t="str">
        <f>'2.2.'!D69</f>
        <v/>
      </c>
      <c r="E45" s="171" t="str">
        <f>'2.2.'!E69</f>
        <v/>
      </c>
      <c r="F45" s="173" t="str">
        <f>'2.2.'!F69</f>
        <v/>
      </c>
      <c r="G45" s="174">
        <f>'2.2.'!G69</f>
        <v>0</v>
      </c>
      <c r="H45" s="120" t="str">
        <f>'2.2.'!H69</f>
        <v/>
      </c>
      <c r="I45" s="120">
        <f>'2.2.'!I69</f>
        <v>0</v>
      </c>
    </row>
    <row r="46" ht="14.25" customHeight="1">
      <c r="A46" s="171" t="str">
        <f>'2.2.'!A70</f>
        <v>MS-Mr</v>
      </c>
      <c r="B46" s="74" t="str">
        <f>'2.2.'!B70</f>
        <v>MINIRETRO EXCAVADORA</v>
      </c>
      <c r="C46" s="74" t="str">
        <f>'2.2.'!C70</f>
        <v>u</v>
      </c>
      <c r="D46" s="171">
        <f>'2.2.'!D70</f>
        <v>1</v>
      </c>
      <c r="E46" s="171">
        <f>'2.2.'!E70</f>
        <v>25.21866667</v>
      </c>
      <c r="F46" s="173">
        <f>'2.2.'!F70</f>
        <v>0.1</v>
      </c>
      <c r="G46" s="174">
        <f>'2.2.'!G70</f>
        <v>28</v>
      </c>
      <c r="H46" s="120">
        <f>'2.2.'!H70</f>
        <v>550000</v>
      </c>
      <c r="I46" s="120">
        <f>'2.2.'!I70</f>
        <v>15400000</v>
      </c>
    </row>
    <row r="47" ht="14.25" customHeight="1">
      <c r="A47" s="171" t="str">
        <f>'2.2.'!A71</f>
        <v>ms-rv</v>
      </c>
      <c r="B47" s="74" t="str">
        <f>'2.2.'!B71</f>
        <v>RETIRO X VIAJE</v>
      </c>
      <c r="C47" s="74" t="str">
        <f>'2.2.'!C71</f>
        <v>u</v>
      </c>
      <c r="D47" s="171">
        <f>'2.2.'!D71</f>
        <v>1</v>
      </c>
      <c r="E47" s="171">
        <f>'2.2.'!E71</f>
        <v>378.28</v>
      </c>
      <c r="F47" s="173">
        <f>'2.2.'!F71</f>
        <v>0.1</v>
      </c>
      <c r="G47" s="174">
        <f>'2.2.'!G71</f>
        <v>417</v>
      </c>
      <c r="H47" s="120">
        <f>'2.2.'!H71</f>
        <v>55000</v>
      </c>
      <c r="I47" s="120">
        <f>'2.2.'!I71</f>
        <v>22935000</v>
      </c>
    </row>
    <row r="48" ht="14.25" customHeight="1">
      <c r="A48" s="171" t="str">
        <f>'2.2.'!A72</f>
        <v>MS-T</v>
      </c>
      <c r="B48" s="74" t="str">
        <f>'2.2.'!B72</f>
        <v>TRASLADO DE MAQUINARIA</v>
      </c>
      <c r="C48" s="74" t="str">
        <f>'2.2.'!C72</f>
        <v>u</v>
      </c>
      <c r="D48" s="171">
        <f>'2.2.'!D72</f>
        <v>1</v>
      </c>
      <c r="E48" s="171">
        <f>'2.2.'!E72</f>
        <v>1</v>
      </c>
      <c r="F48" s="173">
        <f>'2.2.'!F72</f>
        <v>0</v>
      </c>
      <c r="G48" s="174">
        <f>'2.2.'!G72</f>
        <v>1</v>
      </c>
      <c r="H48" s="120">
        <f>'2.2.'!H72</f>
        <v>300000</v>
      </c>
      <c r="I48" s="120">
        <f>'2.2.'!I72</f>
        <v>300000</v>
      </c>
    </row>
    <row r="49" ht="14.25" customHeight="1">
      <c r="A49" s="171" t="str">
        <f>'2.2.'!A73</f>
        <v/>
      </c>
      <c r="B49" s="74" t="str">
        <f>'2.2.'!B73</f>
        <v/>
      </c>
      <c r="C49" s="74" t="str">
        <f>'2.2.'!C73</f>
        <v/>
      </c>
      <c r="D49" s="171" t="str">
        <f>'2.2.'!D73</f>
        <v/>
      </c>
      <c r="E49" s="171" t="str">
        <f>'2.2.'!E73</f>
        <v/>
      </c>
      <c r="F49" s="173" t="str">
        <f>'2.2.'!F73</f>
        <v/>
      </c>
      <c r="G49" s="174">
        <f>'2.2.'!G73</f>
        <v>0</v>
      </c>
      <c r="H49" s="120" t="str">
        <f>'2.2.'!H73</f>
        <v/>
      </c>
      <c r="I49" s="120">
        <f>'2.2.'!I73</f>
        <v>0</v>
      </c>
    </row>
    <row r="50" ht="14.25" customHeight="1">
      <c r="A50" s="171" t="str">
        <f>'2.2.'!A74</f>
        <v/>
      </c>
      <c r="B50" s="74" t="str">
        <f>'2.2.'!B74</f>
        <v/>
      </c>
      <c r="C50" s="74" t="str">
        <f>'2.2.'!C74</f>
        <v/>
      </c>
      <c r="D50" s="171" t="str">
        <f>'2.2.'!D74</f>
        <v/>
      </c>
      <c r="E50" s="171" t="str">
        <f>'2.2.'!E74</f>
        <v/>
      </c>
      <c r="F50" s="173" t="str">
        <f>'2.2.'!F74</f>
        <v/>
      </c>
      <c r="G50" s="174">
        <f>'2.2.'!G74</f>
        <v>0</v>
      </c>
      <c r="H50" s="120" t="str">
        <f>'2.2.'!H74</f>
        <v/>
      </c>
      <c r="I50" s="120">
        <f>'2.2.'!I74</f>
        <v>0</v>
      </c>
    </row>
    <row r="51" ht="14.25" customHeight="1">
      <c r="A51" s="127" t="str">
        <f>'2.2.'!A75</f>
        <v/>
      </c>
      <c r="B51" s="127" t="str">
        <f>'2.2.'!B75</f>
        <v/>
      </c>
      <c r="C51" s="127" t="str">
        <f>'2.2.'!C75</f>
        <v/>
      </c>
      <c r="D51" s="127" t="str">
        <f>'2.2.'!D75</f>
        <v/>
      </c>
      <c r="E51" s="127" t="str">
        <f>'2.2.'!E75</f>
        <v/>
      </c>
      <c r="F51" s="126" t="str">
        <f>'2.2.'!F75</f>
        <v/>
      </c>
      <c r="G51" s="3" t="str">
        <f>'2.2.'!G75</f>
        <v/>
      </c>
      <c r="H51" s="120" t="str">
        <f>'2.2.'!H75</f>
        <v/>
      </c>
      <c r="I51" s="120" t="str">
        <f>'2.2.'!I75</f>
        <v/>
      </c>
    </row>
    <row r="52" ht="14.25" customHeight="1">
      <c r="A52" s="175" t="str">
        <f>'2.2.'!A76</f>
        <v>TOTAL</v>
      </c>
      <c r="B52" s="176" t="str">
        <f>'2.2.'!B76</f>
        <v/>
      </c>
      <c r="C52" s="176" t="str">
        <f>'2.2.'!C76</f>
        <v/>
      </c>
      <c r="D52" s="176" t="str">
        <f>'2.2.'!D76</f>
        <v/>
      </c>
      <c r="E52" s="176" t="str">
        <f>'2.2.'!E76</f>
        <v/>
      </c>
      <c r="F52" s="176" t="str">
        <f>'2.2.'!F76</f>
        <v/>
      </c>
      <c r="G52" s="177" t="str">
        <f>'2.2.'!G76</f>
        <v/>
      </c>
      <c r="H52" s="176" t="str">
        <f>'2.2.'!H76</f>
        <v/>
      </c>
      <c r="I52" s="178">
        <f>'2.2.'!I76</f>
        <v>38635000</v>
      </c>
    </row>
    <row r="53" ht="14.25" customHeight="1">
      <c r="G53" s="3"/>
    </row>
    <row r="54" ht="14.25" customHeight="1">
      <c r="G54" s="3"/>
    </row>
    <row r="55" ht="23.25" customHeight="1">
      <c r="A55" s="162">
        <f>'2.3.'!A3</f>
        <v>45353</v>
      </c>
      <c r="B55" s="163" t="str">
        <f>'2.1.'!B55</f>
        <v>#REF!</v>
      </c>
      <c r="C55" s="164"/>
      <c r="D55" s="164"/>
      <c r="E55" s="164"/>
      <c r="F55" s="164"/>
      <c r="G55" s="200" t="str">
        <f t="shared" ref="G55:I55" si="26">'2.1.'!G55</f>
        <v>#REF!</v>
      </c>
      <c r="H55" s="166" t="str">
        <f t="shared" si="26"/>
        <v>#REF!</v>
      </c>
      <c r="I55" s="201" t="str">
        <f t="shared" si="26"/>
        <v>#REF!</v>
      </c>
    </row>
    <row r="56" ht="14.25" customHeight="1">
      <c r="G56" s="3"/>
    </row>
    <row r="57" ht="14.25" customHeight="1">
      <c r="A57" s="168" t="str">
        <f>'2.3.'!A39</f>
        <v>MANO DE OBRA - EQUIPOS</v>
      </c>
      <c r="B57" s="76" t="str">
        <f>'2.3.'!B39</f>
        <v/>
      </c>
      <c r="C57" s="76" t="str">
        <f>'2.3.'!C39</f>
        <v/>
      </c>
      <c r="D57" s="76" t="str">
        <f>'2.3.'!D39</f>
        <v/>
      </c>
      <c r="E57" s="76" t="str">
        <f>'2.3.'!E39</f>
        <v/>
      </c>
      <c r="F57" s="76" t="str">
        <f>'2.3.'!F39</f>
        <v/>
      </c>
      <c r="G57" s="2" t="str">
        <f>'2.3.'!G39</f>
        <v/>
      </c>
      <c r="H57" s="76" t="str">
        <f>'2.3.'!H39</f>
        <v/>
      </c>
      <c r="I57" s="76" t="str">
        <f>'2.3.'!I39</f>
        <v/>
      </c>
    </row>
    <row r="58" ht="14.25" customHeight="1">
      <c r="A58" s="169" t="str">
        <f>'2.3.'!A40</f>
        <v>Código</v>
      </c>
      <c r="B58" s="169" t="str">
        <f>'2.3.'!B40</f>
        <v>Descripción</v>
      </c>
      <c r="C58" s="169" t="str">
        <f>'2.3.'!C40</f>
        <v>Unidad</v>
      </c>
      <c r="D58" s="169" t="str">
        <f>'2.3.'!D40</f>
        <v>Cantidad</v>
      </c>
      <c r="E58" s="169" t="str">
        <f>'2.3.'!E40</f>
        <v>Dias</v>
      </c>
      <c r="F58" s="169" t="str">
        <f>'2.3.'!F40</f>
        <v>Desperdicio</v>
      </c>
      <c r="G58" s="4" t="str">
        <f>'2.3.'!G40</f>
        <v>Cantidad + Desperdicio</v>
      </c>
      <c r="H58" s="169" t="str">
        <f>'2.3.'!H40</f>
        <v>Precio Unitario</v>
      </c>
      <c r="I58" s="169" t="str">
        <f>'2.3.'!I40</f>
        <v>Subtotal</v>
      </c>
    </row>
    <row r="59" ht="14.25" customHeight="1">
      <c r="A59" s="171" t="str">
        <f>'2.3.'!A41</f>
        <v/>
      </c>
      <c r="B59" s="74" t="str">
        <f>'2.3.'!B41</f>
        <v/>
      </c>
      <c r="C59" s="74" t="str">
        <f>'2.3.'!C41</f>
        <v/>
      </c>
      <c r="D59" s="171" t="str">
        <f>'2.3.'!D41</f>
        <v/>
      </c>
      <c r="E59" s="171" t="str">
        <f>'2.3.'!E41</f>
        <v/>
      </c>
      <c r="F59" s="173" t="str">
        <f>'2.3.'!F41</f>
        <v/>
      </c>
      <c r="G59" s="184">
        <f>'2.3.'!G41</f>
        <v>0</v>
      </c>
      <c r="H59" s="120" t="str">
        <f>'2.3.'!H41</f>
        <v/>
      </c>
      <c r="I59" s="120">
        <f>'2.3.'!I41</f>
        <v>0</v>
      </c>
    </row>
    <row r="60" ht="14.25" customHeight="1">
      <c r="A60" s="171" t="str">
        <f>'2.3.'!A42</f>
        <v/>
      </c>
      <c r="B60" s="74" t="str">
        <f>'2.3.'!B42</f>
        <v/>
      </c>
      <c r="C60" s="74" t="str">
        <f>'2.3.'!C42</f>
        <v/>
      </c>
      <c r="D60" s="171" t="str">
        <f>'2.3.'!D42</f>
        <v/>
      </c>
      <c r="E60" s="171" t="str">
        <f>'2.3.'!E42</f>
        <v/>
      </c>
      <c r="F60" s="173" t="str">
        <f>'2.3.'!F42</f>
        <v/>
      </c>
      <c r="G60" s="184">
        <f>'2.3.'!G42</f>
        <v>0</v>
      </c>
      <c r="H60" s="120" t="str">
        <f>'2.3.'!H42</f>
        <v/>
      </c>
      <c r="I60" s="120">
        <f>'2.3.'!I42</f>
        <v>0</v>
      </c>
    </row>
    <row r="61" ht="14.25" customHeight="1">
      <c r="A61" s="171" t="str">
        <f>'2.3.'!A43</f>
        <v/>
      </c>
      <c r="B61" s="74" t="str">
        <f>'2.3.'!B43</f>
        <v/>
      </c>
      <c r="C61" s="74" t="str">
        <f>'2.3.'!C43</f>
        <v/>
      </c>
      <c r="D61" s="171" t="str">
        <f>'2.3.'!D43</f>
        <v/>
      </c>
      <c r="E61" s="171" t="str">
        <f>'2.3.'!E43</f>
        <v/>
      </c>
      <c r="F61" s="173" t="str">
        <f>'2.3.'!F43</f>
        <v/>
      </c>
      <c r="G61" s="184">
        <f>'2.3.'!G43</f>
        <v>0</v>
      </c>
      <c r="H61" s="120" t="str">
        <f>'2.3.'!H43</f>
        <v/>
      </c>
      <c r="I61" s="120" t="str">
        <f>'2.3.'!I43</f>
        <v/>
      </c>
    </row>
    <row r="62" ht="14.25" customHeight="1">
      <c r="A62" s="171" t="str">
        <f>'2.3.'!A44</f>
        <v/>
      </c>
      <c r="B62" s="74" t="str">
        <f>'2.3.'!B44</f>
        <v/>
      </c>
      <c r="C62" s="74" t="str">
        <f>'2.3.'!C44</f>
        <v/>
      </c>
      <c r="D62" s="171" t="str">
        <f>'2.3.'!D44</f>
        <v/>
      </c>
      <c r="E62" s="171" t="str">
        <f>'2.3.'!E44</f>
        <v/>
      </c>
      <c r="F62" s="173" t="str">
        <f>'2.3.'!F44</f>
        <v/>
      </c>
      <c r="G62" s="184">
        <f>'2.3.'!G44</f>
        <v>0</v>
      </c>
      <c r="H62" s="120" t="str">
        <f>'2.3.'!H44</f>
        <v/>
      </c>
      <c r="I62" s="120" t="str">
        <f>'2.3.'!I44</f>
        <v/>
      </c>
    </row>
    <row r="63" ht="14.25" customHeight="1">
      <c r="A63" s="171" t="str">
        <f>'2.3.'!A45</f>
        <v/>
      </c>
      <c r="B63" s="74" t="str">
        <f>'2.3.'!B45</f>
        <v/>
      </c>
      <c r="C63" s="74" t="str">
        <f>'2.3.'!C45</f>
        <v/>
      </c>
      <c r="D63" s="171" t="str">
        <f>'2.3.'!D45</f>
        <v/>
      </c>
      <c r="E63" s="171" t="str">
        <f>'2.3.'!E45</f>
        <v/>
      </c>
      <c r="F63" s="173" t="str">
        <f>'2.3.'!F45</f>
        <v/>
      </c>
      <c r="G63" s="184">
        <f>'2.3.'!G45</f>
        <v>0</v>
      </c>
      <c r="H63" s="120" t="str">
        <f>'2.3.'!H45</f>
        <v/>
      </c>
      <c r="I63" s="120" t="str">
        <f>'2.3.'!I45</f>
        <v/>
      </c>
    </row>
    <row r="64" ht="14.25" customHeight="1">
      <c r="A64" s="171" t="str">
        <f>'2.3.'!A46</f>
        <v/>
      </c>
      <c r="B64" s="74" t="str">
        <f>'2.3.'!B46</f>
        <v/>
      </c>
      <c r="C64" s="74" t="str">
        <f>'2.3.'!C46</f>
        <v/>
      </c>
      <c r="D64" s="171" t="str">
        <f>'2.3.'!D46</f>
        <v/>
      </c>
      <c r="E64" s="171" t="str">
        <f>'2.3.'!E46</f>
        <v/>
      </c>
      <c r="F64" s="173" t="str">
        <f>'2.3.'!F46</f>
        <v/>
      </c>
      <c r="G64" s="184">
        <f>'2.3.'!G46</f>
        <v>0</v>
      </c>
      <c r="H64" s="120" t="str">
        <f>'2.3.'!H46</f>
        <v/>
      </c>
      <c r="I64" s="120" t="str">
        <f>'2.3.'!I46</f>
        <v/>
      </c>
    </row>
    <row r="65" ht="14.25" customHeight="1">
      <c r="A65" s="127" t="str">
        <f>'2.3.'!A47</f>
        <v/>
      </c>
      <c r="B65" s="127" t="str">
        <f>'2.3.'!B47</f>
        <v/>
      </c>
      <c r="C65" s="127" t="str">
        <f>'2.3.'!C47</f>
        <v/>
      </c>
      <c r="D65" s="127" t="str">
        <f>'2.3.'!D47</f>
        <v/>
      </c>
      <c r="E65" s="127" t="str">
        <f>'2.3.'!E47</f>
        <v/>
      </c>
      <c r="F65" s="126" t="str">
        <f>'2.3.'!F47</f>
        <v/>
      </c>
      <c r="G65" s="3" t="str">
        <f>'2.3.'!G47</f>
        <v/>
      </c>
      <c r="H65" s="120" t="str">
        <f>'2.3.'!H47</f>
        <v/>
      </c>
      <c r="I65" s="120" t="str">
        <f>'2.3.'!I47</f>
        <v/>
      </c>
    </row>
    <row r="66" ht="14.25" customHeight="1">
      <c r="A66" s="175" t="str">
        <f>'2.3.'!A48</f>
        <v>TOTAL</v>
      </c>
      <c r="B66" s="176" t="str">
        <f>'2.3.'!B48</f>
        <v/>
      </c>
      <c r="C66" s="176" t="str">
        <f>'2.3.'!C48</f>
        <v/>
      </c>
      <c r="D66" s="176" t="str">
        <f>'2.3.'!D48</f>
        <v/>
      </c>
      <c r="E66" s="176" t="str">
        <f>'2.3.'!E48</f>
        <v/>
      </c>
      <c r="F66" s="176" t="str">
        <f>'2.3.'!F48</f>
        <v/>
      </c>
      <c r="G66" s="177" t="str">
        <f>'2.3.'!G48</f>
        <v/>
      </c>
      <c r="H66" s="176" t="str">
        <f>'2.3.'!H48</f>
        <v/>
      </c>
      <c r="I66" s="178">
        <f>'2.3.'!I48</f>
        <v>0</v>
      </c>
    </row>
    <row r="67" ht="14.25" customHeight="1">
      <c r="G67" s="3"/>
    </row>
    <row r="68" ht="14.25" customHeight="1">
      <c r="G68" s="3"/>
    </row>
    <row r="69" ht="14.25" customHeight="1">
      <c r="A69" s="168" t="str">
        <f>'2.3.'!A67</f>
        <v>MANO DE OBRA - SUBCONTRATOS</v>
      </c>
      <c r="B69" s="76" t="str">
        <f>'2.3.'!B67</f>
        <v/>
      </c>
      <c r="C69" s="76" t="str">
        <f>'2.3.'!C67</f>
        <v/>
      </c>
      <c r="D69" s="76" t="str">
        <f>'2.3.'!D67</f>
        <v/>
      </c>
      <c r="E69" s="76" t="str">
        <f>'2.3.'!E67</f>
        <v/>
      </c>
      <c r="F69" s="76" t="str">
        <f>'2.3.'!F67</f>
        <v/>
      </c>
      <c r="G69" s="2" t="str">
        <f>'2.3.'!G67</f>
        <v/>
      </c>
      <c r="H69" s="76" t="str">
        <f>'2.3.'!H67</f>
        <v/>
      </c>
      <c r="I69" s="76" t="str">
        <f>'2.3.'!I67</f>
        <v/>
      </c>
    </row>
    <row r="70" ht="14.25" customHeight="1">
      <c r="A70" s="169" t="str">
        <f>'2.3.'!A68</f>
        <v>Código</v>
      </c>
      <c r="B70" s="169" t="str">
        <f>'2.3.'!B68</f>
        <v>Descripción</v>
      </c>
      <c r="C70" s="169" t="str">
        <f>'2.3.'!C68</f>
        <v>Unidad</v>
      </c>
      <c r="D70" s="169" t="str">
        <f>'2.3.'!D68</f>
        <v>Cantidad</v>
      </c>
      <c r="E70" s="169" t="str">
        <f>'2.3.'!E68</f>
        <v>Dias</v>
      </c>
      <c r="F70" s="169" t="str">
        <f>'2.3.'!F68</f>
        <v>Desperdicio</v>
      </c>
      <c r="G70" s="4" t="str">
        <f>'2.3.'!G68</f>
        <v>Cantidad + Desperdicio</v>
      </c>
      <c r="H70" s="169" t="str">
        <f>'2.3.'!H68</f>
        <v>Precio Unitario</v>
      </c>
      <c r="I70" s="169" t="str">
        <f>'2.3.'!I68</f>
        <v>Subtotal</v>
      </c>
    </row>
    <row r="71" ht="14.25" customHeight="1">
      <c r="A71" s="171" t="str">
        <f>'2.3.'!A69</f>
        <v/>
      </c>
      <c r="B71" s="74" t="str">
        <f>'2.3.'!B69</f>
        <v/>
      </c>
      <c r="C71" s="74" t="str">
        <f>'2.3.'!C69</f>
        <v/>
      </c>
      <c r="D71" s="171">
        <f>'2.3.'!D7</f>
        <v>390.5874</v>
      </c>
      <c r="E71" s="171" t="str">
        <f>'2.3.'!E69</f>
        <v/>
      </c>
      <c r="F71" s="173">
        <f>'2.3.'!F7</f>
        <v>0.1</v>
      </c>
      <c r="G71" s="174" t="str">
        <f>'2.3.'!G69</f>
        <v/>
      </c>
      <c r="H71" s="120" t="str">
        <f>'2.3.'!H69</f>
        <v/>
      </c>
      <c r="I71" s="120">
        <f>'2.3.'!I69</f>
        <v>0</v>
      </c>
    </row>
    <row r="72" ht="14.25" customHeight="1">
      <c r="A72" s="171" t="str">
        <f>'2.3.'!A70</f>
        <v>MS-MC</v>
      </c>
      <c r="B72" s="74" t="str">
        <f>'2.3.'!B70</f>
        <v>MINICARGADORA </v>
      </c>
      <c r="C72" s="74" t="str">
        <f>'2.3.'!C70</f>
        <v>u</v>
      </c>
      <c r="D72" s="171">
        <f>'2.3.'!D70</f>
        <v>1</v>
      </c>
      <c r="E72" s="171">
        <f>'2.3.'!E70</f>
        <v>14.96396429</v>
      </c>
      <c r="F72" s="173">
        <f>'2.3.'!F70</f>
        <v>0.25</v>
      </c>
      <c r="G72" s="174">
        <f>'2.3.'!G70</f>
        <v>19</v>
      </c>
      <c r="H72" s="120">
        <f>'2.3.'!H70</f>
        <v>420000</v>
      </c>
      <c r="I72" s="120">
        <f>'2.3.'!I70</f>
        <v>7980000</v>
      </c>
    </row>
    <row r="73" ht="14.25" customHeight="1">
      <c r="A73" s="171" t="str">
        <f>'2.3.'!A71</f>
        <v/>
      </c>
      <c r="B73" s="74" t="str">
        <f>'2.3.'!B71</f>
        <v/>
      </c>
      <c r="C73" s="74" t="str">
        <f>'2.3.'!C71</f>
        <v/>
      </c>
      <c r="D73" s="171" t="str">
        <f>'2.3.'!D71</f>
        <v/>
      </c>
      <c r="E73" s="171" t="str">
        <f>'2.3.'!E71</f>
        <v/>
      </c>
      <c r="F73" s="173" t="str">
        <f>'2.3.'!F71</f>
        <v/>
      </c>
      <c r="G73" s="174">
        <f>'2.3.'!G71</f>
        <v>0</v>
      </c>
      <c r="H73" s="120" t="str">
        <f>'2.3.'!H71</f>
        <v/>
      </c>
      <c r="I73" s="120" t="str">
        <f>'2.3.'!I71</f>
        <v/>
      </c>
    </row>
    <row r="74" ht="14.25" customHeight="1">
      <c r="A74" s="171" t="str">
        <f>'2.3.'!A72</f>
        <v/>
      </c>
      <c r="B74" s="74" t="str">
        <f>'2.3.'!B72</f>
        <v/>
      </c>
      <c r="C74" s="74" t="str">
        <f>'2.3.'!C72</f>
        <v/>
      </c>
      <c r="D74" s="171" t="str">
        <f>'2.3.'!D72</f>
        <v/>
      </c>
      <c r="E74" s="171" t="str">
        <f>'2.3.'!E72</f>
        <v/>
      </c>
      <c r="F74" s="173" t="str">
        <f>'2.3.'!F72</f>
        <v/>
      </c>
      <c r="G74" s="174">
        <f>'2.3.'!G72</f>
        <v>0</v>
      </c>
      <c r="H74" s="120" t="str">
        <f>'2.3.'!H72</f>
        <v/>
      </c>
      <c r="I74" s="120" t="str">
        <f>'2.3.'!I72</f>
        <v/>
      </c>
    </row>
    <row r="75" ht="14.25" customHeight="1">
      <c r="A75" s="171" t="str">
        <f>'2.3.'!A73</f>
        <v/>
      </c>
      <c r="B75" s="74" t="str">
        <f>'2.3.'!B73</f>
        <v/>
      </c>
      <c r="C75" s="74" t="str">
        <f>'2.3.'!C73</f>
        <v/>
      </c>
      <c r="D75" s="171" t="str">
        <f>'2.3.'!D73</f>
        <v/>
      </c>
      <c r="E75" s="171" t="str">
        <f>'2.3.'!E73</f>
        <v/>
      </c>
      <c r="F75" s="173" t="str">
        <f>'2.3.'!F73</f>
        <v/>
      </c>
      <c r="G75" s="174">
        <f>'2.3.'!G73</f>
        <v>0</v>
      </c>
      <c r="H75" s="120" t="str">
        <f>'2.3.'!H73</f>
        <v/>
      </c>
      <c r="I75" s="120" t="str">
        <f>'2.3.'!I73</f>
        <v/>
      </c>
    </row>
    <row r="76" ht="14.25" customHeight="1">
      <c r="A76" s="171" t="str">
        <f>'2.3.'!A74</f>
        <v/>
      </c>
      <c r="B76" s="74" t="str">
        <f>'2.3.'!B74</f>
        <v/>
      </c>
      <c r="C76" s="74" t="str">
        <f>'2.3.'!C74</f>
        <v/>
      </c>
      <c r="D76" s="171" t="str">
        <f>'2.3.'!D74</f>
        <v/>
      </c>
      <c r="E76" s="171" t="str">
        <f>'2.3.'!E74</f>
        <v/>
      </c>
      <c r="F76" s="173" t="str">
        <f>'2.3.'!F74</f>
        <v/>
      </c>
      <c r="G76" s="174">
        <f>'2.3.'!G74</f>
        <v>0</v>
      </c>
      <c r="H76" s="120" t="str">
        <f>'2.3.'!H74</f>
        <v/>
      </c>
      <c r="I76" s="120" t="str">
        <f>'2.3.'!I74</f>
        <v/>
      </c>
    </row>
    <row r="77" ht="14.25" customHeight="1">
      <c r="A77" s="127" t="str">
        <f>'2.3.'!A75</f>
        <v/>
      </c>
      <c r="B77" s="127" t="str">
        <f>'2.3.'!B75</f>
        <v/>
      </c>
      <c r="C77" s="127" t="str">
        <f>'2.3.'!C75</f>
        <v/>
      </c>
      <c r="D77" s="127" t="str">
        <f>'2.3.'!D75</f>
        <v/>
      </c>
      <c r="E77" s="127" t="str">
        <f>'2.3.'!E75</f>
        <v/>
      </c>
      <c r="F77" s="126" t="str">
        <f>'2.3.'!F75</f>
        <v/>
      </c>
      <c r="G77" s="3" t="str">
        <f>'2.3.'!G75</f>
        <v/>
      </c>
      <c r="H77" s="120" t="str">
        <f>'2.3.'!H75</f>
        <v/>
      </c>
      <c r="I77" s="120" t="str">
        <f>'2.3.'!I75</f>
        <v/>
      </c>
    </row>
    <row r="78" ht="14.25" customHeight="1">
      <c r="A78" s="175" t="str">
        <f>'2.3.'!A76</f>
        <v>TOTAL</v>
      </c>
      <c r="B78" s="176" t="str">
        <f>'2.3.'!B76</f>
        <v/>
      </c>
      <c r="C78" s="176" t="str">
        <f>'2.3.'!C76</f>
        <v/>
      </c>
      <c r="D78" s="176" t="str">
        <f>'2.3.'!D76</f>
        <v/>
      </c>
      <c r="E78" s="176" t="str">
        <f>'2.3.'!E76</f>
        <v/>
      </c>
      <c r="F78" s="176" t="str">
        <f>'2.3.'!F76</f>
        <v/>
      </c>
      <c r="G78" s="177" t="str">
        <f>'2.3.'!G76</f>
        <v/>
      </c>
      <c r="H78" s="176" t="str">
        <f>'2.3.'!H76</f>
        <v/>
      </c>
      <c r="I78" s="178">
        <f>'2.3.'!I76</f>
        <v>7980000</v>
      </c>
    </row>
    <row r="79" ht="14.25" customHeight="1">
      <c r="G79" s="3"/>
    </row>
    <row r="80" ht="14.25" customHeight="1">
      <c r="G80" s="3"/>
    </row>
    <row r="81" ht="23.25" customHeight="1">
      <c r="A81" s="162">
        <f>'3.1'!A3</f>
        <v>45660</v>
      </c>
      <c r="B81" s="163" t="str">
        <f>'2.1.'!B81</f>
        <v>#REF!</v>
      </c>
      <c r="C81" s="164"/>
      <c r="D81" s="164"/>
      <c r="E81" s="164"/>
      <c r="F81" s="164"/>
      <c r="G81" s="165" t="str">
        <f t="shared" ref="G81:I81" si="27">'2.1.'!G81</f>
        <v>#REF!</v>
      </c>
      <c r="H81" s="166" t="str">
        <f t="shared" si="27"/>
        <v>#REF!</v>
      </c>
      <c r="I81" s="167" t="str">
        <f t="shared" si="27"/>
        <v>#REF!</v>
      </c>
    </row>
    <row r="82" ht="14.25" customHeight="1">
      <c r="G82" s="3"/>
    </row>
    <row r="83" ht="14.25" customHeight="1">
      <c r="A83" s="168" t="str">
        <f>'3.1'!A39</f>
        <v>MANO DE OBRA - EQUIPOS</v>
      </c>
      <c r="B83" s="76" t="str">
        <f>'3.1'!B39</f>
        <v/>
      </c>
      <c r="C83" s="76" t="str">
        <f>'3.1'!C39</f>
        <v/>
      </c>
      <c r="D83" s="76" t="str">
        <f>'3.1'!D39</f>
        <v/>
      </c>
      <c r="E83" s="76" t="str">
        <f>'3.1'!E39</f>
        <v/>
      </c>
      <c r="F83" s="76" t="str">
        <f>'3.1'!F39</f>
        <v/>
      </c>
      <c r="G83" s="2" t="str">
        <f>'3.1'!G39</f>
        <v/>
      </c>
      <c r="H83" s="76" t="str">
        <f>'3.1'!H39</f>
        <v/>
      </c>
      <c r="I83" s="76" t="str">
        <f>'3.1'!I39</f>
        <v/>
      </c>
    </row>
    <row r="84" ht="14.25" customHeight="1">
      <c r="A84" s="169" t="str">
        <f>'3.1'!A40</f>
        <v>Código</v>
      </c>
      <c r="B84" s="169" t="str">
        <f>'3.1'!B40</f>
        <v>Descripción</v>
      </c>
      <c r="C84" s="169" t="str">
        <f>'3.1'!C40</f>
        <v>Unidad</v>
      </c>
      <c r="D84" s="169" t="str">
        <f>'3.1'!D40</f>
        <v>Cantidad</v>
      </c>
      <c r="E84" s="169" t="str">
        <f>'3.1'!E40</f>
        <v>Dias</v>
      </c>
      <c r="F84" s="169" t="str">
        <f>'3.1'!F40</f>
        <v>Desperdicio</v>
      </c>
      <c r="G84" s="4" t="str">
        <f>'3.1'!G40</f>
        <v>Cantidad + Desperdicio</v>
      </c>
      <c r="H84" s="169" t="str">
        <f>'3.1'!H40</f>
        <v>Precio Unitario</v>
      </c>
      <c r="I84" s="169" t="str">
        <f>'3.1'!I40</f>
        <v>Subtotal</v>
      </c>
    </row>
    <row r="85" ht="14.25" customHeight="1">
      <c r="A85" s="171" t="str">
        <f>'3.1'!A41</f>
        <v/>
      </c>
      <c r="B85" s="74" t="str">
        <f>'3.1'!B41</f>
        <v/>
      </c>
      <c r="C85" s="74" t="str">
        <f>'3.1'!C41</f>
        <v/>
      </c>
      <c r="D85" s="171" t="str">
        <f>'3.1'!D41</f>
        <v/>
      </c>
      <c r="E85" s="171" t="str">
        <f>'3.1'!E41</f>
        <v/>
      </c>
      <c r="F85" s="173" t="str">
        <f>'3.1'!F41</f>
        <v/>
      </c>
      <c r="G85" s="184">
        <f>'3.1'!G41</f>
        <v>0</v>
      </c>
      <c r="H85" s="120" t="str">
        <f>'3.1'!H41</f>
        <v/>
      </c>
      <c r="I85" s="120" t="str">
        <f>'3.1'!I41</f>
        <v/>
      </c>
    </row>
    <row r="86" ht="14.25" customHeight="1">
      <c r="A86" s="171" t="str">
        <f>'3.1'!A42</f>
        <v/>
      </c>
      <c r="B86" s="74" t="str">
        <f>'3.1'!B42</f>
        <v/>
      </c>
      <c r="C86" s="74" t="str">
        <f>'3.1'!C42</f>
        <v/>
      </c>
      <c r="D86" s="171" t="str">
        <f>'3.1'!D42</f>
        <v/>
      </c>
      <c r="E86" s="171" t="str">
        <f>'3.1'!E42</f>
        <v/>
      </c>
      <c r="F86" s="173" t="str">
        <f>'3.1'!F42</f>
        <v/>
      </c>
      <c r="G86" s="184">
        <f>'3.1'!G42</f>
        <v>0</v>
      </c>
      <c r="H86" s="120" t="str">
        <f>'3.1'!H42</f>
        <v/>
      </c>
      <c r="I86" s="120" t="str">
        <f>'3.1'!I42</f>
        <v/>
      </c>
    </row>
    <row r="87" ht="14.25" customHeight="1">
      <c r="A87" s="171" t="str">
        <f>'3.1'!A43</f>
        <v/>
      </c>
      <c r="B87" s="74" t="str">
        <f>'3.1'!B43</f>
        <v/>
      </c>
      <c r="C87" s="74" t="str">
        <f>'3.1'!C43</f>
        <v/>
      </c>
      <c r="D87" s="171" t="str">
        <f>'3.1'!D43</f>
        <v/>
      </c>
      <c r="E87" s="171" t="str">
        <f>'3.1'!E43</f>
        <v/>
      </c>
      <c r="F87" s="173" t="str">
        <f>'3.1'!F43</f>
        <v/>
      </c>
      <c r="G87" s="184">
        <f>'3.1'!G43</f>
        <v>0</v>
      </c>
      <c r="H87" s="120" t="str">
        <f>'3.1'!H43</f>
        <v/>
      </c>
      <c r="I87" s="120" t="str">
        <f>'3.1'!I43</f>
        <v/>
      </c>
    </row>
    <row r="88" ht="14.25" customHeight="1">
      <c r="A88" s="171" t="str">
        <f>'3.1'!A44</f>
        <v/>
      </c>
      <c r="B88" s="74" t="str">
        <f>'3.1'!B44</f>
        <v/>
      </c>
      <c r="C88" s="74" t="str">
        <f>'3.1'!C44</f>
        <v/>
      </c>
      <c r="D88" s="171" t="str">
        <f>'3.1'!D44</f>
        <v/>
      </c>
      <c r="E88" s="171" t="str">
        <f>'3.1'!E44</f>
        <v/>
      </c>
      <c r="F88" s="173" t="str">
        <f>'3.1'!F44</f>
        <v/>
      </c>
      <c r="G88" s="184">
        <f>'3.1'!G44</f>
        <v>0</v>
      </c>
      <c r="H88" s="120" t="str">
        <f>'3.1'!H44</f>
        <v/>
      </c>
      <c r="I88" s="120" t="str">
        <f>'3.1'!I44</f>
        <v/>
      </c>
    </row>
    <row r="89" ht="14.25" customHeight="1">
      <c r="A89" s="171" t="str">
        <f>'3.1'!A45</f>
        <v/>
      </c>
      <c r="B89" s="74" t="str">
        <f>'3.1'!B45</f>
        <v/>
      </c>
      <c r="C89" s="74" t="str">
        <f>'3.1'!C45</f>
        <v/>
      </c>
      <c r="D89" s="171" t="str">
        <f>'3.1'!D45</f>
        <v/>
      </c>
      <c r="E89" s="171" t="str">
        <f>'3.1'!E45</f>
        <v/>
      </c>
      <c r="F89" s="173" t="str">
        <f>'3.1'!F45</f>
        <v/>
      </c>
      <c r="G89" s="184">
        <f>'3.1'!G45</f>
        <v>0</v>
      </c>
      <c r="H89" s="120" t="str">
        <f>'3.1'!H45</f>
        <v/>
      </c>
      <c r="I89" s="120" t="str">
        <f>'3.1'!I45</f>
        <v/>
      </c>
    </row>
    <row r="90" ht="14.25" customHeight="1">
      <c r="A90" s="171" t="str">
        <f>'3.1'!A46</f>
        <v/>
      </c>
      <c r="B90" s="74" t="str">
        <f>'3.1'!B46</f>
        <v/>
      </c>
      <c r="C90" s="74" t="str">
        <f>'3.1'!C46</f>
        <v/>
      </c>
      <c r="D90" s="171" t="str">
        <f>'3.1'!D46</f>
        <v/>
      </c>
      <c r="E90" s="171" t="str">
        <f>'3.1'!E46</f>
        <v/>
      </c>
      <c r="F90" s="173" t="str">
        <f>'3.1'!F46</f>
        <v/>
      </c>
      <c r="G90" s="184">
        <f>'3.1'!G46</f>
        <v>0</v>
      </c>
      <c r="H90" s="120" t="str">
        <f>'3.1'!H46</f>
        <v/>
      </c>
      <c r="I90" s="120" t="str">
        <f>'3.1'!I46</f>
        <v/>
      </c>
    </row>
    <row r="91" ht="14.25" customHeight="1">
      <c r="A91" s="127" t="str">
        <f>'3.1'!A47</f>
        <v/>
      </c>
      <c r="B91" s="127" t="str">
        <f>'3.1'!B47</f>
        <v/>
      </c>
      <c r="C91" s="127" t="str">
        <f>'3.1'!C47</f>
        <v/>
      </c>
      <c r="D91" s="127" t="str">
        <f>'3.1'!D47</f>
        <v/>
      </c>
      <c r="E91" s="127" t="str">
        <f>'3.1'!E47</f>
        <v/>
      </c>
      <c r="F91" s="126" t="str">
        <f>'3.1'!F47</f>
        <v/>
      </c>
      <c r="G91" s="3" t="str">
        <f>'3.1'!G47</f>
        <v/>
      </c>
      <c r="H91" s="120" t="str">
        <f>'3.1'!H47</f>
        <v/>
      </c>
      <c r="I91" s="120" t="str">
        <f>'3.1'!I47</f>
        <v/>
      </c>
    </row>
    <row r="92" ht="14.25" customHeight="1">
      <c r="A92" s="175" t="str">
        <f>'3.1'!A48</f>
        <v>TOTAL</v>
      </c>
      <c r="B92" s="176" t="str">
        <f>'3.1'!B48</f>
        <v/>
      </c>
      <c r="C92" s="176" t="str">
        <f>'3.1'!C48</f>
        <v/>
      </c>
      <c r="D92" s="176" t="str">
        <f>'3.1'!D48</f>
        <v/>
      </c>
      <c r="E92" s="176" t="str">
        <f>'3.1'!E48</f>
        <v/>
      </c>
      <c r="F92" s="176" t="str">
        <f>'3.1'!F48</f>
        <v/>
      </c>
      <c r="G92" s="177" t="str">
        <f>'3.1'!G48</f>
        <v/>
      </c>
      <c r="H92" s="176" t="str">
        <f>'3.1'!H48</f>
        <v/>
      </c>
      <c r="I92" s="178">
        <f>'3.1'!I48</f>
        <v>0</v>
      </c>
    </row>
    <row r="93" ht="14.25" customHeight="1">
      <c r="G93" s="3"/>
    </row>
    <row r="94" ht="14.25" customHeight="1">
      <c r="G94" s="3"/>
    </row>
    <row r="95" ht="14.25" customHeight="1">
      <c r="A95" s="168" t="str">
        <f>'3.1'!A67</f>
        <v>MANO DE OBRA - SUBCONTRATOS</v>
      </c>
      <c r="B95" s="76" t="str">
        <f>'3.1'!B67</f>
        <v/>
      </c>
      <c r="C95" s="76" t="str">
        <f>'3.1'!C67</f>
        <v/>
      </c>
      <c r="D95" s="76" t="str">
        <f>'3.1'!D67</f>
        <v/>
      </c>
      <c r="E95" s="76" t="str">
        <f>'3.1'!E67</f>
        <v/>
      </c>
      <c r="F95" s="76" t="str">
        <f>'3.1'!F67</f>
        <v/>
      </c>
      <c r="G95" s="2" t="str">
        <f>'3.1'!G67</f>
        <v/>
      </c>
      <c r="H95" s="76" t="str">
        <f>'3.1'!H67</f>
        <v/>
      </c>
      <c r="I95" s="76" t="str">
        <f>'3.1'!I67</f>
        <v/>
      </c>
    </row>
    <row r="96" ht="14.25" customHeight="1">
      <c r="A96" s="169" t="str">
        <f>'3.1'!A68</f>
        <v>Código</v>
      </c>
      <c r="B96" s="169" t="str">
        <f>'3.1'!B68</f>
        <v>Descripción</v>
      </c>
      <c r="C96" s="169" t="str">
        <f>'3.1'!C68</f>
        <v>Unidad</v>
      </c>
      <c r="D96" s="169" t="str">
        <f>'3.1'!D68</f>
        <v>Cantidad</v>
      </c>
      <c r="E96" s="169" t="str">
        <f>'3.1'!E68</f>
        <v>Dias</v>
      </c>
      <c r="F96" s="169" t="str">
        <f>'3.1'!F68</f>
        <v>Desperdicio</v>
      </c>
      <c r="G96" s="4" t="str">
        <f>'3.1'!G68</f>
        <v>Cantidad + Desperdicio</v>
      </c>
      <c r="H96" s="169" t="str">
        <f>'3.1'!H68</f>
        <v>Precio Unitario</v>
      </c>
      <c r="I96" s="169" t="str">
        <f>'3.1'!I68</f>
        <v>Subtotal</v>
      </c>
    </row>
    <row r="97" ht="14.25" customHeight="1">
      <c r="A97" s="171" t="str">
        <f>'3.1'!A69</f>
        <v/>
      </c>
      <c r="B97" s="74" t="str">
        <f>'3.1'!B69</f>
        <v/>
      </c>
      <c r="C97" s="74" t="str">
        <f>'3.1'!C69</f>
        <v/>
      </c>
      <c r="D97" s="171" t="str">
        <f>'3.1'!D69</f>
        <v/>
      </c>
      <c r="E97" s="171" t="str">
        <f>'3.1'!E69</f>
        <v/>
      </c>
      <c r="F97" s="173" t="str">
        <f>'3.1'!F69</f>
        <v/>
      </c>
      <c r="G97" s="174">
        <f>'3.1'!G69</f>
        <v>0</v>
      </c>
      <c r="H97" s="120" t="str">
        <f>'3.1'!H69</f>
        <v/>
      </c>
      <c r="I97" s="120" t="str">
        <f>'3.1'!I69</f>
        <v/>
      </c>
    </row>
    <row r="98" ht="14.25" customHeight="1">
      <c r="A98" s="171" t="str">
        <f>'3.1'!A70</f>
        <v/>
      </c>
      <c r="B98" s="74" t="str">
        <f>'3.1'!B70</f>
        <v/>
      </c>
      <c r="C98" s="74" t="str">
        <f>'3.1'!C70</f>
        <v/>
      </c>
      <c r="D98" s="171" t="str">
        <f>'3.1'!D70</f>
        <v/>
      </c>
      <c r="E98" s="171" t="str">
        <f>'3.1'!E70</f>
        <v/>
      </c>
      <c r="F98" s="173" t="str">
        <f>'3.1'!F70</f>
        <v/>
      </c>
      <c r="G98" s="174">
        <f>'3.1'!G70</f>
        <v>0</v>
      </c>
      <c r="H98" s="120" t="str">
        <f>'3.1'!H70</f>
        <v/>
      </c>
      <c r="I98" s="120" t="str">
        <f>'3.1'!I70</f>
        <v/>
      </c>
    </row>
    <row r="99" ht="14.25" customHeight="1">
      <c r="A99" s="171" t="str">
        <f>'3.1'!A71</f>
        <v/>
      </c>
      <c r="B99" s="74" t="str">
        <f>'3.1'!B71</f>
        <v/>
      </c>
      <c r="C99" s="74" t="str">
        <f>'3.1'!C71</f>
        <v/>
      </c>
      <c r="D99" s="171" t="str">
        <f>'3.1'!D71</f>
        <v/>
      </c>
      <c r="E99" s="171" t="str">
        <f>'3.1'!E71</f>
        <v/>
      </c>
      <c r="F99" s="173" t="str">
        <f>'3.1'!F71</f>
        <v/>
      </c>
      <c r="G99" s="174">
        <f>'3.1'!G71</f>
        <v>0</v>
      </c>
      <c r="H99" s="120" t="str">
        <f>'3.1'!H71</f>
        <v/>
      </c>
      <c r="I99" s="120" t="str">
        <f>'3.1'!I71</f>
        <v/>
      </c>
    </row>
    <row r="100" ht="14.25" customHeight="1">
      <c r="A100" s="171" t="str">
        <f>'3.1'!A72</f>
        <v/>
      </c>
      <c r="B100" s="74" t="str">
        <f>'3.1'!B72</f>
        <v/>
      </c>
      <c r="C100" s="74" t="str">
        <f>'3.1'!C72</f>
        <v/>
      </c>
      <c r="D100" s="171" t="str">
        <f>'3.1'!D72</f>
        <v/>
      </c>
      <c r="E100" s="171" t="str">
        <f>'3.1'!E72</f>
        <v/>
      </c>
      <c r="F100" s="173" t="str">
        <f>'3.1'!F72</f>
        <v/>
      </c>
      <c r="G100" s="174">
        <f>'3.1'!G72</f>
        <v>0</v>
      </c>
      <c r="H100" s="120" t="str">
        <f>'3.1'!H72</f>
        <v/>
      </c>
      <c r="I100" s="120" t="str">
        <f>'3.1'!I72</f>
        <v/>
      </c>
    </row>
    <row r="101" ht="14.25" customHeight="1">
      <c r="A101" s="171" t="str">
        <f>'3.1'!A73</f>
        <v/>
      </c>
      <c r="B101" s="74" t="str">
        <f>'3.1'!B73</f>
        <v/>
      </c>
      <c r="C101" s="74" t="str">
        <f>'3.1'!C73</f>
        <v/>
      </c>
      <c r="D101" s="171" t="str">
        <f>'3.1'!D73</f>
        <v/>
      </c>
      <c r="E101" s="171" t="str">
        <f>'3.1'!E73</f>
        <v/>
      </c>
      <c r="F101" s="173" t="str">
        <f>'3.1'!F73</f>
        <v/>
      </c>
      <c r="G101" s="174">
        <f>'3.1'!G73</f>
        <v>0</v>
      </c>
      <c r="H101" s="120" t="str">
        <f>'3.1'!H73</f>
        <v/>
      </c>
      <c r="I101" s="120" t="str">
        <f>'3.1'!I73</f>
        <v/>
      </c>
    </row>
    <row r="102" ht="14.25" customHeight="1">
      <c r="A102" s="171" t="str">
        <f>'3.1'!A74</f>
        <v/>
      </c>
      <c r="B102" s="74" t="str">
        <f>'3.1'!B74</f>
        <v/>
      </c>
      <c r="C102" s="74" t="str">
        <f>'3.1'!C74</f>
        <v/>
      </c>
      <c r="D102" s="171" t="str">
        <f>'3.1'!D74</f>
        <v/>
      </c>
      <c r="E102" s="171" t="str">
        <f>'3.1'!E74</f>
        <v/>
      </c>
      <c r="F102" s="173" t="str">
        <f>'3.1'!F74</f>
        <v/>
      </c>
      <c r="G102" s="174">
        <f>'3.1'!G74</f>
        <v>0</v>
      </c>
      <c r="H102" s="120" t="str">
        <f>'3.1'!H74</f>
        <v/>
      </c>
      <c r="I102" s="120" t="str">
        <f>'3.1'!I74</f>
        <v/>
      </c>
    </row>
    <row r="103" ht="14.25" customHeight="1">
      <c r="A103" s="127" t="str">
        <f>'3.1'!A75</f>
        <v/>
      </c>
      <c r="B103" s="127" t="str">
        <f>'3.1'!B75</f>
        <v/>
      </c>
      <c r="C103" s="127" t="str">
        <f>'3.1'!C75</f>
        <v/>
      </c>
      <c r="D103" s="127" t="str">
        <f>'3.1'!D75</f>
        <v/>
      </c>
      <c r="E103" s="127" t="str">
        <f>'3.1'!E75</f>
        <v/>
      </c>
      <c r="F103" s="126" t="str">
        <f>'3.1'!F75</f>
        <v/>
      </c>
      <c r="G103" s="3" t="str">
        <f>'3.1'!G75</f>
        <v/>
      </c>
      <c r="H103" s="120" t="str">
        <f>'3.1'!H75</f>
        <v/>
      </c>
      <c r="I103" s="120" t="str">
        <f>'3.1'!I75</f>
        <v/>
      </c>
    </row>
    <row r="104" ht="14.25" customHeight="1">
      <c r="A104" s="175" t="str">
        <f>'3.1'!A76</f>
        <v>TOTAL</v>
      </c>
      <c r="B104" s="176" t="str">
        <f>'3.1'!B76</f>
        <v/>
      </c>
      <c r="C104" s="176" t="str">
        <f>'3.1'!C76</f>
        <v/>
      </c>
      <c r="D104" s="176" t="str">
        <f>'3.1'!D76</f>
        <v/>
      </c>
      <c r="E104" s="176" t="str">
        <f>'3.1'!E76</f>
        <v/>
      </c>
      <c r="F104" s="176" t="str">
        <f>'3.1'!F76</f>
        <v/>
      </c>
      <c r="G104" s="177" t="str">
        <f>'3.1'!G76</f>
        <v/>
      </c>
      <c r="H104" s="176" t="str">
        <f>'3.1'!H76</f>
        <v/>
      </c>
      <c r="I104" s="178">
        <f>'3.1'!I76</f>
        <v>0</v>
      </c>
    </row>
    <row r="105" ht="14.25" customHeight="1">
      <c r="G105" s="3"/>
    </row>
    <row r="106" ht="14.25" customHeight="1">
      <c r="G106" s="3"/>
    </row>
    <row r="107" ht="23.25" customHeight="1">
      <c r="A107" s="162">
        <f>'3.3'!A3</f>
        <v>45719</v>
      </c>
      <c r="B107" s="163" t="str">
        <f>'2.1.'!B107</f>
        <v>#REF!</v>
      </c>
      <c r="C107" s="164"/>
      <c r="D107" s="164"/>
      <c r="E107" s="164"/>
      <c r="F107" s="164"/>
      <c r="G107" s="165" t="str">
        <f t="shared" ref="G107:I107" si="28">'2.1.'!G107</f>
        <v>#REF!</v>
      </c>
      <c r="H107" s="166" t="str">
        <f t="shared" si="28"/>
        <v>#REF!</v>
      </c>
      <c r="I107" s="167" t="str">
        <f t="shared" si="28"/>
        <v>#REF!</v>
      </c>
    </row>
    <row r="108" ht="14.25" customHeight="1">
      <c r="G108" s="3"/>
    </row>
    <row r="109" ht="14.25" customHeight="1">
      <c r="A109" s="168" t="str">
        <f>'3.3'!A39</f>
        <v>MANO DE OBRA - EQUIPOS</v>
      </c>
      <c r="B109" s="76" t="str">
        <f>'3.3'!B39</f>
        <v/>
      </c>
      <c r="C109" s="76" t="str">
        <f>'3.3'!C39</f>
        <v/>
      </c>
      <c r="D109" s="76" t="str">
        <f>'3.3'!D39</f>
        <v/>
      </c>
      <c r="E109" s="76" t="str">
        <f>'3.3'!E39</f>
        <v/>
      </c>
      <c r="F109" s="76" t="str">
        <f>'3.3'!F39</f>
        <v/>
      </c>
      <c r="G109" s="2" t="str">
        <f>'3.3'!G39</f>
        <v/>
      </c>
      <c r="H109" s="76" t="str">
        <f>'3.3'!H39</f>
        <v/>
      </c>
      <c r="I109" s="76" t="str">
        <f>'3.3'!I39</f>
        <v/>
      </c>
    </row>
    <row r="110" ht="14.25" customHeight="1">
      <c r="A110" s="169" t="str">
        <f>'3.3'!A40</f>
        <v>Código</v>
      </c>
      <c r="B110" s="169" t="str">
        <f>'3.3'!B40</f>
        <v>Descripción</v>
      </c>
      <c r="C110" s="169" t="str">
        <f>'3.3'!C40</f>
        <v>Unidad</v>
      </c>
      <c r="D110" s="169" t="str">
        <f>'3.3'!D40</f>
        <v>Cantidad</v>
      </c>
      <c r="E110" s="169" t="str">
        <f>'3.3'!E40</f>
        <v>Dias</v>
      </c>
      <c r="F110" s="169" t="str">
        <f>'3.3'!F40</f>
        <v>Desperdicio</v>
      </c>
      <c r="G110" s="4" t="str">
        <f>'3.3'!G40</f>
        <v>Cantidad + Desperdicio</v>
      </c>
      <c r="H110" s="169" t="str">
        <f>'3.3'!H40</f>
        <v>Precio Unitario</v>
      </c>
      <c r="I110" s="169" t="str">
        <f>'3.3'!I40</f>
        <v>Subtotal</v>
      </c>
    </row>
    <row r="111" ht="14.25" customHeight="1">
      <c r="A111" s="171" t="str">
        <f>'3.3'!A41</f>
        <v>E-MC</v>
      </c>
      <c r="B111" s="74" t="str">
        <f>'3.3'!B41</f>
        <v>Mini Cargadora</v>
      </c>
      <c r="C111" s="74" t="str">
        <f>'3.3'!C41</f>
        <v>u</v>
      </c>
      <c r="D111" s="171">
        <f>'3.3'!D41</f>
        <v>1</v>
      </c>
      <c r="E111" s="171">
        <f>'3.3'!E41</f>
        <v>14.51666667</v>
      </c>
      <c r="F111" s="173" t="str">
        <f>'3.3'!F41</f>
        <v/>
      </c>
      <c r="G111" s="184">
        <f>'3.3'!G41</f>
        <v>15</v>
      </c>
      <c r="H111" s="120">
        <f>'3.3'!H41</f>
        <v>420000</v>
      </c>
      <c r="I111" s="120">
        <f>'3.3'!I41</f>
        <v>6300000</v>
      </c>
    </row>
    <row r="112" ht="14.25" customHeight="1">
      <c r="A112" s="171" t="str">
        <f>'3.3'!A42</f>
        <v/>
      </c>
      <c r="B112" s="74" t="str">
        <f>'3.3'!B42</f>
        <v/>
      </c>
      <c r="C112" s="74" t="str">
        <f>'3.3'!C42</f>
        <v/>
      </c>
      <c r="D112" s="171" t="str">
        <f>'3.3'!D42</f>
        <v/>
      </c>
      <c r="E112" s="171" t="str">
        <f>'3.3'!E42</f>
        <v/>
      </c>
      <c r="F112" s="173" t="str">
        <f>'3.3'!F42</f>
        <v/>
      </c>
      <c r="G112" s="184">
        <f>'3.3'!G42</f>
        <v>0</v>
      </c>
      <c r="H112" s="120" t="str">
        <f>'3.3'!H42</f>
        <v/>
      </c>
      <c r="I112" s="120">
        <f>'3.3'!I42</f>
        <v>0</v>
      </c>
    </row>
    <row r="113" ht="14.25" customHeight="1">
      <c r="A113" s="171" t="str">
        <f>'3.3'!A43</f>
        <v/>
      </c>
      <c r="B113" s="74" t="str">
        <f>'3.3'!B43</f>
        <v/>
      </c>
      <c r="C113" s="74" t="str">
        <f>'3.3'!C43</f>
        <v/>
      </c>
      <c r="D113" s="171" t="str">
        <f>'3.3'!D43</f>
        <v/>
      </c>
      <c r="E113" s="171" t="str">
        <f>'3.3'!E43</f>
        <v/>
      </c>
      <c r="F113" s="173" t="str">
        <f>'3.3'!F43</f>
        <v/>
      </c>
      <c r="G113" s="184">
        <f>'3.3'!G43</f>
        <v>0</v>
      </c>
      <c r="H113" s="120" t="str">
        <f>'3.3'!H43</f>
        <v/>
      </c>
      <c r="I113" s="120" t="str">
        <f>'3.3'!I43</f>
        <v/>
      </c>
    </row>
    <row r="114" ht="14.25" customHeight="1">
      <c r="A114" s="171" t="str">
        <f>'3.3'!A44</f>
        <v/>
      </c>
      <c r="B114" s="74" t="str">
        <f>'3.3'!B44</f>
        <v/>
      </c>
      <c r="C114" s="74" t="str">
        <f>'3.3'!C44</f>
        <v/>
      </c>
      <c r="D114" s="171" t="str">
        <f>'3.3'!D44</f>
        <v/>
      </c>
      <c r="E114" s="171" t="str">
        <f>'3.3'!E44</f>
        <v/>
      </c>
      <c r="F114" s="173" t="str">
        <f>'3.3'!F44</f>
        <v/>
      </c>
      <c r="G114" s="184">
        <f>'3.3'!G44</f>
        <v>0</v>
      </c>
      <c r="H114" s="120" t="str">
        <f>'3.3'!H44</f>
        <v/>
      </c>
      <c r="I114" s="120" t="str">
        <f>'3.3'!I44</f>
        <v/>
      </c>
    </row>
    <row r="115" ht="14.25" customHeight="1">
      <c r="A115" s="171" t="str">
        <f>'3.3'!A45</f>
        <v/>
      </c>
      <c r="B115" s="74" t="str">
        <f>'3.3'!B45</f>
        <v/>
      </c>
      <c r="C115" s="74" t="str">
        <f>'3.3'!C45</f>
        <v/>
      </c>
      <c r="D115" s="171" t="str">
        <f>'3.3'!D45</f>
        <v/>
      </c>
      <c r="E115" s="171" t="str">
        <f>'3.3'!E45</f>
        <v/>
      </c>
      <c r="F115" s="173" t="str">
        <f>'3.3'!F45</f>
        <v/>
      </c>
      <c r="G115" s="184">
        <f>'3.3'!G45</f>
        <v>0</v>
      </c>
      <c r="H115" s="120" t="str">
        <f>'3.3'!H45</f>
        <v/>
      </c>
      <c r="I115" s="120" t="str">
        <f>'3.3'!I45</f>
        <v/>
      </c>
    </row>
    <row r="116" ht="14.25" customHeight="1">
      <c r="A116" s="171" t="str">
        <f>'3.3'!A46</f>
        <v/>
      </c>
      <c r="B116" s="74" t="str">
        <f>'3.3'!B46</f>
        <v/>
      </c>
      <c r="C116" s="74" t="str">
        <f>'3.3'!C46</f>
        <v/>
      </c>
      <c r="D116" s="171" t="str">
        <f>'3.3'!D46</f>
        <v/>
      </c>
      <c r="E116" s="171" t="str">
        <f>'3.3'!E46</f>
        <v/>
      </c>
      <c r="F116" s="173" t="str">
        <f>'3.3'!F46</f>
        <v/>
      </c>
      <c r="G116" s="184">
        <f>'3.3'!G46</f>
        <v>0</v>
      </c>
      <c r="H116" s="120" t="str">
        <f>'3.3'!H46</f>
        <v/>
      </c>
      <c r="I116" s="120" t="str">
        <f>'3.3'!I46</f>
        <v/>
      </c>
    </row>
    <row r="117" ht="14.25" customHeight="1">
      <c r="A117" s="127" t="str">
        <f>'3.3'!A47</f>
        <v/>
      </c>
      <c r="B117" s="127" t="str">
        <f>'3.3'!B47</f>
        <v/>
      </c>
      <c r="C117" s="127" t="str">
        <f>'3.3'!C47</f>
        <v/>
      </c>
      <c r="D117" s="127" t="str">
        <f>'3.3'!D47</f>
        <v/>
      </c>
      <c r="E117" s="127" t="str">
        <f>'3.3'!E47</f>
        <v/>
      </c>
      <c r="F117" s="126" t="str">
        <f>'3.3'!F47</f>
        <v/>
      </c>
      <c r="G117" s="3" t="str">
        <f>'3.3'!G47</f>
        <v/>
      </c>
      <c r="H117" s="120" t="str">
        <f>'3.3'!H47</f>
        <v/>
      </c>
      <c r="I117" s="120" t="str">
        <f>'3.3'!I47</f>
        <v/>
      </c>
    </row>
    <row r="118" ht="14.25" customHeight="1">
      <c r="A118" s="175" t="str">
        <f>'3.3'!A48</f>
        <v>TOTAL</v>
      </c>
      <c r="B118" s="176" t="str">
        <f>'3.3'!B48</f>
        <v/>
      </c>
      <c r="C118" s="176" t="str">
        <f>'3.3'!C48</f>
        <v/>
      </c>
      <c r="D118" s="176" t="str">
        <f>'3.3'!D48</f>
        <v/>
      </c>
      <c r="E118" s="176" t="str">
        <f>'3.3'!E48</f>
        <v/>
      </c>
      <c r="F118" s="176" t="str">
        <f>'3.3'!F48</f>
        <v/>
      </c>
      <c r="G118" s="177" t="str">
        <f>'3.3'!G48</f>
        <v/>
      </c>
      <c r="H118" s="176" t="str">
        <f>'3.3'!H48</f>
        <v/>
      </c>
      <c r="I118" s="178">
        <f>'3.3'!I48</f>
        <v>6300000</v>
      </c>
    </row>
    <row r="119" ht="14.25" customHeight="1">
      <c r="G119" s="3"/>
    </row>
    <row r="120" ht="14.25" customHeight="1">
      <c r="G120" s="3"/>
    </row>
    <row r="121" ht="14.25" customHeight="1">
      <c r="A121" s="168" t="str">
        <f>'3.3'!A67</f>
        <v>MANO DE OBRA - SUBCONTRATOS</v>
      </c>
      <c r="B121" s="76" t="str">
        <f>'3.3'!B67</f>
        <v/>
      </c>
      <c r="C121" s="76" t="str">
        <f>'3.3'!C67</f>
        <v/>
      </c>
      <c r="D121" s="76" t="str">
        <f>'3.3'!D67</f>
        <v/>
      </c>
      <c r="E121" s="76" t="str">
        <f>'3.3'!E67</f>
        <v/>
      </c>
      <c r="F121" s="76" t="str">
        <f>'3.3'!F67</f>
        <v/>
      </c>
      <c r="G121" s="2" t="str">
        <f>'3.3'!G67</f>
        <v/>
      </c>
      <c r="H121" s="76" t="str">
        <f>'3.3'!H67</f>
        <v/>
      </c>
      <c r="I121" s="76" t="str">
        <f>'3.3'!I67</f>
        <v/>
      </c>
    </row>
    <row r="122" ht="14.25" customHeight="1">
      <c r="A122" s="169" t="str">
        <f>'3.3'!A68</f>
        <v>Código</v>
      </c>
      <c r="B122" s="169" t="str">
        <f>'3.3'!B68</f>
        <v>Descripción</v>
      </c>
      <c r="C122" s="169" t="str">
        <f>'3.3'!C68</f>
        <v>Unidad</v>
      </c>
      <c r="D122" s="169" t="str">
        <f>'3.3'!D68</f>
        <v>Cantidad</v>
      </c>
      <c r="E122" s="169" t="str">
        <f>'3.3'!E68</f>
        <v>Dias</v>
      </c>
      <c r="F122" s="169" t="str">
        <f>'3.3'!F68</f>
        <v>Desperdicio</v>
      </c>
      <c r="G122" s="4" t="str">
        <f>'3.3'!G68</f>
        <v>Cantidad + Desperdicio</v>
      </c>
      <c r="H122" s="169" t="str">
        <f>'3.3'!H68</f>
        <v>Precio Unitario</v>
      </c>
      <c r="I122" s="169" t="str">
        <f>'3.3'!I68</f>
        <v>Subtotal</v>
      </c>
    </row>
    <row r="123" ht="14.25" customHeight="1">
      <c r="A123" s="171" t="str">
        <f>'3.3'!A69</f>
        <v>SUB-COR</v>
      </c>
      <c r="B123" s="74" t="str">
        <f>'3.3'!B69</f>
        <v>CORDON</v>
      </c>
      <c r="C123" s="74" t="str">
        <f>'3.3'!C69</f>
        <v>m</v>
      </c>
      <c r="D123" s="171" t="str">
        <f>'3.3'!D69</f>
        <v/>
      </c>
      <c r="E123" s="171" t="str">
        <f>'3.3'!E69</f>
        <v/>
      </c>
      <c r="F123" s="173" t="str">
        <f>'3.3'!F69</f>
        <v/>
      </c>
      <c r="G123" s="174">
        <f>'3.3'!G69</f>
        <v>0</v>
      </c>
      <c r="H123" s="120">
        <f>'3.3'!H69</f>
        <v>8000</v>
      </c>
      <c r="I123" s="120">
        <f>'3.3'!I69</f>
        <v>0</v>
      </c>
    </row>
    <row r="124" ht="14.25" customHeight="1">
      <c r="A124" s="171" t="str">
        <f>'3.3'!A70</f>
        <v/>
      </c>
      <c r="B124" s="74" t="str">
        <f>'3.3'!B70</f>
        <v/>
      </c>
      <c r="C124" s="74" t="str">
        <f>'3.3'!C70</f>
        <v/>
      </c>
      <c r="D124" s="171" t="str">
        <f>'3.3'!D70</f>
        <v/>
      </c>
      <c r="E124" s="171" t="str">
        <f>'3.3'!E70</f>
        <v/>
      </c>
      <c r="F124" s="173" t="str">
        <f>'3.3'!F70</f>
        <v/>
      </c>
      <c r="G124" s="174">
        <f>'3.3'!G70</f>
        <v>0</v>
      </c>
      <c r="H124" s="120" t="str">
        <f>'3.3'!H70</f>
        <v/>
      </c>
      <c r="I124" s="120" t="str">
        <f>'3.3'!I70</f>
        <v/>
      </c>
    </row>
    <row r="125" ht="14.25" customHeight="1">
      <c r="A125" s="171" t="str">
        <f>'3.3'!A71</f>
        <v/>
      </c>
      <c r="B125" s="74" t="str">
        <f>'3.3'!B71</f>
        <v/>
      </c>
      <c r="C125" s="74" t="str">
        <f>'3.3'!C71</f>
        <v/>
      </c>
      <c r="D125" s="171" t="str">
        <f>'3.3'!D71</f>
        <v/>
      </c>
      <c r="E125" s="171" t="str">
        <f>'3.3'!E71</f>
        <v/>
      </c>
      <c r="F125" s="173" t="str">
        <f>'3.3'!F71</f>
        <v/>
      </c>
      <c r="G125" s="174">
        <f>'3.3'!G71</f>
        <v>0</v>
      </c>
      <c r="H125" s="120" t="str">
        <f>'3.3'!H71</f>
        <v/>
      </c>
      <c r="I125" s="120" t="str">
        <f>'3.3'!I71</f>
        <v/>
      </c>
    </row>
    <row r="126" ht="14.25" customHeight="1">
      <c r="A126" s="171" t="str">
        <f>'3.3'!A72</f>
        <v/>
      </c>
      <c r="B126" s="74" t="str">
        <f>'3.3'!B72</f>
        <v/>
      </c>
      <c r="C126" s="74" t="str">
        <f>'3.3'!C72</f>
        <v/>
      </c>
      <c r="D126" s="171" t="str">
        <f>'3.3'!D72</f>
        <v/>
      </c>
      <c r="E126" s="171" t="str">
        <f>'3.3'!E72</f>
        <v/>
      </c>
      <c r="F126" s="173" t="str">
        <f>'3.3'!F72</f>
        <v/>
      </c>
      <c r="G126" s="174">
        <f>'3.3'!G72</f>
        <v>0</v>
      </c>
      <c r="H126" s="120" t="str">
        <f>'3.3'!H72</f>
        <v/>
      </c>
      <c r="I126" s="120" t="str">
        <f>'3.3'!I72</f>
        <v/>
      </c>
    </row>
    <row r="127" ht="14.25" customHeight="1">
      <c r="A127" s="171" t="str">
        <f>'3.3'!A73</f>
        <v/>
      </c>
      <c r="B127" s="74" t="str">
        <f>'3.3'!B73</f>
        <v/>
      </c>
      <c r="C127" s="74" t="str">
        <f>'3.3'!C73</f>
        <v/>
      </c>
      <c r="D127" s="171" t="str">
        <f>'3.3'!D73</f>
        <v/>
      </c>
      <c r="E127" s="171" t="str">
        <f>'3.3'!E73</f>
        <v/>
      </c>
      <c r="F127" s="173" t="str">
        <f>'3.3'!F73</f>
        <v/>
      </c>
      <c r="G127" s="174">
        <f>'3.3'!G73</f>
        <v>0</v>
      </c>
      <c r="H127" s="120" t="str">
        <f>'3.3'!H73</f>
        <v/>
      </c>
      <c r="I127" s="120" t="str">
        <f>'3.3'!I73</f>
        <v/>
      </c>
    </row>
    <row r="128" ht="14.25" customHeight="1">
      <c r="A128" s="171" t="str">
        <f>'3.3'!A74</f>
        <v/>
      </c>
      <c r="B128" s="74" t="str">
        <f>'3.3'!B74</f>
        <v/>
      </c>
      <c r="C128" s="74" t="str">
        <f>'3.3'!C74</f>
        <v/>
      </c>
      <c r="D128" s="171" t="str">
        <f>'3.3'!D74</f>
        <v/>
      </c>
      <c r="E128" s="171" t="str">
        <f>'3.3'!E74</f>
        <v/>
      </c>
      <c r="F128" s="173" t="str">
        <f>'3.3'!F74</f>
        <v/>
      </c>
      <c r="G128" s="174">
        <f>'3.3'!G74</f>
        <v>0</v>
      </c>
      <c r="H128" s="120" t="str">
        <f>'3.3'!H74</f>
        <v/>
      </c>
      <c r="I128" s="120" t="str">
        <f>'3.3'!I74</f>
        <v/>
      </c>
    </row>
    <row r="129" ht="14.25" customHeight="1">
      <c r="A129" s="127" t="str">
        <f>'3.3'!A75</f>
        <v/>
      </c>
      <c r="B129" s="127" t="str">
        <f>'3.3'!B75</f>
        <v/>
      </c>
      <c r="C129" s="127" t="str">
        <f>'3.3'!C75</f>
        <v/>
      </c>
      <c r="D129" s="127" t="str">
        <f>'3.3'!D75</f>
        <v/>
      </c>
      <c r="E129" s="127" t="str">
        <f>'3.3'!E75</f>
        <v/>
      </c>
      <c r="F129" s="126" t="str">
        <f>'3.3'!F75</f>
        <v/>
      </c>
      <c r="G129" s="3" t="str">
        <f>'3.3'!G75</f>
        <v/>
      </c>
      <c r="H129" s="120" t="str">
        <f>'3.3'!H75</f>
        <v/>
      </c>
      <c r="I129" s="120" t="str">
        <f>'3.3'!I75</f>
        <v/>
      </c>
    </row>
    <row r="130" ht="14.25" customHeight="1">
      <c r="A130" s="175" t="str">
        <f>'3.3'!A76</f>
        <v>TOTAL</v>
      </c>
      <c r="B130" s="176" t="str">
        <f>'3.3'!B76</f>
        <v/>
      </c>
      <c r="C130" s="176" t="str">
        <f>'3.3'!C76</f>
        <v/>
      </c>
      <c r="D130" s="176" t="str">
        <f>'3.3'!D76</f>
        <v/>
      </c>
      <c r="E130" s="176" t="str">
        <f>'3.3'!E76</f>
        <v/>
      </c>
      <c r="F130" s="176" t="str">
        <f>'3.3'!F76</f>
        <v/>
      </c>
      <c r="G130" s="177" t="str">
        <f>'3.3'!G76</f>
        <v/>
      </c>
      <c r="H130" s="176" t="str">
        <f>'3.3'!H76</f>
        <v/>
      </c>
      <c r="I130" s="178">
        <f>'3.3'!I76</f>
        <v>0</v>
      </c>
    </row>
    <row r="131" ht="14.25" customHeight="1">
      <c r="G131" s="3"/>
    </row>
    <row r="132" ht="14.25" customHeight="1">
      <c r="G132" s="3"/>
    </row>
    <row r="133" ht="23.25" customHeight="1">
      <c r="A133" s="162">
        <f>'3.4'!A3</f>
        <v>45750</v>
      </c>
      <c r="B133" s="163" t="str">
        <f>'2.1.'!B133</f>
        <v>#REF!</v>
      </c>
      <c r="C133" s="164"/>
      <c r="D133" s="164"/>
      <c r="E133" s="164"/>
      <c r="F133" s="164"/>
      <c r="G133" s="165" t="str">
        <f t="shared" ref="G133:I133" si="29">'2.1.'!G133</f>
        <v>#REF!</v>
      </c>
      <c r="H133" s="166" t="str">
        <f t="shared" si="29"/>
        <v>#REF!</v>
      </c>
      <c r="I133" s="167" t="str">
        <f t="shared" si="29"/>
        <v>#REF!</v>
      </c>
    </row>
    <row r="134" ht="14.25" customHeight="1">
      <c r="G134" s="3"/>
    </row>
    <row r="135" ht="14.25" customHeight="1">
      <c r="A135" s="168" t="str">
        <f>'3.4'!A39</f>
        <v>MANO DE OBRA - EQUIPOS</v>
      </c>
      <c r="B135" s="76" t="str">
        <f>'3.4'!B39</f>
        <v/>
      </c>
      <c r="C135" s="76" t="str">
        <f>'3.4'!C39</f>
        <v/>
      </c>
      <c r="D135" s="76" t="str">
        <f>'3.4'!D39</f>
        <v/>
      </c>
      <c r="E135" s="76" t="str">
        <f>'3.4'!E39</f>
        <v/>
      </c>
      <c r="F135" s="76" t="str">
        <f>'3.4'!F39</f>
        <v/>
      </c>
      <c r="G135" s="2" t="str">
        <f>'3.4'!G39</f>
        <v/>
      </c>
      <c r="H135" s="76" t="str">
        <f>'3.4'!H39</f>
        <v/>
      </c>
      <c r="I135" s="76" t="str">
        <f>'3.4'!I39</f>
        <v/>
      </c>
    </row>
    <row r="136" ht="14.25" customHeight="1">
      <c r="A136" s="169" t="str">
        <f>'3.4'!A40</f>
        <v>Código</v>
      </c>
      <c r="B136" s="169" t="str">
        <f>'3.4'!B40</f>
        <v>Descripción</v>
      </c>
      <c r="C136" s="169" t="str">
        <f>'3.4'!C40</f>
        <v>Unidad</v>
      </c>
      <c r="D136" s="169" t="str">
        <f>'3.4'!D40</f>
        <v>Cantidad</v>
      </c>
      <c r="E136" s="169" t="str">
        <f>'3.4'!E40</f>
        <v>Dias</v>
      </c>
      <c r="F136" s="169" t="str">
        <f>'3.4'!F40</f>
        <v>Desperdicio</v>
      </c>
      <c r="G136" s="4" t="str">
        <f>'3.4'!G40</f>
        <v>Cantidad + Desperdicio</v>
      </c>
      <c r="H136" s="169" t="str">
        <f>'3.4'!H40</f>
        <v>Precio Unitario</v>
      </c>
      <c r="I136" s="169" t="str">
        <f>'3.4'!I40</f>
        <v>Subtotal</v>
      </c>
    </row>
    <row r="137" ht="14.25" customHeight="1">
      <c r="A137" s="171" t="str">
        <f>'3.4'!A41</f>
        <v>E-MC</v>
      </c>
      <c r="B137" s="74" t="str">
        <f>'3.4'!B41</f>
        <v>Mini Cargadora</v>
      </c>
      <c r="C137" s="74" t="str">
        <f>'3.4'!C41</f>
        <v>u</v>
      </c>
      <c r="D137" s="171">
        <f>'3.4'!D41</f>
        <v>1</v>
      </c>
      <c r="E137" s="171">
        <f>'3.4'!E41</f>
        <v>2</v>
      </c>
      <c r="F137" s="173" t="str">
        <f>'3.4'!F41</f>
        <v/>
      </c>
      <c r="G137" s="184">
        <f>'3.4'!G41</f>
        <v>2</v>
      </c>
      <c r="H137" s="120">
        <f>'3.4'!H41</f>
        <v>420000</v>
      </c>
      <c r="I137" s="120">
        <f>'3.4'!I41</f>
        <v>840000</v>
      </c>
    </row>
    <row r="138" ht="14.25" customHeight="1">
      <c r="A138" s="171" t="str">
        <f>'3.4'!A42</f>
        <v/>
      </c>
      <c r="B138" s="74" t="str">
        <f>'3.4'!B42</f>
        <v/>
      </c>
      <c r="C138" s="74" t="str">
        <f>'3.4'!C42</f>
        <v/>
      </c>
      <c r="D138" s="171" t="str">
        <f>'3.4'!D42</f>
        <v/>
      </c>
      <c r="E138" s="171" t="str">
        <f>'3.4'!E42</f>
        <v/>
      </c>
      <c r="F138" s="173" t="str">
        <f>'3.4'!F42</f>
        <v/>
      </c>
      <c r="G138" s="184">
        <f>'3.4'!G42</f>
        <v>0</v>
      </c>
      <c r="H138" s="120" t="str">
        <f>'3.4'!H42</f>
        <v/>
      </c>
      <c r="I138" s="120">
        <f>'3.4'!I42</f>
        <v>0</v>
      </c>
    </row>
    <row r="139" ht="14.25" customHeight="1">
      <c r="A139" s="171" t="str">
        <f>'3.4'!A43</f>
        <v/>
      </c>
      <c r="B139" s="74" t="str">
        <f>'3.4'!B43</f>
        <v/>
      </c>
      <c r="C139" s="74" t="str">
        <f>'3.4'!C43</f>
        <v/>
      </c>
      <c r="D139" s="171" t="str">
        <f>'3.4'!D43</f>
        <v/>
      </c>
      <c r="E139" s="171" t="str">
        <f>'3.4'!E43</f>
        <v/>
      </c>
      <c r="F139" s="173" t="str">
        <f>'3.4'!F43</f>
        <v/>
      </c>
      <c r="G139" s="184">
        <f>'3.4'!G43</f>
        <v>0</v>
      </c>
      <c r="H139" s="120" t="str">
        <f>'3.4'!H43</f>
        <v/>
      </c>
      <c r="I139" s="120" t="str">
        <f>'3.4'!I43</f>
        <v/>
      </c>
    </row>
    <row r="140" ht="14.25" customHeight="1">
      <c r="A140" s="171" t="str">
        <f>'3.4'!A44</f>
        <v/>
      </c>
      <c r="B140" s="74" t="str">
        <f>'3.4'!B44</f>
        <v/>
      </c>
      <c r="C140" s="74" t="str">
        <f>'3.4'!C44</f>
        <v/>
      </c>
      <c r="D140" s="171" t="str">
        <f>'3.4'!D44</f>
        <v/>
      </c>
      <c r="E140" s="171" t="str">
        <f>'3.4'!E44</f>
        <v/>
      </c>
      <c r="F140" s="173" t="str">
        <f>'3.4'!F44</f>
        <v/>
      </c>
      <c r="G140" s="184">
        <f>'3.4'!G44</f>
        <v>0</v>
      </c>
      <c r="H140" s="120" t="str">
        <f>'3.4'!H44</f>
        <v/>
      </c>
      <c r="I140" s="120" t="str">
        <f>'3.4'!I44</f>
        <v/>
      </c>
    </row>
    <row r="141" ht="14.25" customHeight="1">
      <c r="A141" s="171" t="str">
        <f>'3.4'!A45</f>
        <v/>
      </c>
      <c r="B141" s="74" t="str">
        <f>'3.4'!B45</f>
        <v/>
      </c>
      <c r="C141" s="74" t="str">
        <f>'3.4'!C45</f>
        <v/>
      </c>
      <c r="D141" s="171" t="str">
        <f>'3.4'!D45</f>
        <v/>
      </c>
      <c r="E141" s="171" t="str">
        <f>'3.4'!E45</f>
        <v/>
      </c>
      <c r="F141" s="173" t="str">
        <f>'3.4'!F45</f>
        <v/>
      </c>
      <c r="G141" s="184">
        <f>'3.4'!G45</f>
        <v>0</v>
      </c>
      <c r="H141" s="120" t="str">
        <f>'3.4'!H45</f>
        <v/>
      </c>
      <c r="I141" s="120" t="str">
        <f>'3.4'!I45</f>
        <v/>
      </c>
    </row>
    <row r="142" ht="14.25" customHeight="1">
      <c r="A142" s="171" t="str">
        <f>'3.4'!A46</f>
        <v/>
      </c>
      <c r="B142" s="74" t="str">
        <f>'3.4'!B46</f>
        <v/>
      </c>
      <c r="C142" s="74" t="str">
        <f>'3.4'!C46</f>
        <v/>
      </c>
      <c r="D142" s="171" t="str">
        <f>'3.4'!D46</f>
        <v/>
      </c>
      <c r="E142" s="171" t="str">
        <f>'3.4'!E46</f>
        <v/>
      </c>
      <c r="F142" s="173" t="str">
        <f>'3.4'!F46</f>
        <v/>
      </c>
      <c r="G142" s="184">
        <f>'3.4'!G46</f>
        <v>0</v>
      </c>
      <c r="H142" s="120" t="str">
        <f>'3.4'!H46</f>
        <v/>
      </c>
      <c r="I142" s="120" t="str">
        <f>'3.4'!I46</f>
        <v/>
      </c>
    </row>
    <row r="143" ht="14.25" customHeight="1">
      <c r="A143" s="127" t="str">
        <f>'3.4'!A47</f>
        <v/>
      </c>
      <c r="B143" s="127" t="str">
        <f>'3.4'!B47</f>
        <v/>
      </c>
      <c r="C143" s="127" t="str">
        <f>'3.4'!C47</f>
        <v/>
      </c>
      <c r="D143" s="127" t="str">
        <f>'3.4'!D47</f>
        <v/>
      </c>
      <c r="E143" s="127" t="str">
        <f>'3.4'!E47</f>
        <v/>
      </c>
      <c r="F143" s="126" t="str">
        <f>'3.4'!F47</f>
        <v/>
      </c>
      <c r="G143" s="3" t="str">
        <f>'3.4'!G47</f>
        <v/>
      </c>
      <c r="H143" s="120" t="str">
        <f>'3.4'!H47</f>
        <v/>
      </c>
      <c r="I143" s="120" t="str">
        <f>'3.4'!I47</f>
        <v/>
      </c>
    </row>
    <row r="144" ht="14.25" customHeight="1">
      <c r="A144" s="175" t="str">
        <f>'3.4'!A48</f>
        <v>TOTAL</v>
      </c>
      <c r="B144" s="176" t="str">
        <f>'3.4'!B48</f>
        <v/>
      </c>
      <c r="C144" s="176" t="str">
        <f>'3.4'!C48</f>
        <v/>
      </c>
      <c r="D144" s="176" t="str">
        <f>'3.4'!D48</f>
        <v/>
      </c>
      <c r="E144" s="176" t="str">
        <f>'3.4'!E48</f>
        <v/>
      </c>
      <c r="F144" s="176" t="str">
        <f>'3.4'!F48</f>
        <v/>
      </c>
      <c r="G144" s="177" t="str">
        <f>'3.4'!G48</f>
        <v/>
      </c>
      <c r="H144" s="176" t="str">
        <f>'3.4'!H48</f>
        <v/>
      </c>
      <c r="I144" s="178">
        <f>'3.4'!I48</f>
        <v>840000</v>
      </c>
    </row>
    <row r="145" ht="14.25" customHeight="1">
      <c r="G145" s="3"/>
    </row>
    <row r="146" ht="14.25" customHeight="1">
      <c r="G146" s="3"/>
    </row>
    <row r="147" ht="14.25" customHeight="1">
      <c r="A147" s="168" t="str">
        <f>'3.4'!A67</f>
        <v>MANO DE OBRA - SUBCONTRATOS</v>
      </c>
      <c r="B147" s="76" t="str">
        <f>'3.4'!B67</f>
        <v/>
      </c>
      <c r="C147" s="76" t="str">
        <f>'3.4'!C67</f>
        <v/>
      </c>
      <c r="D147" s="76" t="str">
        <f>'3.4'!D67</f>
        <v/>
      </c>
      <c r="E147" s="76" t="str">
        <f>'3.4'!E67</f>
        <v/>
      </c>
      <c r="F147" s="76" t="str">
        <f>'3.4'!F67</f>
        <v/>
      </c>
      <c r="G147" s="2" t="str">
        <f>'3.4'!G67</f>
        <v/>
      </c>
      <c r="H147" s="76" t="str">
        <f>'3.4'!H67</f>
        <v/>
      </c>
      <c r="I147" s="76" t="str">
        <f>'3.4'!I67</f>
        <v/>
      </c>
    </row>
    <row r="148" ht="14.25" customHeight="1">
      <c r="A148" s="169" t="str">
        <f>'3.4'!A68</f>
        <v>Código</v>
      </c>
      <c r="B148" s="169" t="str">
        <f>'3.4'!B68</f>
        <v>Descripción</v>
      </c>
      <c r="C148" s="169" t="str">
        <f>'3.4'!C68</f>
        <v>Unidad</v>
      </c>
      <c r="D148" s="169" t="str">
        <f>'3.4'!D68</f>
        <v>Cantidad</v>
      </c>
      <c r="E148" s="169" t="str">
        <f>'3.4'!E68</f>
        <v>Dias</v>
      </c>
      <c r="F148" s="169" t="str">
        <f>'3.4'!F68</f>
        <v>Desperdicio</v>
      </c>
      <c r="G148" s="4" t="str">
        <f>'3.4'!G68</f>
        <v>Cantidad + Desperdicio</v>
      </c>
      <c r="H148" s="169" t="str">
        <f>'3.4'!H68</f>
        <v>Precio Unitario</v>
      </c>
      <c r="I148" s="169" t="str">
        <f>'3.4'!I68</f>
        <v>Subtotal</v>
      </c>
    </row>
    <row r="149" ht="14.25" customHeight="1">
      <c r="A149" s="171" t="str">
        <f>'3.4'!A69</f>
        <v/>
      </c>
      <c r="B149" s="74" t="str">
        <f>'3.4'!B69</f>
        <v/>
      </c>
      <c r="C149" s="74" t="str">
        <f>'3.4'!C69</f>
        <v/>
      </c>
      <c r="D149" s="171" t="str">
        <f>'3.4'!D69</f>
        <v/>
      </c>
      <c r="E149" s="171" t="str">
        <f>'3.4'!E69</f>
        <v/>
      </c>
      <c r="F149" s="173" t="str">
        <f>'3.4'!F69</f>
        <v/>
      </c>
      <c r="G149" s="174">
        <f>'3.4'!G69</f>
        <v>0</v>
      </c>
      <c r="H149" s="120" t="str">
        <f>'3.4'!H69</f>
        <v/>
      </c>
      <c r="I149" s="120" t="str">
        <f>'3.4'!I69</f>
        <v/>
      </c>
    </row>
    <row r="150" ht="14.25" customHeight="1">
      <c r="A150" s="171" t="str">
        <f>'3.4'!A70</f>
        <v/>
      </c>
      <c r="B150" s="74" t="str">
        <f>'3.4'!B70</f>
        <v/>
      </c>
      <c r="C150" s="74" t="str">
        <f>'3.4'!C70</f>
        <v/>
      </c>
      <c r="D150" s="171" t="str">
        <f>'3.4'!D70</f>
        <v/>
      </c>
      <c r="E150" s="171" t="str">
        <f>'3.4'!E70</f>
        <v/>
      </c>
      <c r="F150" s="173" t="str">
        <f>'3.4'!F70</f>
        <v/>
      </c>
      <c r="G150" s="174">
        <f>'3.4'!G70</f>
        <v>0</v>
      </c>
      <c r="H150" s="120" t="str">
        <f>'3.4'!H70</f>
        <v/>
      </c>
      <c r="I150" s="120" t="str">
        <f>'3.4'!I70</f>
        <v/>
      </c>
    </row>
    <row r="151" ht="14.25" customHeight="1">
      <c r="A151" s="171" t="str">
        <f>'3.4'!A71</f>
        <v/>
      </c>
      <c r="B151" s="74" t="str">
        <f>'3.4'!B71</f>
        <v/>
      </c>
      <c r="C151" s="74" t="str">
        <f>'3.4'!C71</f>
        <v/>
      </c>
      <c r="D151" s="171" t="str">
        <f>'3.4'!D71</f>
        <v/>
      </c>
      <c r="E151" s="171" t="str">
        <f>'3.4'!E71</f>
        <v/>
      </c>
      <c r="F151" s="173" t="str">
        <f>'3.4'!F71</f>
        <v/>
      </c>
      <c r="G151" s="174">
        <f>'3.4'!G71</f>
        <v>0</v>
      </c>
      <c r="H151" s="120" t="str">
        <f>'3.4'!H71</f>
        <v/>
      </c>
      <c r="I151" s="120" t="str">
        <f>'3.4'!I71</f>
        <v/>
      </c>
    </row>
    <row r="152" ht="14.25" customHeight="1">
      <c r="A152" s="171" t="str">
        <f>'3.4'!A72</f>
        <v/>
      </c>
      <c r="B152" s="74" t="str">
        <f>'3.4'!B72</f>
        <v/>
      </c>
      <c r="C152" s="74" t="str">
        <f>'3.4'!C72</f>
        <v/>
      </c>
      <c r="D152" s="171" t="str">
        <f>'3.4'!D72</f>
        <v/>
      </c>
      <c r="E152" s="171" t="str">
        <f>'3.4'!E72</f>
        <v/>
      </c>
      <c r="F152" s="173" t="str">
        <f>'3.4'!F72</f>
        <v/>
      </c>
      <c r="G152" s="174">
        <f>'3.4'!G72</f>
        <v>0</v>
      </c>
      <c r="H152" s="120" t="str">
        <f>'3.4'!H72</f>
        <v/>
      </c>
      <c r="I152" s="120" t="str">
        <f>'3.4'!I72</f>
        <v/>
      </c>
    </row>
    <row r="153" ht="14.25" customHeight="1">
      <c r="A153" s="171" t="str">
        <f>'3.4'!A73</f>
        <v/>
      </c>
      <c r="B153" s="74" t="str">
        <f>'3.4'!B73</f>
        <v/>
      </c>
      <c r="C153" s="74" t="str">
        <f>'3.4'!C73</f>
        <v/>
      </c>
      <c r="D153" s="171" t="str">
        <f>'3.4'!D73</f>
        <v/>
      </c>
      <c r="E153" s="171" t="str">
        <f>'3.4'!E73</f>
        <v/>
      </c>
      <c r="F153" s="173" t="str">
        <f>'3.4'!F73</f>
        <v/>
      </c>
      <c r="G153" s="174">
        <f>'3.4'!G73</f>
        <v>0</v>
      </c>
      <c r="H153" s="120" t="str">
        <f>'3.4'!H73</f>
        <v/>
      </c>
      <c r="I153" s="120" t="str">
        <f>'3.4'!I73</f>
        <v/>
      </c>
    </row>
    <row r="154" ht="14.25" customHeight="1">
      <c r="A154" s="171" t="str">
        <f>'3.4'!A74</f>
        <v/>
      </c>
      <c r="B154" s="74" t="str">
        <f>'3.4'!B74</f>
        <v/>
      </c>
      <c r="C154" s="74" t="str">
        <f>'3.4'!C74</f>
        <v/>
      </c>
      <c r="D154" s="171" t="str">
        <f>'3.4'!D74</f>
        <v/>
      </c>
      <c r="E154" s="171" t="str">
        <f>'3.4'!E74</f>
        <v/>
      </c>
      <c r="F154" s="173" t="str">
        <f>'3.4'!F74</f>
        <v/>
      </c>
      <c r="G154" s="174">
        <f>'3.4'!G74</f>
        <v>0</v>
      </c>
      <c r="H154" s="120" t="str">
        <f>'3.4'!H74</f>
        <v/>
      </c>
      <c r="I154" s="120" t="str">
        <f>'3.4'!I74</f>
        <v/>
      </c>
    </row>
    <row r="155" ht="14.25" customHeight="1">
      <c r="A155" s="127" t="str">
        <f>'3.4'!A75</f>
        <v/>
      </c>
      <c r="B155" s="127" t="str">
        <f>'3.4'!B75</f>
        <v/>
      </c>
      <c r="C155" s="127" t="str">
        <f>'3.4'!C75</f>
        <v/>
      </c>
      <c r="D155" s="127" t="str">
        <f>'3.4'!D75</f>
        <v/>
      </c>
      <c r="E155" s="127" t="str">
        <f>'3.4'!E75</f>
        <v/>
      </c>
      <c r="F155" s="126" t="str">
        <f>'3.4'!F75</f>
        <v/>
      </c>
      <c r="G155" s="3" t="str">
        <f>'3.4'!G75</f>
        <v/>
      </c>
      <c r="H155" s="120" t="str">
        <f>'3.4'!H75</f>
        <v/>
      </c>
      <c r="I155" s="120" t="str">
        <f>'3.4'!I75</f>
        <v/>
      </c>
    </row>
    <row r="156" ht="14.25" customHeight="1">
      <c r="A156" s="175" t="str">
        <f>'3.4'!A76</f>
        <v>TOTAL</v>
      </c>
      <c r="B156" s="176" t="str">
        <f>'3.4'!B76</f>
        <v/>
      </c>
      <c r="C156" s="176" t="str">
        <f>'3.4'!C76</f>
        <v/>
      </c>
      <c r="D156" s="176" t="str">
        <f>'3.4'!D76</f>
        <v/>
      </c>
      <c r="E156" s="176" t="str">
        <f>'3.4'!E76</f>
        <v/>
      </c>
      <c r="F156" s="176" t="str">
        <f>'3.4'!F76</f>
        <v/>
      </c>
      <c r="G156" s="177" t="str">
        <f>'3.4'!G76</f>
        <v/>
      </c>
      <c r="H156" s="176" t="str">
        <f>'3.4'!H76</f>
        <v/>
      </c>
      <c r="I156" s="178">
        <f>'3.4'!I76</f>
        <v>0</v>
      </c>
    </row>
    <row r="157" ht="14.25" customHeight="1">
      <c r="G157" s="3"/>
    </row>
    <row r="158" ht="14.25" customHeight="1">
      <c r="G158" s="3"/>
    </row>
    <row r="159" ht="23.25" customHeight="1">
      <c r="A159" s="162">
        <f>'3.5'!A3</f>
        <v>45780</v>
      </c>
      <c r="B159" s="163" t="str">
        <f>'2.1.'!B159</f>
        <v>#REF!</v>
      </c>
      <c r="C159" s="164"/>
      <c r="D159" s="164"/>
      <c r="E159" s="164"/>
      <c r="F159" s="164"/>
      <c r="G159" s="165" t="str">
        <f t="shared" ref="G159:I159" si="30">'2.1.'!G159</f>
        <v>#REF!</v>
      </c>
      <c r="H159" s="166" t="str">
        <f t="shared" si="30"/>
        <v>#REF!</v>
      </c>
      <c r="I159" s="167" t="str">
        <f t="shared" si="30"/>
        <v>#REF!</v>
      </c>
    </row>
    <row r="160" ht="14.25" customHeight="1">
      <c r="G160" s="3"/>
    </row>
    <row r="161" ht="14.25" customHeight="1">
      <c r="A161" s="168" t="str">
        <f>'3.5'!A39</f>
        <v>MANO DE OBRA - EQUIPOS</v>
      </c>
      <c r="B161" s="76" t="str">
        <f>'3.5'!B39</f>
        <v/>
      </c>
      <c r="C161" s="76" t="str">
        <f>'3.5'!C39</f>
        <v/>
      </c>
      <c r="D161" s="76" t="str">
        <f>'3.5'!D39</f>
        <v/>
      </c>
      <c r="E161" s="76" t="str">
        <f>'3.5'!E39</f>
        <v/>
      </c>
      <c r="F161" s="76" t="str">
        <f>'3.5'!F39</f>
        <v/>
      </c>
      <c r="G161" s="2" t="str">
        <f>'3.5'!G39</f>
        <v/>
      </c>
      <c r="H161" s="76" t="str">
        <f>'3.5'!H39</f>
        <v/>
      </c>
      <c r="I161" s="76" t="str">
        <f>'3.5'!I39</f>
        <v/>
      </c>
    </row>
    <row r="162" ht="14.25" customHeight="1">
      <c r="A162" s="169" t="str">
        <f>'3.5'!A40</f>
        <v>Código</v>
      </c>
      <c r="B162" s="169" t="str">
        <f>'3.5'!B40</f>
        <v>Descripción</v>
      </c>
      <c r="C162" s="169" t="str">
        <f>'3.5'!C40</f>
        <v>Unidad</v>
      </c>
      <c r="D162" s="169" t="str">
        <f>'3.5'!D40</f>
        <v>Cantidad</v>
      </c>
      <c r="E162" s="169" t="str">
        <f>'3.5'!E40</f>
        <v>Dias</v>
      </c>
      <c r="F162" s="169" t="str">
        <f>'3.5'!F40</f>
        <v>Desperdicio</v>
      </c>
      <c r="G162" s="4" t="str">
        <f>'3.5'!G40</f>
        <v>Cantidad + Desperdicio</v>
      </c>
      <c r="H162" s="169" t="str">
        <f>'3.5'!H40</f>
        <v>Precio Unitario</v>
      </c>
      <c r="I162" s="169" t="str">
        <f>'3.5'!I40</f>
        <v>Subtotal</v>
      </c>
    </row>
    <row r="163" ht="14.25" customHeight="1">
      <c r="A163" s="171" t="str">
        <f>'3.5'!A41</f>
        <v/>
      </c>
      <c r="B163" s="74" t="str">
        <f>'3.5'!B41</f>
        <v/>
      </c>
      <c r="C163" s="74" t="str">
        <f>'3.5'!C41</f>
        <v/>
      </c>
      <c r="D163" s="171" t="str">
        <f>'3.5'!D41</f>
        <v/>
      </c>
      <c r="E163" s="171" t="str">
        <f>'3.5'!E41</f>
        <v/>
      </c>
      <c r="F163" s="173" t="str">
        <f>'3.5'!F41</f>
        <v/>
      </c>
      <c r="G163" s="184">
        <f>'3.5'!G41</f>
        <v>0</v>
      </c>
      <c r="H163" s="120" t="str">
        <f>'3.5'!H41</f>
        <v/>
      </c>
      <c r="I163" s="120">
        <f>'3.5'!I41</f>
        <v>0</v>
      </c>
    </row>
    <row r="164" ht="14.25" customHeight="1">
      <c r="A164" s="171" t="str">
        <f>'3.5'!A42</f>
        <v/>
      </c>
      <c r="B164" s="74" t="str">
        <f>'3.5'!B42</f>
        <v/>
      </c>
      <c r="C164" s="74" t="str">
        <f>'3.5'!C42</f>
        <v/>
      </c>
      <c r="D164" s="171" t="str">
        <f>'3.5'!D42</f>
        <v/>
      </c>
      <c r="E164" s="171" t="str">
        <f>'3.5'!E42</f>
        <v/>
      </c>
      <c r="F164" s="173" t="str">
        <f>'3.5'!F42</f>
        <v/>
      </c>
      <c r="G164" s="184">
        <f>'3.5'!G42</f>
        <v>0</v>
      </c>
      <c r="H164" s="120" t="str">
        <f>'3.5'!H42</f>
        <v/>
      </c>
      <c r="I164" s="120" t="str">
        <f>'3.5'!I42</f>
        <v/>
      </c>
    </row>
    <row r="165" ht="14.25" customHeight="1">
      <c r="A165" s="171" t="str">
        <f>'3.5'!A43</f>
        <v/>
      </c>
      <c r="B165" s="74" t="str">
        <f>'3.5'!B43</f>
        <v/>
      </c>
      <c r="C165" s="74" t="str">
        <f>'3.5'!C43</f>
        <v/>
      </c>
      <c r="D165" s="171" t="str">
        <f>'3.5'!D43</f>
        <v/>
      </c>
      <c r="E165" s="171" t="str">
        <f>'3.5'!E43</f>
        <v/>
      </c>
      <c r="F165" s="173" t="str">
        <f>'3.5'!F43</f>
        <v/>
      </c>
      <c r="G165" s="184">
        <f>'3.5'!G43</f>
        <v>0</v>
      </c>
      <c r="H165" s="120" t="str">
        <f>'3.5'!H43</f>
        <v/>
      </c>
      <c r="I165" s="120" t="str">
        <f>'3.5'!I43</f>
        <v/>
      </c>
    </row>
    <row r="166" ht="14.25" customHeight="1">
      <c r="A166" s="171" t="str">
        <f>'3.5'!A44</f>
        <v/>
      </c>
      <c r="B166" s="74" t="str">
        <f>'3.5'!B44</f>
        <v/>
      </c>
      <c r="C166" s="74" t="str">
        <f>'3.5'!C44</f>
        <v/>
      </c>
      <c r="D166" s="171" t="str">
        <f>'3.5'!D44</f>
        <v/>
      </c>
      <c r="E166" s="171" t="str">
        <f>'3.5'!E44</f>
        <v/>
      </c>
      <c r="F166" s="173" t="str">
        <f>'3.5'!F44</f>
        <v/>
      </c>
      <c r="G166" s="184">
        <f>'3.5'!G44</f>
        <v>0</v>
      </c>
      <c r="H166" s="120" t="str">
        <f>'3.5'!H44</f>
        <v/>
      </c>
      <c r="I166" s="120" t="str">
        <f>'3.5'!I44</f>
        <v/>
      </c>
    </row>
    <row r="167" ht="14.25" customHeight="1">
      <c r="A167" s="171" t="str">
        <f>'3.5'!A45</f>
        <v/>
      </c>
      <c r="B167" s="74" t="str">
        <f>'3.5'!B45</f>
        <v/>
      </c>
      <c r="C167" s="74" t="str">
        <f>'3.5'!C45</f>
        <v/>
      </c>
      <c r="D167" s="171" t="str">
        <f>'3.5'!D45</f>
        <v/>
      </c>
      <c r="E167" s="171" t="str">
        <f>'3.5'!E45</f>
        <v/>
      </c>
      <c r="F167" s="173" t="str">
        <f>'3.5'!F45</f>
        <v/>
      </c>
      <c r="G167" s="184">
        <f>'3.5'!G45</f>
        <v>0</v>
      </c>
      <c r="H167" s="120" t="str">
        <f>'3.5'!H45</f>
        <v/>
      </c>
      <c r="I167" s="120" t="str">
        <f>'3.5'!I45</f>
        <v/>
      </c>
    </row>
    <row r="168" ht="14.25" customHeight="1">
      <c r="A168" s="171" t="str">
        <f>'3.5'!A46</f>
        <v/>
      </c>
      <c r="B168" s="74" t="str">
        <f>'3.5'!B46</f>
        <v/>
      </c>
      <c r="C168" s="74" t="str">
        <f>'3.5'!C46</f>
        <v/>
      </c>
      <c r="D168" s="171" t="str">
        <f>'3.5'!D46</f>
        <v/>
      </c>
      <c r="E168" s="171" t="str">
        <f>'3.5'!E46</f>
        <v/>
      </c>
      <c r="F168" s="173" t="str">
        <f>'3.5'!F46</f>
        <v/>
      </c>
      <c r="G168" s="184">
        <f>'3.5'!G46</f>
        <v>0</v>
      </c>
      <c r="H168" s="120" t="str">
        <f>'3.5'!H46</f>
        <v/>
      </c>
      <c r="I168" s="120" t="str">
        <f>'3.5'!I46</f>
        <v/>
      </c>
    </row>
    <row r="169" ht="14.25" customHeight="1">
      <c r="A169" s="127" t="str">
        <f>'3.5'!A47</f>
        <v/>
      </c>
      <c r="B169" s="127" t="str">
        <f>'3.5'!B47</f>
        <v/>
      </c>
      <c r="C169" s="127" t="str">
        <f>'3.5'!C47</f>
        <v/>
      </c>
      <c r="D169" s="127" t="str">
        <f>'3.5'!D47</f>
        <v/>
      </c>
      <c r="E169" s="127" t="str">
        <f>'3.5'!E47</f>
        <v/>
      </c>
      <c r="F169" s="126" t="str">
        <f>'3.5'!F47</f>
        <v/>
      </c>
      <c r="G169" s="3" t="str">
        <f>'3.5'!G47</f>
        <v/>
      </c>
      <c r="H169" s="120" t="str">
        <f>'3.5'!H47</f>
        <v/>
      </c>
      <c r="I169" s="120" t="str">
        <f>'3.5'!I47</f>
        <v/>
      </c>
    </row>
    <row r="170" ht="14.25" customHeight="1">
      <c r="A170" s="175" t="str">
        <f>'3.5'!A48</f>
        <v>TOTAL</v>
      </c>
      <c r="B170" s="176" t="str">
        <f>'3.5'!B48</f>
        <v/>
      </c>
      <c r="C170" s="176" t="str">
        <f>'3.5'!C48</f>
        <v/>
      </c>
      <c r="D170" s="176" t="str">
        <f>'3.5'!D48</f>
        <v/>
      </c>
      <c r="E170" s="176" t="str">
        <f>'3.5'!E48</f>
        <v/>
      </c>
      <c r="F170" s="176" t="str">
        <f>'3.5'!F48</f>
        <v/>
      </c>
      <c r="G170" s="177" t="str">
        <f>'3.5'!G48</f>
        <v/>
      </c>
      <c r="H170" s="176" t="str">
        <f>'3.5'!H48</f>
        <v/>
      </c>
      <c r="I170" s="178">
        <f>'3.5'!I48</f>
        <v>0</v>
      </c>
    </row>
    <row r="171" ht="14.25" customHeight="1">
      <c r="G171" s="3"/>
    </row>
    <row r="172" ht="14.25" customHeight="1">
      <c r="G172" s="3"/>
    </row>
    <row r="173" ht="14.25" customHeight="1">
      <c r="A173" s="168" t="str">
        <f>'3.5'!A67</f>
        <v>MANO DE OBRA - SUBCONTRATOS</v>
      </c>
      <c r="B173" s="76" t="str">
        <f>'3.5'!B67</f>
        <v/>
      </c>
      <c r="C173" s="76" t="str">
        <f>'3.5'!C67</f>
        <v/>
      </c>
      <c r="D173" s="76" t="str">
        <f>'3.5'!D67</f>
        <v/>
      </c>
      <c r="E173" s="76" t="str">
        <f>'3.5'!E67</f>
        <v/>
      </c>
      <c r="F173" s="76" t="str">
        <f>'3.5'!F67</f>
        <v/>
      </c>
      <c r="G173" s="2" t="str">
        <f>'3.5'!G67</f>
        <v/>
      </c>
      <c r="H173" s="76" t="str">
        <f>'3.5'!H67</f>
        <v/>
      </c>
      <c r="I173" s="76" t="str">
        <f>'3.5'!I67</f>
        <v/>
      </c>
    </row>
    <row r="174" ht="14.25" customHeight="1">
      <c r="A174" s="169" t="str">
        <f>'3.5'!A68</f>
        <v>Código</v>
      </c>
      <c r="B174" s="169" t="str">
        <f>'3.5'!B68</f>
        <v>Descripción</v>
      </c>
      <c r="C174" s="169" t="str">
        <f>'3.5'!C68</f>
        <v>Unidad</v>
      </c>
      <c r="D174" s="169" t="str">
        <f>'3.5'!D68</f>
        <v>Cantidad</v>
      </c>
      <c r="E174" s="169" t="str">
        <f>'3.5'!E68</f>
        <v>Dias</v>
      </c>
      <c r="F174" s="169" t="str">
        <f>'3.5'!F68</f>
        <v>Desperdicio</v>
      </c>
      <c r="G174" s="4" t="str">
        <f>'3.5'!G68</f>
        <v>Cantidad + Desperdicio</v>
      </c>
      <c r="H174" s="169" t="str">
        <f>'3.5'!H68</f>
        <v>Precio Unitario</v>
      </c>
      <c r="I174" s="169" t="str">
        <f>'3.5'!I68</f>
        <v>Subtotal</v>
      </c>
    </row>
    <row r="175" ht="14.25" customHeight="1">
      <c r="A175" s="171" t="str">
        <f>'3.5'!A69</f>
        <v/>
      </c>
      <c r="B175" s="74" t="str">
        <f>'3.5'!B69</f>
        <v/>
      </c>
      <c r="C175" s="74" t="str">
        <f>'3.5'!C69</f>
        <v/>
      </c>
      <c r="D175" s="171" t="str">
        <f>'3.5'!D69</f>
        <v/>
      </c>
      <c r="E175" s="171" t="str">
        <f>'3.5'!E69</f>
        <v/>
      </c>
      <c r="F175" s="173" t="str">
        <f>'3.5'!F69</f>
        <v/>
      </c>
      <c r="G175" s="174">
        <f>'3.5'!G69</f>
        <v>0</v>
      </c>
      <c r="H175" s="120" t="str">
        <f>'3.5'!H69</f>
        <v/>
      </c>
      <c r="I175" s="120" t="str">
        <f>'3.5'!I69</f>
        <v/>
      </c>
    </row>
    <row r="176" ht="14.25" customHeight="1">
      <c r="A176" s="171" t="str">
        <f>'3.5'!A70</f>
        <v/>
      </c>
      <c r="B176" s="74" t="str">
        <f>'3.5'!B70</f>
        <v/>
      </c>
      <c r="C176" s="74" t="str">
        <f>'3.5'!C70</f>
        <v/>
      </c>
      <c r="D176" s="171" t="str">
        <f>'3.5'!D70</f>
        <v/>
      </c>
      <c r="E176" s="171" t="str">
        <f>'3.5'!E70</f>
        <v/>
      </c>
      <c r="F176" s="173" t="str">
        <f>'3.5'!F70</f>
        <v/>
      </c>
      <c r="G176" s="174">
        <f>'3.5'!G70</f>
        <v>0</v>
      </c>
      <c r="H176" s="120" t="str">
        <f>'3.5'!H70</f>
        <v/>
      </c>
      <c r="I176" s="120" t="str">
        <f>'3.5'!I70</f>
        <v/>
      </c>
    </row>
    <row r="177" ht="14.25" customHeight="1">
      <c r="A177" s="171" t="str">
        <f>'3.5'!A71</f>
        <v/>
      </c>
      <c r="B177" s="74" t="str">
        <f>'3.5'!B71</f>
        <v/>
      </c>
      <c r="C177" s="74" t="str">
        <f>'3.5'!C71</f>
        <v/>
      </c>
      <c r="D177" s="171" t="str">
        <f>'3.5'!D71</f>
        <v/>
      </c>
      <c r="E177" s="171" t="str">
        <f>'3.5'!E71</f>
        <v/>
      </c>
      <c r="F177" s="173" t="str">
        <f>'3.5'!F71</f>
        <v/>
      </c>
      <c r="G177" s="174">
        <f>'3.5'!G71</f>
        <v>0</v>
      </c>
      <c r="H177" s="120" t="str">
        <f>'3.5'!H71</f>
        <v/>
      </c>
      <c r="I177" s="120" t="str">
        <f>'3.5'!I71</f>
        <v/>
      </c>
    </row>
    <row r="178" ht="14.25" customHeight="1">
      <c r="A178" s="171" t="str">
        <f>'3.5'!A72</f>
        <v/>
      </c>
      <c r="B178" s="74" t="str">
        <f>'3.5'!B72</f>
        <v/>
      </c>
      <c r="C178" s="74" t="str">
        <f>'3.5'!C72</f>
        <v/>
      </c>
      <c r="D178" s="171" t="str">
        <f>'3.5'!D72</f>
        <v/>
      </c>
      <c r="E178" s="171" t="str">
        <f>'3.5'!E72</f>
        <v/>
      </c>
      <c r="F178" s="173" t="str">
        <f>'3.5'!F72</f>
        <v/>
      </c>
      <c r="G178" s="174">
        <f>'3.5'!G72</f>
        <v>0</v>
      </c>
      <c r="H178" s="120" t="str">
        <f>'3.5'!H72</f>
        <v/>
      </c>
      <c r="I178" s="120" t="str">
        <f>'3.5'!I72</f>
        <v/>
      </c>
    </row>
    <row r="179" ht="14.25" customHeight="1">
      <c r="A179" s="171" t="str">
        <f>'3.5'!A73</f>
        <v/>
      </c>
      <c r="B179" s="74" t="str">
        <f>'3.5'!B73</f>
        <v/>
      </c>
      <c r="C179" s="74" t="str">
        <f>'3.5'!C73</f>
        <v/>
      </c>
      <c r="D179" s="171" t="str">
        <f>'3.5'!D73</f>
        <v/>
      </c>
      <c r="E179" s="171" t="str">
        <f>'3.5'!E73</f>
        <v/>
      </c>
      <c r="F179" s="173" t="str">
        <f>'3.5'!F73</f>
        <v/>
      </c>
      <c r="G179" s="174">
        <f>'3.5'!G73</f>
        <v>0</v>
      </c>
      <c r="H179" s="120" t="str">
        <f>'3.5'!H73</f>
        <v/>
      </c>
      <c r="I179" s="120" t="str">
        <f>'3.5'!I73</f>
        <v/>
      </c>
    </row>
    <row r="180" ht="14.25" customHeight="1">
      <c r="A180" s="171" t="str">
        <f>'3.5'!A74</f>
        <v/>
      </c>
      <c r="B180" s="74" t="str">
        <f>'3.5'!B74</f>
        <v/>
      </c>
      <c r="C180" s="74" t="str">
        <f>'3.5'!C74</f>
        <v/>
      </c>
      <c r="D180" s="171" t="str">
        <f>'3.5'!D74</f>
        <v/>
      </c>
      <c r="E180" s="171" t="str">
        <f>'3.5'!E74</f>
        <v/>
      </c>
      <c r="F180" s="173" t="str">
        <f>'3.5'!F74</f>
        <v/>
      </c>
      <c r="G180" s="174">
        <f>'3.5'!G74</f>
        <v>0</v>
      </c>
      <c r="H180" s="120" t="str">
        <f>'3.5'!H74</f>
        <v/>
      </c>
      <c r="I180" s="120" t="str">
        <f>'3.5'!I74</f>
        <v/>
      </c>
    </row>
    <row r="181" ht="14.25" customHeight="1">
      <c r="A181" s="127" t="str">
        <f>'3.5'!A75</f>
        <v/>
      </c>
      <c r="B181" s="127" t="str">
        <f>'3.5'!B75</f>
        <v/>
      </c>
      <c r="C181" s="127" t="str">
        <f>'3.5'!C75</f>
        <v/>
      </c>
      <c r="D181" s="127" t="str">
        <f>'3.5'!D75</f>
        <v/>
      </c>
      <c r="E181" s="127" t="str">
        <f>'3.5'!E75</f>
        <v/>
      </c>
      <c r="F181" s="126" t="str">
        <f>'3.5'!F75</f>
        <v/>
      </c>
      <c r="G181" s="3" t="str">
        <f>'3.5'!G75</f>
        <v/>
      </c>
      <c r="H181" s="120" t="str">
        <f>'3.5'!H75</f>
        <v/>
      </c>
      <c r="I181" s="120" t="str">
        <f>'3.5'!I75</f>
        <v/>
      </c>
    </row>
    <row r="182" ht="14.25" customHeight="1">
      <c r="A182" s="175" t="str">
        <f>'3.5'!A76</f>
        <v>TOTAL</v>
      </c>
      <c r="B182" s="176" t="str">
        <f>'3.5'!B76</f>
        <v/>
      </c>
      <c r="C182" s="176" t="str">
        <f>'3.5'!C76</f>
        <v/>
      </c>
      <c r="D182" s="176" t="str">
        <f>'3.5'!D76</f>
        <v/>
      </c>
      <c r="E182" s="176" t="str">
        <f>'3.5'!E76</f>
        <v/>
      </c>
      <c r="F182" s="176" t="str">
        <f>'3.5'!F76</f>
        <v/>
      </c>
      <c r="G182" s="177" t="str">
        <f>'3.5'!G76</f>
        <v/>
      </c>
      <c r="H182" s="176" t="str">
        <f>'3.5'!H76</f>
        <v/>
      </c>
      <c r="I182" s="178">
        <f>'3.5'!I76</f>
        <v>0</v>
      </c>
    </row>
    <row r="183" ht="14.25" customHeight="1">
      <c r="G183" s="3"/>
    </row>
    <row r="184" ht="14.25" customHeight="1">
      <c r="G184" s="3"/>
    </row>
    <row r="185" ht="23.25" customHeight="1">
      <c r="A185" s="162">
        <f>'3.6'!A3</f>
        <v>45811</v>
      </c>
      <c r="B185" s="163" t="str">
        <f>'2.1.'!B185</f>
        <v>#REF!</v>
      </c>
      <c r="C185" s="164"/>
      <c r="D185" s="164"/>
      <c r="E185" s="164"/>
      <c r="F185" s="164"/>
      <c r="G185" s="165" t="str">
        <f t="shared" ref="G185:I185" si="31">'2.1.'!G185</f>
        <v>#REF!</v>
      </c>
      <c r="H185" s="166" t="str">
        <f t="shared" si="31"/>
        <v>#REF!</v>
      </c>
      <c r="I185" s="167" t="str">
        <f t="shared" si="31"/>
        <v>#REF!</v>
      </c>
    </row>
    <row r="186" ht="14.25" customHeight="1">
      <c r="G186" s="3"/>
    </row>
    <row r="187" ht="14.25" customHeight="1">
      <c r="A187" s="168" t="str">
        <f>'3.6'!A39</f>
        <v>MANO DE OBRA - EQUIPOS</v>
      </c>
      <c r="B187" s="76" t="str">
        <f>'3.6'!B39</f>
        <v/>
      </c>
      <c r="C187" s="76" t="str">
        <f>'3.6'!C39</f>
        <v/>
      </c>
      <c r="D187" s="76" t="str">
        <f>'3.6'!D39</f>
        <v/>
      </c>
      <c r="E187" s="76" t="str">
        <f>'3.6'!E39</f>
        <v/>
      </c>
      <c r="F187" s="76" t="str">
        <f>'3.6'!F39</f>
        <v/>
      </c>
      <c r="G187" s="2" t="str">
        <f>'3.6'!G39</f>
        <v/>
      </c>
      <c r="H187" s="76" t="str">
        <f>'3.6'!H39</f>
        <v/>
      </c>
      <c r="I187" s="76" t="str">
        <f>'3.6'!I39</f>
        <v/>
      </c>
    </row>
    <row r="188" ht="14.25" customHeight="1">
      <c r="A188" s="169" t="str">
        <f>'3.6'!A40</f>
        <v>Código</v>
      </c>
      <c r="B188" s="169" t="str">
        <f>'3.6'!B40</f>
        <v>Descripción</v>
      </c>
      <c r="C188" s="169" t="str">
        <f>'3.6'!C40</f>
        <v>Unidad</v>
      </c>
      <c r="D188" s="169" t="str">
        <f>'3.6'!D40</f>
        <v>Cantidad</v>
      </c>
      <c r="E188" s="169" t="str">
        <f>'3.6'!E40</f>
        <v>Dias</v>
      </c>
      <c r="F188" s="169" t="str">
        <f>'3.6'!F40</f>
        <v>Desperdicio</v>
      </c>
      <c r="G188" s="4" t="str">
        <f>'3.6'!G40</f>
        <v>Cantidad + Desperdicio</v>
      </c>
      <c r="H188" s="169" t="str">
        <f>'3.6'!H40</f>
        <v>Precio Unitario</v>
      </c>
      <c r="I188" s="169" t="str">
        <f>'3.6'!I40</f>
        <v>Subtotal</v>
      </c>
    </row>
    <row r="189" ht="14.25" customHeight="1">
      <c r="A189" s="171" t="str">
        <f>'3.6'!A41</f>
        <v/>
      </c>
      <c r="B189" s="74" t="str">
        <f>'3.6'!B41</f>
        <v/>
      </c>
      <c r="C189" s="74" t="str">
        <f>'3.6'!C41</f>
        <v/>
      </c>
      <c r="D189" s="171" t="str">
        <f>'3.6'!D41</f>
        <v/>
      </c>
      <c r="E189" s="171" t="str">
        <f>'3.6'!E41</f>
        <v/>
      </c>
      <c r="F189" s="173" t="str">
        <f>'3.6'!F41</f>
        <v/>
      </c>
      <c r="G189" s="184">
        <f>'3.6'!G41</f>
        <v>0</v>
      </c>
      <c r="H189" s="120" t="str">
        <f>'3.6'!H41</f>
        <v/>
      </c>
      <c r="I189" s="120" t="str">
        <f>'3.6'!I41</f>
        <v/>
      </c>
    </row>
    <row r="190" ht="14.25" customHeight="1">
      <c r="A190" s="171" t="str">
        <f>'3.6'!A42</f>
        <v/>
      </c>
      <c r="B190" s="74" t="str">
        <f>'3.6'!B42</f>
        <v/>
      </c>
      <c r="C190" s="74" t="str">
        <f>'3.6'!C42</f>
        <v/>
      </c>
      <c r="D190" s="171" t="str">
        <f>'3.6'!D42</f>
        <v/>
      </c>
      <c r="E190" s="171" t="str">
        <f>'3.6'!E42</f>
        <v/>
      </c>
      <c r="F190" s="173" t="str">
        <f>'3.6'!F42</f>
        <v/>
      </c>
      <c r="G190" s="184">
        <f>'3.6'!G42</f>
        <v>0</v>
      </c>
      <c r="H190" s="120" t="str">
        <f>'3.6'!H42</f>
        <v/>
      </c>
      <c r="I190" s="120" t="str">
        <f>'3.6'!I42</f>
        <v/>
      </c>
    </row>
    <row r="191" ht="14.25" customHeight="1">
      <c r="A191" s="171" t="str">
        <f>'3.6'!A43</f>
        <v/>
      </c>
      <c r="B191" s="74" t="str">
        <f>'3.6'!B43</f>
        <v/>
      </c>
      <c r="C191" s="74" t="str">
        <f>'3.6'!C43</f>
        <v/>
      </c>
      <c r="D191" s="171" t="str">
        <f>'3.6'!D43</f>
        <v/>
      </c>
      <c r="E191" s="171" t="str">
        <f>'3.6'!E43</f>
        <v/>
      </c>
      <c r="F191" s="173" t="str">
        <f>'3.6'!F43</f>
        <v/>
      </c>
      <c r="G191" s="184">
        <f>'3.6'!G43</f>
        <v>0</v>
      </c>
      <c r="H191" s="120" t="str">
        <f>'3.6'!H43</f>
        <v/>
      </c>
      <c r="I191" s="120" t="str">
        <f>'3.6'!I43</f>
        <v/>
      </c>
    </row>
    <row r="192" ht="14.25" customHeight="1">
      <c r="A192" s="171" t="str">
        <f>'3.6'!A44</f>
        <v/>
      </c>
      <c r="B192" s="74" t="str">
        <f>'3.6'!B44</f>
        <v/>
      </c>
      <c r="C192" s="74" t="str">
        <f>'3.6'!C44</f>
        <v/>
      </c>
      <c r="D192" s="171" t="str">
        <f>'3.6'!D44</f>
        <v/>
      </c>
      <c r="E192" s="171" t="str">
        <f>'3.6'!E44</f>
        <v/>
      </c>
      <c r="F192" s="173" t="str">
        <f>'3.6'!F44</f>
        <v/>
      </c>
      <c r="G192" s="184">
        <f>'3.6'!G44</f>
        <v>0</v>
      </c>
      <c r="H192" s="120" t="str">
        <f>'3.6'!H44</f>
        <v/>
      </c>
      <c r="I192" s="120" t="str">
        <f>'3.6'!I44</f>
        <v/>
      </c>
    </row>
    <row r="193" ht="14.25" customHeight="1">
      <c r="A193" s="171" t="str">
        <f>'3.6'!A45</f>
        <v/>
      </c>
      <c r="B193" s="74" t="str">
        <f>'3.6'!B45</f>
        <v/>
      </c>
      <c r="C193" s="74" t="str">
        <f>'3.6'!C45</f>
        <v/>
      </c>
      <c r="D193" s="171" t="str">
        <f>'3.6'!D45</f>
        <v/>
      </c>
      <c r="E193" s="171" t="str">
        <f>'3.6'!E45</f>
        <v/>
      </c>
      <c r="F193" s="173" t="str">
        <f>'3.6'!F45</f>
        <v/>
      </c>
      <c r="G193" s="184">
        <f>'3.6'!G45</f>
        <v>0</v>
      </c>
      <c r="H193" s="120" t="str">
        <f>'3.6'!H45</f>
        <v/>
      </c>
      <c r="I193" s="120" t="str">
        <f>'3.6'!I45</f>
        <v/>
      </c>
    </row>
    <row r="194" ht="14.25" customHeight="1">
      <c r="A194" s="171" t="str">
        <f>'3.6'!A46</f>
        <v/>
      </c>
      <c r="B194" s="74" t="str">
        <f>'3.6'!B46</f>
        <v/>
      </c>
      <c r="C194" s="74" t="str">
        <f>'3.6'!C46</f>
        <v/>
      </c>
      <c r="D194" s="171" t="str">
        <f>'3.6'!D46</f>
        <v/>
      </c>
      <c r="E194" s="171" t="str">
        <f>'3.6'!E46</f>
        <v/>
      </c>
      <c r="F194" s="173" t="str">
        <f>'3.6'!F46</f>
        <v/>
      </c>
      <c r="G194" s="184">
        <f>'3.6'!G46</f>
        <v>0</v>
      </c>
      <c r="H194" s="120" t="str">
        <f>'3.6'!H46</f>
        <v/>
      </c>
      <c r="I194" s="120" t="str">
        <f>'3.6'!I46</f>
        <v/>
      </c>
    </row>
    <row r="195" ht="14.25" customHeight="1">
      <c r="A195" s="127" t="str">
        <f>'3.6'!A47</f>
        <v/>
      </c>
      <c r="B195" s="127" t="str">
        <f>'3.6'!B47</f>
        <v/>
      </c>
      <c r="C195" s="127" t="str">
        <f>'3.6'!C47</f>
        <v/>
      </c>
      <c r="D195" s="127" t="str">
        <f>'3.6'!D47</f>
        <v/>
      </c>
      <c r="E195" s="127" t="str">
        <f>'3.6'!E47</f>
        <v/>
      </c>
      <c r="F195" s="126" t="str">
        <f>'3.6'!F47</f>
        <v/>
      </c>
      <c r="G195" s="3" t="str">
        <f>'3.6'!G47</f>
        <v/>
      </c>
      <c r="H195" s="120" t="str">
        <f>'3.6'!H47</f>
        <v/>
      </c>
      <c r="I195" s="120" t="str">
        <f>'3.6'!I47</f>
        <v/>
      </c>
    </row>
    <row r="196" ht="14.25" customHeight="1">
      <c r="A196" s="175" t="str">
        <f>'3.6'!A48</f>
        <v>TOTAL</v>
      </c>
      <c r="B196" s="176" t="str">
        <f>'3.6'!B48</f>
        <v/>
      </c>
      <c r="C196" s="176" t="str">
        <f>'3.6'!C48</f>
        <v/>
      </c>
      <c r="D196" s="176" t="str">
        <f>'3.6'!D48</f>
        <v/>
      </c>
      <c r="E196" s="176" t="str">
        <f>'3.6'!E48</f>
        <v/>
      </c>
      <c r="F196" s="176" t="str">
        <f>'3.6'!F48</f>
        <v/>
      </c>
      <c r="G196" s="177" t="str">
        <f>'3.6'!G48</f>
        <v/>
      </c>
      <c r="H196" s="176" t="str">
        <f>'3.6'!H48</f>
        <v/>
      </c>
      <c r="I196" s="178">
        <f>'3.6'!I48</f>
        <v>0</v>
      </c>
    </row>
    <row r="197" ht="14.25" customHeight="1">
      <c r="G197" s="3"/>
    </row>
    <row r="198" ht="14.25" customHeight="1">
      <c r="G198" s="3"/>
    </row>
    <row r="199" ht="14.25" customHeight="1">
      <c r="A199" s="168" t="str">
        <f>'3.6'!A67</f>
        <v>MANO DE OBRA - SUBCONTRATOS</v>
      </c>
      <c r="B199" s="76" t="str">
        <f>'3.6'!B67</f>
        <v/>
      </c>
      <c r="C199" s="76" t="str">
        <f>'3.6'!C67</f>
        <v/>
      </c>
      <c r="D199" s="76" t="str">
        <f>'3.6'!D67</f>
        <v/>
      </c>
      <c r="E199" s="76" t="str">
        <f>'3.6'!E67</f>
        <v/>
      </c>
      <c r="F199" s="76" t="str">
        <f>'3.6'!F67</f>
        <v/>
      </c>
      <c r="G199" s="2" t="str">
        <f>'3.6'!G67</f>
        <v/>
      </c>
      <c r="H199" s="76" t="str">
        <f>'3.6'!H67</f>
        <v/>
      </c>
      <c r="I199" s="76" t="str">
        <f>'3.6'!I67</f>
        <v/>
      </c>
    </row>
    <row r="200" ht="14.25" customHeight="1">
      <c r="A200" s="169" t="str">
        <f>'3.6'!A68</f>
        <v>Código</v>
      </c>
      <c r="B200" s="169" t="str">
        <f>'3.6'!B68</f>
        <v>Descripción</v>
      </c>
      <c r="C200" s="169" t="str">
        <f>'3.6'!C68</f>
        <v>Unidad</v>
      </c>
      <c r="D200" s="169" t="str">
        <f>'3.6'!D68</f>
        <v>Cantidad</v>
      </c>
      <c r="E200" s="169" t="str">
        <f>'3.6'!E68</f>
        <v>Dias</v>
      </c>
      <c r="F200" s="169" t="str">
        <f>'3.6'!F68</f>
        <v>Desperdicio</v>
      </c>
      <c r="G200" s="4" t="str">
        <f>'3.6'!G68</f>
        <v>Cantidad + Desperdicio</v>
      </c>
      <c r="H200" s="169" t="str">
        <f>'3.6'!H68</f>
        <v>Precio Unitario</v>
      </c>
      <c r="I200" s="169" t="str">
        <f>'3.6'!I68</f>
        <v>Subtotal</v>
      </c>
    </row>
    <row r="201" ht="14.25" customHeight="1">
      <c r="A201" s="171" t="str">
        <f>'3.6'!A69</f>
        <v/>
      </c>
      <c r="B201" s="74" t="str">
        <f>'3.6'!B69</f>
        <v/>
      </c>
      <c r="C201" s="74" t="str">
        <f>'3.6'!C69</f>
        <v/>
      </c>
      <c r="D201" s="171" t="str">
        <f>'3.6'!D69</f>
        <v/>
      </c>
      <c r="E201" s="171" t="str">
        <f>'3.6'!E69</f>
        <v/>
      </c>
      <c r="F201" s="173" t="str">
        <f>'3.6'!F69</f>
        <v/>
      </c>
      <c r="G201" s="174">
        <f>'3.6'!G69</f>
        <v>0</v>
      </c>
      <c r="H201" s="120" t="str">
        <f>'3.6'!H69</f>
        <v/>
      </c>
      <c r="I201" s="120" t="str">
        <f>'3.6'!I69</f>
        <v/>
      </c>
    </row>
    <row r="202" ht="14.25" customHeight="1">
      <c r="A202" s="171" t="str">
        <f>'3.6'!A70</f>
        <v/>
      </c>
      <c r="B202" s="74" t="str">
        <f>'3.6'!B70</f>
        <v/>
      </c>
      <c r="C202" s="74" t="str">
        <f>'3.6'!C70</f>
        <v/>
      </c>
      <c r="D202" s="171" t="str">
        <f>'3.6'!D70</f>
        <v/>
      </c>
      <c r="E202" s="171" t="str">
        <f>'3.6'!E70</f>
        <v/>
      </c>
      <c r="F202" s="173" t="str">
        <f>'3.6'!F70</f>
        <v/>
      </c>
      <c r="G202" s="174">
        <f>'3.6'!G70</f>
        <v>0</v>
      </c>
      <c r="H202" s="120" t="str">
        <f>'3.6'!H70</f>
        <v/>
      </c>
      <c r="I202" s="120" t="str">
        <f>'3.6'!I70</f>
        <v/>
      </c>
    </row>
    <row r="203" ht="14.25" customHeight="1">
      <c r="A203" s="171" t="str">
        <f>'3.6'!A71</f>
        <v/>
      </c>
      <c r="B203" s="74" t="str">
        <f>'3.6'!B71</f>
        <v/>
      </c>
      <c r="C203" s="74" t="str">
        <f>'3.6'!C71</f>
        <v/>
      </c>
      <c r="D203" s="171" t="str">
        <f>'3.6'!D71</f>
        <v/>
      </c>
      <c r="E203" s="171" t="str">
        <f>'3.6'!E71</f>
        <v/>
      </c>
      <c r="F203" s="173" t="str">
        <f>'3.6'!F71</f>
        <v/>
      </c>
      <c r="G203" s="174">
        <f>'3.6'!G71</f>
        <v>0</v>
      </c>
      <c r="H203" s="120" t="str">
        <f>'3.6'!H71</f>
        <v/>
      </c>
      <c r="I203" s="120" t="str">
        <f>'3.6'!I71</f>
        <v/>
      </c>
    </row>
    <row r="204" ht="14.25" customHeight="1">
      <c r="A204" s="171" t="str">
        <f>'3.6'!A72</f>
        <v/>
      </c>
      <c r="B204" s="74" t="str">
        <f>'3.6'!B72</f>
        <v/>
      </c>
      <c r="C204" s="74" t="str">
        <f>'3.6'!C72</f>
        <v/>
      </c>
      <c r="D204" s="171" t="str">
        <f>'3.6'!D72</f>
        <v/>
      </c>
      <c r="E204" s="171" t="str">
        <f>'3.6'!E72</f>
        <v/>
      </c>
      <c r="F204" s="173" t="str">
        <f>'3.6'!F72</f>
        <v/>
      </c>
      <c r="G204" s="174">
        <f>'3.6'!G72</f>
        <v>0</v>
      </c>
      <c r="H204" s="120" t="str">
        <f>'3.6'!H72</f>
        <v/>
      </c>
      <c r="I204" s="120" t="str">
        <f>'3.6'!I72</f>
        <v/>
      </c>
    </row>
    <row r="205" ht="14.25" customHeight="1">
      <c r="A205" s="171" t="str">
        <f>'3.6'!A73</f>
        <v/>
      </c>
      <c r="B205" s="74" t="str">
        <f>'3.6'!B73</f>
        <v/>
      </c>
      <c r="C205" s="74" t="str">
        <f>'3.6'!C73</f>
        <v/>
      </c>
      <c r="D205" s="171" t="str">
        <f>'3.6'!D73</f>
        <v/>
      </c>
      <c r="E205" s="171" t="str">
        <f>'3.6'!E73</f>
        <v/>
      </c>
      <c r="F205" s="173" t="str">
        <f>'3.6'!F73</f>
        <v/>
      </c>
      <c r="G205" s="174">
        <f>'3.6'!G73</f>
        <v>0</v>
      </c>
      <c r="H205" s="120" t="str">
        <f>'3.6'!H73</f>
        <v/>
      </c>
      <c r="I205" s="120" t="str">
        <f>'3.6'!I73</f>
        <v/>
      </c>
    </row>
    <row r="206" ht="14.25" customHeight="1">
      <c r="A206" s="171" t="str">
        <f>'3.6'!A74</f>
        <v/>
      </c>
      <c r="B206" s="74" t="str">
        <f>'3.6'!B74</f>
        <v/>
      </c>
      <c r="C206" s="74" t="str">
        <f>'3.6'!C74</f>
        <v/>
      </c>
      <c r="D206" s="171" t="str">
        <f>'3.6'!D74</f>
        <v/>
      </c>
      <c r="E206" s="171" t="str">
        <f>'3.6'!E74</f>
        <v/>
      </c>
      <c r="F206" s="173" t="str">
        <f>'3.6'!F74</f>
        <v/>
      </c>
      <c r="G206" s="174">
        <f>'3.6'!G74</f>
        <v>0</v>
      </c>
      <c r="H206" s="120" t="str">
        <f>'3.6'!H74</f>
        <v/>
      </c>
      <c r="I206" s="120" t="str">
        <f>'3.6'!I74</f>
        <v/>
      </c>
    </row>
    <row r="207" ht="14.25" customHeight="1">
      <c r="A207" s="127" t="str">
        <f>'3.6'!A75</f>
        <v/>
      </c>
      <c r="B207" s="127" t="str">
        <f>'3.6'!B75</f>
        <v/>
      </c>
      <c r="C207" s="127" t="str">
        <f>'3.6'!C75</f>
        <v/>
      </c>
      <c r="D207" s="127" t="str">
        <f>'3.6'!D75</f>
        <v/>
      </c>
      <c r="E207" s="127" t="str">
        <f>'3.6'!E75</f>
        <v/>
      </c>
      <c r="F207" s="126" t="str">
        <f>'3.6'!F75</f>
        <v/>
      </c>
      <c r="G207" s="3" t="str">
        <f>'3.6'!G75</f>
        <v/>
      </c>
      <c r="H207" s="120" t="str">
        <f>'3.6'!H75</f>
        <v/>
      </c>
      <c r="I207" s="120" t="str">
        <f>'3.6'!I75</f>
        <v/>
      </c>
    </row>
    <row r="208" ht="14.25" customHeight="1">
      <c r="A208" s="175" t="str">
        <f>'3.6'!A76</f>
        <v>TOTAL</v>
      </c>
      <c r="B208" s="176" t="str">
        <f>'3.6'!B76</f>
        <v/>
      </c>
      <c r="C208" s="176" t="str">
        <f>'3.6'!C76</f>
        <v/>
      </c>
      <c r="D208" s="176" t="str">
        <f>'3.6'!D76</f>
        <v/>
      </c>
      <c r="E208" s="176" t="str">
        <f>'3.6'!E76</f>
        <v/>
      </c>
      <c r="F208" s="176" t="str">
        <f>'3.6'!F76</f>
        <v/>
      </c>
      <c r="G208" s="177" t="str">
        <f>'3.6'!G76</f>
        <v/>
      </c>
      <c r="H208" s="176" t="str">
        <f>'3.6'!H76</f>
        <v/>
      </c>
      <c r="I208" s="178">
        <f>'3.6'!I76</f>
        <v>0</v>
      </c>
    </row>
    <row r="209" ht="14.25" customHeight="1">
      <c r="G209" s="3"/>
    </row>
    <row r="210" ht="14.25" customHeight="1">
      <c r="G210" s="3"/>
    </row>
    <row r="211" ht="23.25" customHeight="1">
      <c r="A211" s="162">
        <f>'3.7'!A3</f>
        <v>45841</v>
      </c>
      <c r="B211" s="163" t="str">
        <f>'2.1.'!B211</f>
        <v>#REF!</v>
      </c>
      <c r="C211" s="164"/>
      <c r="D211" s="164"/>
      <c r="E211" s="164"/>
      <c r="F211" s="164"/>
      <c r="G211" s="165" t="str">
        <f t="shared" ref="G211:I211" si="32">'2.1.'!G211</f>
        <v>#REF!</v>
      </c>
      <c r="H211" s="166" t="str">
        <f t="shared" si="32"/>
        <v>#REF!</v>
      </c>
      <c r="I211" s="167" t="str">
        <f t="shared" si="32"/>
        <v>#REF!</v>
      </c>
    </row>
    <row r="212" ht="14.25" customHeight="1">
      <c r="G212" s="3"/>
    </row>
    <row r="213" ht="14.25" customHeight="1">
      <c r="A213" s="168" t="str">
        <f>'3.7'!A39</f>
        <v>MANO DE OBRA - EQUIPOS</v>
      </c>
      <c r="B213" s="76" t="str">
        <f>'3.7'!B39</f>
        <v/>
      </c>
      <c r="C213" s="76" t="str">
        <f>'3.7'!C39</f>
        <v/>
      </c>
      <c r="D213" s="76" t="str">
        <f>'3.7'!D39</f>
        <v/>
      </c>
      <c r="E213" s="76" t="str">
        <f>'3.7'!E39</f>
        <v/>
      </c>
      <c r="F213" s="76" t="str">
        <f>'3.7'!F39</f>
        <v/>
      </c>
      <c r="G213" s="2" t="str">
        <f>'3.7'!G39</f>
        <v/>
      </c>
      <c r="H213" s="76" t="str">
        <f>'3.7'!H39</f>
        <v/>
      </c>
      <c r="I213" s="76" t="str">
        <f>'3.7'!I39</f>
        <v/>
      </c>
    </row>
    <row r="214" ht="14.25" customHeight="1">
      <c r="A214" s="169" t="str">
        <f>'3.7'!A40</f>
        <v>Código</v>
      </c>
      <c r="B214" s="169" t="str">
        <f>'3.7'!B40</f>
        <v>Descripción</v>
      </c>
      <c r="C214" s="169" t="str">
        <f>'3.7'!C40</f>
        <v>Unidad</v>
      </c>
      <c r="D214" s="169" t="str">
        <f>'3.7'!D40</f>
        <v>Cantidad</v>
      </c>
      <c r="E214" s="169" t="str">
        <f>'3.7'!E40</f>
        <v>Dias</v>
      </c>
      <c r="F214" s="169" t="str">
        <f>'3.7'!F40</f>
        <v>Desperdicio</v>
      </c>
      <c r="G214" s="4" t="str">
        <f>'3.7'!G40</f>
        <v>Cantidad + Desperdicio</v>
      </c>
      <c r="H214" s="169" t="str">
        <f>'3.7'!H40</f>
        <v>Precio Unitario</v>
      </c>
      <c r="I214" s="169" t="str">
        <f>'3.7'!I40</f>
        <v>Subtotal</v>
      </c>
    </row>
    <row r="215" ht="14.25" customHeight="1">
      <c r="A215" s="171" t="str">
        <f>'3.7'!A41</f>
        <v/>
      </c>
      <c r="B215" s="74" t="str">
        <f>'3.7'!B41</f>
        <v/>
      </c>
      <c r="C215" s="74" t="str">
        <f>'3.7'!C41</f>
        <v/>
      </c>
      <c r="D215" s="171" t="str">
        <f>'3.7'!D41</f>
        <v/>
      </c>
      <c r="E215" s="171" t="str">
        <f>'3.7'!E41</f>
        <v/>
      </c>
      <c r="F215" s="173" t="str">
        <f>'3.7'!F41</f>
        <v/>
      </c>
      <c r="G215" s="184">
        <f>'3.7'!G41</f>
        <v>0</v>
      </c>
      <c r="H215" s="120" t="str">
        <f>'3.7'!H41</f>
        <v/>
      </c>
      <c r="I215" s="120" t="str">
        <f>'3.7'!I41</f>
        <v/>
      </c>
    </row>
    <row r="216" ht="14.25" customHeight="1">
      <c r="A216" s="171" t="str">
        <f>'3.7'!A42</f>
        <v/>
      </c>
      <c r="B216" s="74" t="str">
        <f>'3.7'!B42</f>
        <v/>
      </c>
      <c r="C216" s="74" t="str">
        <f>'3.7'!C42</f>
        <v/>
      </c>
      <c r="D216" s="171" t="str">
        <f>'3.7'!D42</f>
        <v/>
      </c>
      <c r="E216" s="171" t="str">
        <f>'3.7'!E42</f>
        <v/>
      </c>
      <c r="F216" s="173" t="str">
        <f>'3.7'!F42</f>
        <v/>
      </c>
      <c r="G216" s="184">
        <f>'3.7'!G42</f>
        <v>0</v>
      </c>
      <c r="H216" s="120" t="str">
        <f>'3.7'!H42</f>
        <v/>
      </c>
      <c r="I216" s="120" t="str">
        <f>'3.7'!I42</f>
        <v/>
      </c>
    </row>
    <row r="217" ht="14.25" customHeight="1">
      <c r="A217" s="171" t="str">
        <f>'3.7'!A43</f>
        <v/>
      </c>
      <c r="B217" s="74" t="str">
        <f>'3.7'!B43</f>
        <v/>
      </c>
      <c r="C217" s="74" t="str">
        <f>'3.7'!C43</f>
        <v/>
      </c>
      <c r="D217" s="171" t="str">
        <f>'3.7'!D43</f>
        <v/>
      </c>
      <c r="E217" s="171" t="str">
        <f>'3.7'!E43</f>
        <v/>
      </c>
      <c r="F217" s="173" t="str">
        <f>'3.7'!F43</f>
        <v/>
      </c>
      <c r="G217" s="184">
        <f>'3.7'!G43</f>
        <v>0</v>
      </c>
      <c r="H217" s="120" t="str">
        <f>'3.7'!H43</f>
        <v/>
      </c>
      <c r="I217" s="120" t="str">
        <f>'3.7'!I43</f>
        <v/>
      </c>
    </row>
    <row r="218" ht="14.25" customHeight="1">
      <c r="A218" s="171" t="str">
        <f>'3.7'!A44</f>
        <v/>
      </c>
      <c r="B218" s="74" t="str">
        <f>'3.7'!B44</f>
        <v/>
      </c>
      <c r="C218" s="74" t="str">
        <f>'3.7'!C44</f>
        <v/>
      </c>
      <c r="D218" s="171" t="str">
        <f>'3.7'!D44</f>
        <v/>
      </c>
      <c r="E218" s="171" t="str">
        <f>'3.7'!E44</f>
        <v/>
      </c>
      <c r="F218" s="173" t="str">
        <f>'3.7'!F44</f>
        <v/>
      </c>
      <c r="G218" s="184">
        <f>'3.7'!G44</f>
        <v>0</v>
      </c>
      <c r="H218" s="120" t="str">
        <f>'3.7'!H44</f>
        <v/>
      </c>
      <c r="I218" s="120" t="str">
        <f>'3.7'!I44</f>
        <v/>
      </c>
    </row>
    <row r="219" ht="14.25" customHeight="1">
      <c r="A219" s="171" t="str">
        <f>'3.7'!A45</f>
        <v/>
      </c>
      <c r="B219" s="74" t="str">
        <f>'3.7'!B45</f>
        <v/>
      </c>
      <c r="C219" s="74" t="str">
        <f>'3.7'!C45</f>
        <v/>
      </c>
      <c r="D219" s="171" t="str">
        <f>'3.7'!D45</f>
        <v/>
      </c>
      <c r="E219" s="171" t="str">
        <f>'3.7'!E45</f>
        <v/>
      </c>
      <c r="F219" s="173" t="str">
        <f>'3.7'!F45</f>
        <v/>
      </c>
      <c r="G219" s="184">
        <f>'3.7'!G45</f>
        <v>0</v>
      </c>
      <c r="H219" s="120" t="str">
        <f>'3.7'!H45</f>
        <v/>
      </c>
      <c r="I219" s="120" t="str">
        <f>'3.7'!I45</f>
        <v/>
      </c>
    </row>
    <row r="220" ht="14.25" customHeight="1">
      <c r="A220" s="171" t="str">
        <f>'3.7'!A46</f>
        <v/>
      </c>
      <c r="B220" s="74" t="str">
        <f>'3.7'!B46</f>
        <v/>
      </c>
      <c r="C220" s="74" t="str">
        <f>'3.7'!C46</f>
        <v/>
      </c>
      <c r="D220" s="171" t="str">
        <f>'3.7'!D46</f>
        <v/>
      </c>
      <c r="E220" s="171" t="str">
        <f>'3.7'!E46</f>
        <v/>
      </c>
      <c r="F220" s="173" t="str">
        <f>'3.7'!F46</f>
        <v/>
      </c>
      <c r="G220" s="184">
        <f>'3.7'!G46</f>
        <v>0</v>
      </c>
      <c r="H220" s="120" t="str">
        <f>'3.7'!H46</f>
        <v/>
      </c>
      <c r="I220" s="120" t="str">
        <f>'3.7'!I46</f>
        <v/>
      </c>
    </row>
    <row r="221" ht="14.25" customHeight="1">
      <c r="A221" s="127" t="str">
        <f>'3.7'!A47</f>
        <v/>
      </c>
      <c r="B221" s="127" t="str">
        <f>'3.7'!B47</f>
        <v/>
      </c>
      <c r="C221" s="127" t="str">
        <f>'3.7'!C47</f>
        <v/>
      </c>
      <c r="D221" s="127" t="str">
        <f>'3.7'!D47</f>
        <v/>
      </c>
      <c r="E221" s="127" t="str">
        <f>'3.7'!E47</f>
        <v/>
      </c>
      <c r="F221" s="126" t="str">
        <f>'3.7'!F47</f>
        <v/>
      </c>
      <c r="G221" s="3" t="str">
        <f>'3.7'!G47</f>
        <v/>
      </c>
      <c r="H221" s="120" t="str">
        <f>'3.7'!H47</f>
        <v/>
      </c>
      <c r="I221" s="120" t="str">
        <f>'3.7'!I47</f>
        <v/>
      </c>
    </row>
    <row r="222" ht="14.25" customHeight="1">
      <c r="A222" s="175" t="str">
        <f>'3.7'!A48</f>
        <v>TOTAL</v>
      </c>
      <c r="B222" s="176" t="str">
        <f>'3.7'!B48</f>
        <v/>
      </c>
      <c r="C222" s="176" t="str">
        <f>'3.7'!C48</f>
        <v/>
      </c>
      <c r="D222" s="176" t="str">
        <f>'3.7'!D48</f>
        <v/>
      </c>
      <c r="E222" s="176" t="str">
        <f>'3.7'!E48</f>
        <v/>
      </c>
      <c r="F222" s="176" t="str">
        <f>'3.7'!F48</f>
        <v/>
      </c>
      <c r="G222" s="177" t="str">
        <f>'3.7'!G48</f>
        <v/>
      </c>
      <c r="H222" s="176" t="str">
        <f>'3.7'!H48</f>
        <v/>
      </c>
      <c r="I222" s="178">
        <f>'3.7'!I48</f>
        <v>0</v>
      </c>
    </row>
    <row r="223" ht="14.25" customHeight="1">
      <c r="G223" s="3"/>
    </row>
    <row r="224" ht="14.25" customHeight="1">
      <c r="G224" s="3"/>
    </row>
    <row r="225" ht="14.25" customHeight="1">
      <c r="A225" s="168" t="str">
        <f>'3.7'!A67</f>
        <v>MANO DE OBRA - SUBCONTRATOS</v>
      </c>
      <c r="B225" s="76" t="str">
        <f>'3.7'!B67</f>
        <v/>
      </c>
      <c r="C225" s="76" t="str">
        <f>'3.7'!C67</f>
        <v/>
      </c>
      <c r="D225" s="76" t="str">
        <f>'3.7'!D67</f>
        <v/>
      </c>
      <c r="E225" s="76" t="str">
        <f>'3.7'!E67</f>
        <v/>
      </c>
      <c r="F225" s="76" t="str">
        <f>'3.7'!F67</f>
        <v/>
      </c>
      <c r="G225" s="2" t="str">
        <f>'3.7'!G67</f>
        <v/>
      </c>
      <c r="H225" s="76" t="str">
        <f>'3.7'!H67</f>
        <v/>
      </c>
      <c r="I225" s="76" t="str">
        <f>'3.7'!I67</f>
        <v/>
      </c>
    </row>
    <row r="226" ht="14.25" customHeight="1">
      <c r="A226" s="169" t="str">
        <f>'3.7'!A68</f>
        <v>Código</v>
      </c>
      <c r="B226" s="169" t="str">
        <f>'3.7'!B68</f>
        <v>Descripción</v>
      </c>
      <c r="C226" s="169" t="str">
        <f>'3.7'!C68</f>
        <v>Unidad</v>
      </c>
      <c r="D226" s="169" t="str">
        <f>'3.7'!D68</f>
        <v>Cantidad</v>
      </c>
      <c r="E226" s="169" t="str">
        <f>'3.7'!E68</f>
        <v>Dias</v>
      </c>
      <c r="F226" s="169" t="str">
        <f>'3.7'!F68</f>
        <v>Desperdicio</v>
      </c>
      <c r="G226" s="4" t="str">
        <f>'3.7'!G68</f>
        <v>Cantidad + Desperdicio</v>
      </c>
      <c r="H226" s="169" t="str">
        <f>'3.7'!H68</f>
        <v>Precio Unitario</v>
      </c>
      <c r="I226" s="169" t="str">
        <f>'3.7'!I68</f>
        <v>Subtotal</v>
      </c>
    </row>
    <row r="227" ht="14.25" customHeight="1">
      <c r="A227" s="171" t="str">
        <f>'3.7'!A69</f>
        <v/>
      </c>
      <c r="B227" s="74" t="str">
        <f>'3.7'!B69</f>
        <v/>
      </c>
      <c r="C227" s="74" t="str">
        <f>'3.7'!C69</f>
        <v/>
      </c>
      <c r="D227" s="171" t="str">
        <f>'3.7'!D69</f>
        <v/>
      </c>
      <c r="E227" s="171" t="str">
        <f>'3.7'!E69</f>
        <v/>
      </c>
      <c r="F227" s="173" t="str">
        <f>'3.7'!F69</f>
        <v/>
      </c>
      <c r="G227" s="174">
        <f>'3.7'!G69</f>
        <v>0</v>
      </c>
      <c r="H227" s="120" t="str">
        <f>'3.7'!H69</f>
        <v/>
      </c>
      <c r="I227" s="120" t="str">
        <f>'3.7'!I69</f>
        <v/>
      </c>
    </row>
    <row r="228" ht="14.25" customHeight="1">
      <c r="A228" s="171" t="str">
        <f>'3.7'!A70</f>
        <v/>
      </c>
      <c r="B228" s="74" t="str">
        <f>'3.7'!B70</f>
        <v/>
      </c>
      <c r="C228" s="74" t="str">
        <f>'3.7'!C70</f>
        <v/>
      </c>
      <c r="D228" s="171" t="str">
        <f>'3.7'!D70</f>
        <v/>
      </c>
      <c r="E228" s="171" t="str">
        <f>'3.7'!E70</f>
        <v/>
      </c>
      <c r="F228" s="173" t="str">
        <f>'3.7'!F70</f>
        <v/>
      </c>
      <c r="G228" s="174">
        <f>'3.7'!G70</f>
        <v>0</v>
      </c>
      <c r="H228" s="120" t="str">
        <f>'3.7'!H70</f>
        <v/>
      </c>
      <c r="I228" s="120" t="str">
        <f>'3.7'!I70</f>
        <v/>
      </c>
    </row>
    <row r="229" ht="14.25" customHeight="1">
      <c r="A229" s="171" t="str">
        <f>'3.7'!A71</f>
        <v/>
      </c>
      <c r="B229" s="74" t="str">
        <f>'3.7'!B71</f>
        <v/>
      </c>
      <c r="C229" s="74" t="str">
        <f>'3.7'!C71</f>
        <v/>
      </c>
      <c r="D229" s="171" t="str">
        <f>'3.7'!D71</f>
        <v/>
      </c>
      <c r="E229" s="171" t="str">
        <f>'3.7'!E71</f>
        <v/>
      </c>
      <c r="F229" s="173" t="str">
        <f>'3.7'!F71</f>
        <v/>
      </c>
      <c r="G229" s="174">
        <f>'3.7'!G71</f>
        <v>0</v>
      </c>
      <c r="H229" s="120" t="str">
        <f>'3.7'!H71</f>
        <v/>
      </c>
      <c r="I229" s="120" t="str">
        <f>'3.7'!I71</f>
        <v/>
      </c>
    </row>
    <row r="230" ht="14.25" customHeight="1">
      <c r="A230" s="171" t="str">
        <f>'3.7'!A72</f>
        <v/>
      </c>
      <c r="B230" s="74" t="str">
        <f>'3.7'!B72</f>
        <v/>
      </c>
      <c r="C230" s="74" t="str">
        <f>'3.7'!C72</f>
        <v/>
      </c>
      <c r="D230" s="171" t="str">
        <f>'3.7'!D72</f>
        <v/>
      </c>
      <c r="E230" s="171" t="str">
        <f>'3.7'!E72</f>
        <v/>
      </c>
      <c r="F230" s="173" t="str">
        <f>'3.7'!F72</f>
        <v/>
      </c>
      <c r="G230" s="174">
        <f>'3.7'!G72</f>
        <v>0</v>
      </c>
      <c r="H230" s="120" t="str">
        <f>'3.7'!H72</f>
        <v/>
      </c>
      <c r="I230" s="120" t="str">
        <f>'3.7'!I72</f>
        <v/>
      </c>
    </row>
    <row r="231" ht="14.25" customHeight="1">
      <c r="A231" s="171" t="str">
        <f>'3.7'!A73</f>
        <v/>
      </c>
      <c r="B231" s="74" t="str">
        <f>'3.7'!B73</f>
        <v/>
      </c>
      <c r="C231" s="74" t="str">
        <f>'3.7'!C73</f>
        <v/>
      </c>
      <c r="D231" s="171" t="str">
        <f>'3.7'!D73</f>
        <v/>
      </c>
      <c r="E231" s="171" t="str">
        <f>'3.7'!E73</f>
        <v/>
      </c>
      <c r="F231" s="173" t="str">
        <f>'3.7'!F73</f>
        <v/>
      </c>
      <c r="G231" s="174">
        <f>'3.7'!G73</f>
        <v>0</v>
      </c>
      <c r="H231" s="120" t="str">
        <f>'3.7'!H73</f>
        <v/>
      </c>
      <c r="I231" s="120" t="str">
        <f>'3.7'!I73</f>
        <v/>
      </c>
    </row>
    <row r="232" ht="14.25" customHeight="1">
      <c r="A232" s="171" t="str">
        <f>'3.7'!A74</f>
        <v/>
      </c>
      <c r="B232" s="74" t="str">
        <f>'3.7'!B74</f>
        <v/>
      </c>
      <c r="C232" s="74" t="str">
        <f>'3.7'!C74</f>
        <v/>
      </c>
      <c r="D232" s="171" t="str">
        <f>'3.7'!D74</f>
        <v/>
      </c>
      <c r="E232" s="171" t="str">
        <f>'3.7'!E74</f>
        <v/>
      </c>
      <c r="F232" s="173" t="str">
        <f>'3.7'!F74</f>
        <v/>
      </c>
      <c r="G232" s="174">
        <f>'3.7'!G74</f>
        <v>0</v>
      </c>
      <c r="H232" s="120" t="str">
        <f>'3.7'!H74</f>
        <v/>
      </c>
      <c r="I232" s="120" t="str">
        <f>'3.7'!I74</f>
        <v/>
      </c>
    </row>
    <row r="233" ht="14.25" customHeight="1">
      <c r="A233" s="127" t="str">
        <f>'3.7'!A75</f>
        <v/>
      </c>
      <c r="B233" s="127" t="str">
        <f>'3.7'!B75</f>
        <v/>
      </c>
      <c r="C233" s="127" t="str">
        <f>'3.7'!C75</f>
        <v/>
      </c>
      <c r="D233" s="127" t="str">
        <f>'3.7'!D75</f>
        <v/>
      </c>
      <c r="E233" s="127" t="str">
        <f>'3.7'!E75</f>
        <v/>
      </c>
      <c r="F233" s="126" t="str">
        <f>'3.7'!F75</f>
        <v/>
      </c>
      <c r="G233" s="3" t="str">
        <f>'3.7'!G75</f>
        <v/>
      </c>
      <c r="H233" s="120" t="str">
        <f>'3.7'!H75</f>
        <v/>
      </c>
      <c r="I233" s="120" t="str">
        <f>'3.7'!I75</f>
        <v/>
      </c>
    </row>
    <row r="234" ht="14.25" customHeight="1">
      <c r="A234" s="175" t="str">
        <f>'3.7'!A76</f>
        <v>TOTAL</v>
      </c>
      <c r="B234" s="176" t="str">
        <f>'3.7'!B76</f>
        <v/>
      </c>
      <c r="C234" s="176" t="str">
        <f>'3.7'!C76</f>
        <v/>
      </c>
      <c r="D234" s="176" t="str">
        <f>'3.7'!D76</f>
        <v/>
      </c>
      <c r="E234" s="176" t="str">
        <f>'3.7'!E76</f>
        <v/>
      </c>
      <c r="F234" s="176" t="str">
        <f>'3.7'!F76</f>
        <v/>
      </c>
      <c r="G234" s="177" t="str">
        <f>'3.7'!G76</f>
        <v/>
      </c>
      <c r="H234" s="176" t="str">
        <f>'3.7'!H76</f>
        <v/>
      </c>
      <c r="I234" s="178">
        <f>'3.7'!I76</f>
        <v>0</v>
      </c>
    </row>
    <row r="235" ht="15.75" customHeight="1">
      <c r="G235" s="3"/>
    </row>
    <row r="236" ht="15.75" customHeight="1">
      <c r="G236" s="3"/>
    </row>
    <row r="237" ht="23.25" customHeight="1">
      <c r="A237" s="162">
        <f>'4.2'!A3</f>
        <v>45692</v>
      </c>
      <c r="B237" s="163" t="str">
        <f>'2.1.'!B237</f>
        <v>#REF!</v>
      </c>
      <c r="C237" s="164"/>
      <c r="D237" s="164"/>
      <c r="E237" s="164"/>
      <c r="F237" s="164"/>
      <c r="G237" s="165" t="str">
        <f t="shared" ref="G237:I237" si="33">'2.1.'!G237</f>
        <v>#REF!</v>
      </c>
      <c r="H237" s="166" t="str">
        <f t="shared" si="33"/>
        <v>#REF!</v>
      </c>
      <c r="I237" s="167" t="str">
        <f t="shared" si="33"/>
        <v>#REF!</v>
      </c>
    </row>
    <row r="238" ht="14.25" customHeight="1">
      <c r="G238" s="3"/>
    </row>
    <row r="239" ht="14.25" customHeight="1">
      <c r="A239" s="168" t="str">
        <f>'4.2'!A39</f>
        <v>MANO DE OBRA - EQUIPOS</v>
      </c>
      <c r="B239" s="76" t="str">
        <f>'4.2'!B39</f>
        <v/>
      </c>
      <c r="C239" s="76" t="str">
        <f>'4.2'!C39</f>
        <v/>
      </c>
      <c r="D239" s="76" t="str">
        <f>'4.2'!D39</f>
        <v/>
      </c>
      <c r="E239" s="76" t="str">
        <f>'4.2'!E39</f>
        <v/>
      </c>
      <c r="F239" s="76" t="str">
        <f>'4.2'!F39</f>
        <v/>
      </c>
      <c r="G239" s="2" t="str">
        <f>'4.2'!G39</f>
        <v/>
      </c>
      <c r="H239" s="76" t="str">
        <f>'4.2'!H39</f>
        <v/>
      </c>
      <c r="I239" s="76" t="str">
        <f>'4.2'!I39</f>
        <v/>
      </c>
    </row>
    <row r="240" ht="14.25" customHeight="1">
      <c r="A240" s="169" t="str">
        <f>'4.2'!A40</f>
        <v>Código</v>
      </c>
      <c r="B240" s="169" t="str">
        <f>'4.2'!B40</f>
        <v>Descripción</v>
      </c>
      <c r="C240" s="169" t="str">
        <f>'4.2'!C40</f>
        <v>Unidad</v>
      </c>
      <c r="D240" s="169" t="str">
        <f>'4.2'!D40</f>
        <v>Cantidad</v>
      </c>
      <c r="E240" s="169" t="str">
        <f>'4.2'!E40</f>
        <v>Dias</v>
      </c>
      <c r="F240" s="169" t="str">
        <f>'4.2'!F40</f>
        <v>Desperdicio</v>
      </c>
      <c r="G240" s="4" t="str">
        <f>'4.2'!G40</f>
        <v>Cantidad + Desperdicio</v>
      </c>
      <c r="H240" s="169" t="str">
        <f>'4.2'!H40</f>
        <v>Precio Unitario</v>
      </c>
      <c r="I240" s="169" t="str">
        <f>'4.2'!I40</f>
        <v>Subtotal</v>
      </c>
    </row>
    <row r="241" ht="14.25" customHeight="1">
      <c r="A241" s="171" t="str">
        <f>'4.2'!A41</f>
        <v/>
      </c>
      <c r="B241" s="74" t="str">
        <f>'4.2'!B41</f>
        <v/>
      </c>
      <c r="C241" s="74" t="str">
        <f>'4.2'!C41</f>
        <v/>
      </c>
      <c r="D241" s="171" t="str">
        <f>'4.2'!D41</f>
        <v/>
      </c>
      <c r="E241" s="171" t="str">
        <f>'4.2'!E41</f>
        <v/>
      </c>
      <c r="F241" s="173" t="str">
        <f>'4.2'!F41</f>
        <v/>
      </c>
      <c r="G241" s="184">
        <f>'4.2'!G41</f>
        <v>0</v>
      </c>
      <c r="H241" s="120" t="str">
        <f>'4.2'!H41</f>
        <v/>
      </c>
      <c r="I241" s="120" t="str">
        <f>'4.2'!I41</f>
        <v/>
      </c>
    </row>
    <row r="242" ht="14.25" customHeight="1">
      <c r="A242" s="171" t="str">
        <f>'4.2'!A42</f>
        <v/>
      </c>
      <c r="B242" s="74" t="str">
        <f>'4.2'!B42</f>
        <v/>
      </c>
      <c r="C242" s="74" t="str">
        <f>'4.2'!C42</f>
        <v/>
      </c>
      <c r="D242" s="171" t="str">
        <f>'4.2'!D42</f>
        <v/>
      </c>
      <c r="E242" s="171" t="str">
        <f>'4.2'!E42</f>
        <v/>
      </c>
      <c r="F242" s="173" t="str">
        <f>'4.2'!F42</f>
        <v/>
      </c>
      <c r="G242" s="184">
        <f>'4.2'!G42</f>
        <v>0</v>
      </c>
      <c r="H242" s="120" t="str">
        <f>'4.2'!H42</f>
        <v/>
      </c>
      <c r="I242" s="120" t="str">
        <f>'4.2'!I42</f>
        <v/>
      </c>
    </row>
    <row r="243" ht="14.25" customHeight="1">
      <c r="A243" s="171" t="str">
        <f>'4.2'!A43</f>
        <v/>
      </c>
      <c r="B243" s="74" t="str">
        <f>'4.2'!B43</f>
        <v/>
      </c>
      <c r="C243" s="74" t="str">
        <f>'4.2'!C43</f>
        <v/>
      </c>
      <c r="D243" s="171" t="str">
        <f>'4.2'!D43</f>
        <v/>
      </c>
      <c r="E243" s="171" t="str">
        <f>'4.2'!E43</f>
        <v/>
      </c>
      <c r="F243" s="173" t="str">
        <f>'4.2'!F43</f>
        <v/>
      </c>
      <c r="G243" s="184">
        <f>'4.2'!G43</f>
        <v>0</v>
      </c>
      <c r="H243" s="120" t="str">
        <f>'4.2'!H43</f>
        <v/>
      </c>
      <c r="I243" s="120" t="str">
        <f>'4.2'!I43</f>
        <v/>
      </c>
    </row>
    <row r="244" ht="14.25" customHeight="1">
      <c r="A244" s="171" t="str">
        <f>'4.2'!A44</f>
        <v/>
      </c>
      <c r="B244" s="74" t="str">
        <f>'4.2'!B44</f>
        <v/>
      </c>
      <c r="C244" s="74" t="str">
        <f>'4.2'!C44</f>
        <v/>
      </c>
      <c r="D244" s="171" t="str">
        <f>'4.2'!D44</f>
        <v/>
      </c>
      <c r="E244" s="171" t="str">
        <f>'4.2'!E44</f>
        <v/>
      </c>
      <c r="F244" s="173" t="str">
        <f>'4.2'!F44</f>
        <v/>
      </c>
      <c r="G244" s="184">
        <f>'4.2'!G44</f>
        <v>0</v>
      </c>
      <c r="H244" s="120" t="str">
        <f>'4.2'!H44</f>
        <v/>
      </c>
      <c r="I244" s="120" t="str">
        <f>'4.2'!I44</f>
        <v/>
      </c>
    </row>
    <row r="245" ht="14.25" customHeight="1">
      <c r="A245" s="171" t="str">
        <f>'4.2'!A45</f>
        <v/>
      </c>
      <c r="B245" s="74" t="str">
        <f>'4.2'!B45</f>
        <v/>
      </c>
      <c r="C245" s="74" t="str">
        <f>'4.2'!C45</f>
        <v/>
      </c>
      <c r="D245" s="171" t="str">
        <f>'4.2'!D45</f>
        <v/>
      </c>
      <c r="E245" s="171" t="str">
        <f>'4.2'!E45</f>
        <v/>
      </c>
      <c r="F245" s="173" t="str">
        <f>'4.2'!F45</f>
        <v/>
      </c>
      <c r="G245" s="184">
        <f>'4.2'!G45</f>
        <v>0</v>
      </c>
      <c r="H245" s="120" t="str">
        <f>'4.2'!H45</f>
        <v/>
      </c>
      <c r="I245" s="120" t="str">
        <f>'4.2'!I45</f>
        <v/>
      </c>
    </row>
    <row r="246" ht="14.25" customHeight="1">
      <c r="A246" s="171" t="str">
        <f>'4.2'!A46</f>
        <v/>
      </c>
      <c r="B246" s="74" t="str">
        <f>'4.2'!B46</f>
        <v/>
      </c>
      <c r="C246" s="74" t="str">
        <f>'4.2'!C46</f>
        <v/>
      </c>
      <c r="D246" s="171" t="str">
        <f>'4.2'!D46</f>
        <v/>
      </c>
      <c r="E246" s="171" t="str">
        <f>'4.2'!E46</f>
        <v/>
      </c>
      <c r="F246" s="173" t="str">
        <f>'4.2'!F46</f>
        <v/>
      </c>
      <c r="G246" s="184">
        <f>'4.2'!G46</f>
        <v>0</v>
      </c>
      <c r="H246" s="120" t="str">
        <f>'4.2'!H46</f>
        <v/>
      </c>
      <c r="I246" s="120" t="str">
        <f>'4.2'!I46</f>
        <v/>
      </c>
    </row>
    <row r="247" ht="14.25" customHeight="1">
      <c r="A247" s="127" t="str">
        <f>'4.2'!A47</f>
        <v/>
      </c>
      <c r="B247" s="127" t="str">
        <f>'4.2'!B47</f>
        <v/>
      </c>
      <c r="C247" s="127" t="str">
        <f>'4.2'!C47</f>
        <v/>
      </c>
      <c r="D247" s="127" t="str">
        <f>'4.2'!D47</f>
        <v/>
      </c>
      <c r="E247" s="127" t="str">
        <f>'4.2'!E47</f>
        <v/>
      </c>
      <c r="F247" s="126" t="str">
        <f>'4.2'!F47</f>
        <v/>
      </c>
      <c r="G247" s="3" t="str">
        <f>'4.2'!G47</f>
        <v/>
      </c>
      <c r="H247" s="120" t="str">
        <f>'4.2'!H47</f>
        <v/>
      </c>
      <c r="I247" s="120" t="str">
        <f>'4.2'!I47</f>
        <v/>
      </c>
    </row>
    <row r="248" ht="14.25" customHeight="1">
      <c r="A248" s="175" t="str">
        <f>'4.2'!A48</f>
        <v>TOTAL</v>
      </c>
      <c r="B248" s="176" t="str">
        <f>'4.2'!B48</f>
        <v/>
      </c>
      <c r="C248" s="176" t="str">
        <f>'4.2'!C48</f>
        <v/>
      </c>
      <c r="D248" s="176" t="str">
        <f>'4.2'!D48</f>
        <v/>
      </c>
      <c r="E248" s="176" t="str">
        <f>'4.2'!E48</f>
        <v/>
      </c>
      <c r="F248" s="176" t="str">
        <f>'4.2'!F48</f>
        <v/>
      </c>
      <c r="G248" s="177" t="str">
        <f>'4.2'!G48</f>
        <v/>
      </c>
      <c r="H248" s="176" t="str">
        <f>'4.2'!H48</f>
        <v/>
      </c>
      <c r="I248" s="178">
        <f>'4.2'!I48</f>
        <v>0</v>
      </c>
    </row>
    <row r="249" ht="14.25" customHeight="1">
      <c r="G249" s="3"/>
    </row>
    <row r="250" ht="14.25" customHeight="1">
      <c r="G250" s="3"/>
    </row>
    <row r="251" ht="14.25" customHeight="1">
      <c r="A251" s="168" t="str">
        <f>'4.2'!A67</f>
        <v>MANO DE OBRA - SUBCONTRATOS</v>
      </c>
      <c r="B251" s="76" t="str">
        <f>'4.2'!B67</f>
        <v/>
      </c>
      <c r="C251" s="76" t="str">
        <f>'4.2'!C67</f>
        <v/>
      </c>
      <c r="D251" s="76" t="str">
        <f>'4.2'!D67</f>
        <v/>
      </c>
      <c r="E251" s="76" t="str">
        <f>'4.2'!E67</f>
        <v/>
      </c>
      <c r="F251" s="76" t="str">
        <f>'4.2'!F67</f>
        <v/>
      </c>
      <c r="G251" s="2" t="str">
        <f>'4.2'!G67</f>
        <v/>
      </c>
      <c r="H251" s="76" t="str">
        <f>'4.2'!H67</f>
        <v/>
      </c>
      <c r="I251" s="76" t="str">
        <f>'4.2'!I67</f>
        <v/>
      </c>
    </row>
    <row r="252" ht="14.25" customHeight="1">
      <c r="A252" s="169" t="str">
        <f>'4.2'!A68</f>
        <v>Código</v>
      </c>
      <c r="B252" s="169" t="str">
        <f>'4.2'!B68</f>
        <v>Descripción</v>
      </c>
      <c r="C252" s="169" t="str">
        <f>'4.2'!C68</f>
        <v>Unidad</v>
      </c>
      <c r="D252" s="169" t="str">
        <f>'4.2'!D68</f>
        <v>Cantidad</v>
      </c>
      <c r="E252" s="169" t="str">
        <f>'4.2'!E68</f>
        <v>Dias</v>
      </c>
      <c r="F252" s="169" t="str">
        <f>'4.2'!F68</f>
        <v>Desperdicio</v>
      </c>
      <c r="G252" s="4" t="str">
        <f>'4.2'!G68</f>
        <v>Cantidad + Desperdicio</v>
      </c>
      <c r="H252" s="169" t="str">
        <f>'4.2'!H68</f>
        <v>Precio Unitario</v>
      </c>
      <c r="I252" s="169" t="str">
        <f>'4.2'!I68</f>
        <v>Subtotal</v>
      </c>
    </row>
    <row r="253" ht="14.25" customHeight="1">
      <c r="A253" s="171" t="str">
        <f>'4.2'!A69</f>
        <v/>
      </c>
      <c r="B253" s="74" t="str">
        <f>'4.2'!B69</f>
        <v/>
      </c>
      <c r="C253" s="74" t="str">
        <f>'4.2'!C69</f>
        <v/>
      </c>
      <c r="D253" s="171" t="str">
        <f>'4.2'!D69</f>
        <v/>
      </c>
      <c r="E253" s="171" t="str">
        <f>'4.2'!E69</f>
        <v/>
      </c>
      <c r="F253" s="173" t="str">
        <f>'4.2'!F69</f>
        <v/>
      </c>
      <c r="G253" s="174">
        <f>'4.2'!G69</f>
        <v>0</v>
      </c>
      <c r="H253" s="120" t="str">
        <f>'4.2'!H69</f>
        <v/>
      </c>
      <c r="I253" s="120" t="str">
        <f>'4.2'!I69</f>
        <v/>
      </c>
    </row>
    <row r="254" ht="14.25" customHeight="1">
      <c r="A254" s="171" t="str">
        <f>'4.2'!A70</f>
        <v/>
      </c>
      <c r="B254" s="74" t="str">
        <f>'4.2'!B70</f>
        <v/>
      </c>
      <c r="C254" s="74" t="str">
        <f>'4.2'!C70</f>
        <v/>
      </c>
      <c r="D254" s="171" t="str">
        <f>'4.2'!D70</f>
        <v/>
      </c>
      <c r="E254" s="171" t="str">
        <f>'4.2'!E70</f>
        <v/>
      </c>
      <c r="F254" s="173" t="str">
        <f>'4.2'!F70</f>
        <v/>
      </c>
      <c r="G254" s="174">
        <f>'4.2'!G70</f>
        <v>0</v>
      </c>
      <c r="H254" s="120" t="str">
        <f>'4.2'!H70</f>
        <v/>
      </c>
      <c r="I254" s="120" t="str">
        <f>'4.2'!I70</f>
        <v/>
      </c>
    </row>
    <row r="255" ht="14.25" customHeight="1">
      <c r="A255" s="171" t="str">
        <f>'4.2'!A71</f>
        <v/>
      </c>
      <c r="B255" s="74" t="str">
        <f>'4.2'!B71</f>
        <v/>
      </c>
      <c r="C255" s="74" t="str">
        <f>'4.2'!C71</f>
        <v/>
      </c>
      <c r="D255" s="171" t="str">
        <f>'4.2'!D71</f>
        <v/>
      </c>
      <c r="E255" s="171" t="str">
        <f>'4.2'!E71</f>
        <v/>
      </c>
      <c r="F255" s="173" t="str">
        <f>'4.2'!F71</f>
        <v/>
      </c>
      <c r="G255" s="174">
        <f>'4.2'!G71</f>
        <v>0</v>
      </c>
      <c r="H255" s="120" t="str">
        <f>'4.2'!H71</f>
        <v/>
      </c>
      <c r="I255" s="120" t="str">
        <f>'4.2'!I71</f>
        <v/>
      </c>
    </row>
    <row r="256" ht="14.25" customHeight="1">
      <c r="A256" s="171" t="str">
        <f>'4.2'!A72</f>
        <v/>
      </c>
      <c r="B256" s="74" t="str">
        <f>'4.2'!B72</f>
        <v/>
      </c>
      <c r="C256" s="74" t="str">
        <f>'4.2'!C72</f>
        <v/>
      </c>
      <c r="D256" s="171" t="str">
        <f>'4.2'!D72</f>
        <v/>
      </c>
      <c r="E256" s="171" t="str">
        <f>'4.2'!E72</f>
        <v/>
      </c>
      <c r="F256" s="173" t="str">
        <f>'4.2'!F72</f>
        <v/>
      </c>
      <c r="G256" s="174">
        <f>'4.2'!G72</f>
        <v>0</v>
      </c>
      <c r="H256" s="120" t="str">
        <f>'4.2'!H72</f>
        <v/>
      </c>
      <c r="I256" s="120" t="str">
        <f>'4.2'!I72</f>
        <v/>
      </c>
    </row>
    <row r="257" ht="14.25" customHeight="1">
      <c r="A257" s="171" t="str">
        <f>'4.2'!A73</f>
        <v/>
      </c>
      <c r="B257" s="74" t="str">
        <f>'4.2'!B73</f>
        <v/>
      </c>
      <c r="C257" s="74" t="str">
        <f>'4.2'!C73</f>
        <v/>
      </c>
      <c r="D257" s="171" t="str">
        <f>'4.2'!D73</f>
        <v/>
      </c>
      <c r="E257" s="171" t="str">
        <f>'4.2'!E73</f>
        <v/>
      </c>
      <c r="F257" s="173" t="str">
        <f>'4.2'!F73</f>
        <v/>
      </c>
      <c r="G257" s="174">
        <f>'4.2'!G73</f>
        <v>0</v>
      </c>
      <c r="H257" s="120" t="str">
        <f>'4.2'!H73</f>
        <v/>
      </c>
      <c r="I257" s="120" t="str">
        <f>'4.2'!I73</f>
        <v/>
      </c>
    </row>
    <row r="258" ht="14.25" customHeight="1">
      <c r="A258" s="171" t="str">
        <f>'4.2'!A74</f>
        <v/>
      </c>
      <c r="B258" s="74" t="str">
        <f>'4.2'!B74</f>
        <v/>
      </c>
      <c r="C258" s="74" t="str">
        <f>'4.2'!C74</f>
        <v/>
      </c>
      <c r="D258" s="171" t="str">
        <f>'4.2'!D74</f>
        <v/>
      </c>
      <c r="E258" s="171" t="str">
        <f>'4.2'!E74</f>
        <v/>
      </c>
      <c r="F258" s="173" t="str">
        <f>'4.2'!F74</f>
        <v/>
      </c>
      <c r="G258" s="174">
        <f>'4.2'!G74</f>
        <v>0</v>
      </c>
      <c r="H258" s="120" t="str">
        <f>'4.2'!H74</f>
        <v/>
      </c>
      <c r="I258" s="120" t="str">
        <f>'4.2'!I74</f>
        <v/>
      </c>
    </row>
    <row r="259" ht="14.25" customHeight="1">
      <c r="A259" s="127" t="str">
        <f>'4.2'!A75</f>
        <v/>
      </c>
      <c r="B259" s="127" t="str">
        <f>'4.2'!B75</f>
        <v/>
      </c>
      <c r="C259" s="127" t="str">
        <f>'4.2'!C75</f>
        <v/>
      </c>
      <c r="D259" s="127" t="str">
        <f>'4.2'!D75</f>
        <v/>
      </c>
      <c r="E259" s="127" t="str">
        <f>'4.2'!E75</f>
        <v/>
      </c>
      <c r="F259" s="126" t="str">
        <f>'4.2'!F75</f>
        <v/>
      </c>
      <c r="G259" s="3" t="str">
        <f>'4.2'!G75</f>
        <v/>
      </c>
      <c r="H259" s="120" t="str">
        <f>'4.2'!H75</f>
        <v/>
      </c>
      <c r="I259" s="120" t="str">
        <f>'4.2'!I75</f>
        <v/>
      </c>
    </row>
    <row r="260" ht="14.25" customHeight="1">
      <c r="A260" s="175" t="str">
        <f>'4.2'!A76</f>
        <v>TOTAL</v>
      </c>
      <c r="B260" s="176" t="str">
        <f>'4.2'!B76</f>
        <v/>
      </c>
      <c r="C260" s="176" t="str">
        <f>'4.2'!C76</f>
        <v/>
      </c>
      <c r="D260" s="176" t="str">
        <f>'4.2'!D76</f>
        <v/>
      </c>
      <c r="E260" s="176" t="str">
        <f>'4.2'!E76</f>
        <v/>
      </c>
      <c r="F260" s="176" t="str">
        <f>'4.2'!F76</f>
        <v/>
      </c>
      <c r="G260" s="177" t="str">
        <f>'4.2'!G76</f>
        <v/>
      </c>
      <c r="H260" s="176" t="str">
        <f>'4.2'!H76</f>
        <v/>
      </c>
      <c r="I260" s="178">
        <f>'4.2'!I76</f>
        <v>0</v>
      </c>
    </row>
    <row r="261" ht="15.75" customHeight="1">
      <c r="G261" s="3"/>
    </row>
    <row r="262" ht="15.75" customHeight="1">
      <c r="G262" s="3"/>
    </row>
    <row r="263" ht="23.25" customHeight="1">
      <c r="A263" s="162">
        <f>'4.1'!A3</f>
        <v>45661</v>
      </c>
      <c r="B263" s="163" t="str">
        <f>'2.1.'!B263</f>
        <v>#REF!</v>
      </c>
      <c r="C263" s="164"/>
      <c r="D263" s="164"/>
      <c r="E263" s="164"/>
      <c r="F263" s="164"/>
      <c r="G263" s="165" t="str">
        <f t="shared" ref="G263:I263" si="34">'2.1.'!G263</f>
        <v>#REF!</v>
      </c>
      <c r="H263" s="166" t="str">
        <f t="shared" si="34"/>
        <v>#REF!</v>
      </c>
      <c r="I263" s="167" t="str">
        <f t="shared" si="34"/>
        <v>#REF!</v>
      </c>
    </row>
    <row r="264" ht="14.25" customHeight="1">
      <c r="G264" s="3"/>
    </row>
    <row r="265" ht="14.25" customHeight="1">
      <c r="A265" s="168" t="str">
        <f>'4.1'!A39</f>
        <v>MANO DE OBRA - EQUIPOS</v>
      </c>
      <c r="B265" s="76" t="str">
        <f>'4.1'!B39</f>
        <v/>
      </c>
      <c r="C265" s="76" t="str">
        <f>'4.1'!C39</f>
        <v/>
      </c>
      <c r="D265" s="76" t="str">
        <f>'4.1'!D39</f>
        <v/>
      </c>
      <c r="E265" s="76" t="str">
        <f>'4.1'!E39</f>
        <v/>
      </c>
      <c r="F265" s="76" t="str">
        <f>'4.1'!F39</f>
        <v/>
      </c>
      <c r="G265" s="2" t="str">
        <f>'4.1'!G39</f>
        <v/>
      </c>
      <c r="H265" s="76" t="str">
        <f>'4.1'!H39</f>
        <v/>
      </c>
      <c r="I265" s="76" t="str">
        <f>'4.1'!I39</f>
        <v/>
      </c>
    </row>
    <row r="266" ht="14.25" customHeight="1">
      <c r="A266" s="169" t="str">
        <f>'4.1'!A40</f>
        <v>Código</v>
      </c>
      <c r="B266" s="169" t="str">
        <f>'4.1'!B40</f>
        <v>Descripción</v>
      </c>
      <c r="C266" s="169" t="str">
        <f>'4.1'!C40</f>
        <v>Unidad</v>
      </c>
      <c r="D266" s="169" t="str">
        <f>'4.1'!D40</f>
        <v>Cantidad</v>
      </c>
      <c r="E266" s="169" t="str">
        <f>'4.1'!E40</f>
        <v>Dias</v>
      </c>
      <c r="F266" s="169" t="str">
        <f>'4.1'!F40</f>
        <v>Desperdicio</v>
      </c>
      <c r="G266" s="4" t="str">
        <f>'4.1'!G40</f>
        <v>Cantidad + Desperdicio</v>
      </c>
      <c r="H266" s="169" t="str">
        <f>'4.1'!H40</f>
        <v>Precio Unitario</v>
      </c>
      <c r="I266" s="169" t="str">
        <f>'4.1'!I40</f>
        <v>Subtotal</v>
      </c>
    </row>
    <row r="267" ht="14.25" customHeight="1">
      <c r="A267" s="171" t="str">
        <f>'4.1'!A41</f>
        <v>mo-g</v>
      </c>
      <c r="B267" s="74" t="str">
        <f>'4.1'!B41</f>
        <v>Gervacio</v>
      </c>
      <c r="C267" s="74" t="str">
        <f>'4.1'!C41</f>
        <v>Gervacio</v>
      </c>
      <c r="D267" s="171" t="str">
        <f>'4.1'!D41</f>
        <v/>
      </c>
      <c r="E267" s="171">
        <f>'4.1'!E41</f>
        <v>10</v>
      </c>
      <c r="F267" s="173" t="str">
        <f>'4.1'!F41</f>
        <v/>
      </c>
      <c r="G267" s="184">
        <f>'4.1'!G41</f>
        <v>0</v>
      </c>
      <c r="H267" s="120">
        <f>'4.1'!H41</f>
        <v>80000</v>
      </c>
      <c r="I267" s="120">
        <f>'4.1'!I41</f>
        <v>0</v>
      </c>
    </row>
    <row r="268" ht="14.25" customHeight="1">
      <c r="A268" s="171" t="str">
        <f>'4.1'!A42</f>
        <v>MO-AY</v>
      </c>
      <c r="B268" s="74" t="str">
        <f>'4.1'!B42</f>
        <v>Ayudante</v>
      </c>
      <c r="C268" s="74" t="str">
        <f>'4.1'!C42</f>
        <v>Ayudante</v>
      </c>
      <c r="D268" s="171" t="str">
        <f>'4.1'!D42</f>
        <v/>
      </c>
      <c r="E268" s="171">
        <f>'4.1'!E42</f>
        <v>10</v>
      </c>
      <c r="F268" s="173" t="str">
        <f>'4.1'!F42</f>
        <v/>
      </c>
      <c r="G268" s="184">
        <f>'4.1'!G42</f>
        <v>0</v>
      </c>
      <c r="H268" s="120">
        <f>'4.1'!H42</f>
        <v>30000</v>
      </c>
      <c r="I268" s="120">
        <f>'4.1'!I42</f>
        <v>0</v>
      </c>
    </row>
    <row r="269" ht="14.25" customHeight="1">
      <c r="A269" s="171" t="str">
        <f>'4.1'!A43</f>
        <v/>
      </c>
      <c r="B269" s="74" t="str">
        <f>'4.1'!B43</f>
        <v/>
      </c>
      <c r="C269" s="74" t="str">
        <f>'4.1'!C43</f>
        <v/>
      </c>
      <c r="D269" s="171" t="str">
        <f>'4.1'!D43</f>
        <v/>
      </c>
      <c r="E269" s="171" t="str">
        <f>'4.1'!E43</f>
        <v/>
      </c>
      <c r="F269" s="173" t="str">
        <f>'4.1'!F43</f>
        <v/>
      </c>
      <c r="G269" s="184">
        <f>'4.1'!G43</f>
        <v>0</v>
      </c>
      <c r="H269" s="120" t="str">
        <f>'4.1'!H43</f>
        <v/>
      </c>
      <c r="I269" s="120" t="str">
        <f>'4.1'!I43</f>
        <v/>
      </c>
    </row>
    <row r="270" ht="14.25" customHeight="1">
      <c r="A270" s="171" t="str">
        <f>'4.1'!A44</f>
        <v/>
      </c>
      <c r="B270" s="74" t="str">
        <f>'4.1'!B44</f>
        <v/>
      </c>
      <c r="C270" s="74" t="str">
        <f>'4.1'!C44</f>
        <v/>
      </c>
      <c r="D270" s="171" t="str">
        <f>'4.1'!D44</f>
        <v/>
      </c>
      <c r="E270" s="171" t="str">
        <f>'4.1'!E44</f>
        <v/>
      </c>
      <c r="F270" s="173" t="str">
        <f>'4.1'!F44</f>
        <v/>
      </c>
      <c r="G270" s="184">
        <f>'4.1'!G44</f>
        <v>0</v>
      </c>
      <c r="H270" s="120" t="str">
        <f>'4.1'!H44</f>
        <v/>
      </c>
      <c r="I270" s="120" t="str">
        <f>'4.1'!I44</f>
        <v/>
      </c>
    </row>
    <row r="271" ht="14.25" customHeight="1">
      <c r="A271" s="171" t="str">
        <f>'4.1'!A45</f>
        <v/>
      </c>
      <c r="B271" s="74" t="str">
        <f>'4.1'!B45</f>
        <v/>
      </c>
      <c r="C271" s="74" t="str">
        <f>'4.1'!C45</f>
        <v/>
      </c>
      <c r="D271" s="171" t="str">
        <f>'4.1'!D45</f>
        <v/>
      </c>
      <c r="E271" s="171" t="str">
        <f>'4.1'!E45</f>
        <v/>
      </c>
      <c r="F271" s="173" t="str">
        <f>'4.1'!F45</f>
        <v/>
      </c>
      <c r="G271" s="184">
        <f>'4.1'!G45</f>
        <v>0</v>
      </c>
      <c r="H271" s="120" t="str">
        <f>'4.1'!H45</f>
        <v/>
      </c>
      <c r="I271" s="120" t="str">
        <f>'4.1'!I45</f>
        <v/>
      </c>
    </row>
    <row r="272" ht="14.25" customHeight="1">
      <c r="A272" s="171" t="str">
        <f>'4.1'!A46</f>
        <v/>
      </c>
      <c r="B272" s="74" t="str">
        <f>'4.1'!B46</f>
        <v/>
      </c>
      <c r="C272" s="74" t="str">
        <f>'4.1'!C46</f>
        <v/>
      </c>
      <c r="D272" s="171" t="str">
        <f>'4.1'!D46</f>
        <v/>
      </c>
      <c r="E272" s="171" t="str">
        <f>'4.1'!E46</f>
        <v/>
      </c>
      <c r="F272" s="173" t="str">
        <f>'4.1'!F46</f>
        <v/>
      </c>
      <c r="G272" s="184">
        <f>'4.1'!G46</f>
        <v>0</v>
      </c>
      <c r="H272" s="120" t="str">
        <f>'4.1'!H46</f>
        <v/>
      </c>
      <c r="I272" s="120" t="str">
        <f>'4.1'!I46</f>
        <v/>
      </c>
    </row>
    <row r="273" ht="14.25" customHeight="1">
      <c r="A273" s="127" t="str">
        <f>'4.1'!A47</f>
        <v/>
      </c>
      <c r="B273" s="127" t="str">
        <f>'4.1'!B47</f>
        <v/>
      </c>
      <c r="C273" s="127" t="str">
        <f>'4.1'!C47</f>
        <v/>
      </c>
      <c r="D273" s="127" t="str">
        <f>'4.1'!D47</f>
        <v/>
      </c>
      <c r="E273" s="127" t="str">
        <f>'4.1'!E47</f>
        <v/>
      </c>
      <c r="F273" s="126" t="str">
        <f>'4.1'!F47</f>
        <v/>
      </c>
      <c r="G273" s="3" t="str">
        <f>'4.1'!G47</f>
        <v/>
      </c>
      <c r="H273" s="120" t="str">
        <f>'4.1'!H47</f>
        <v/>
      </c>
      <c r="I273" s="120" t="str">
        <f>'4.1'!I47</f>
        <v/>
      </c>
    </row>
    <row r="274" ht="14.25" customHeight="1">
      <c r="A274" s="175" t="str">
        <f>'4.1'!A48</f>
        <v>TOTAL</v>
      </c>
      <c r="B274" s="176" t="str">
        <f>'4.1'!B48</f>
        <v/>
      </c>
      <c r="C274" s="176" t="str">
        <f>'4.1'!C48</f>
        <v/>
      </c>
      <c r="D274" s="176" t="str">
        <f>'4.1'!D48</f>
        <v/>
      </c>
      <c r="E274" s="176" t="str">
        <f>'4.1'!E48</f>
        <v/>
      </c>
      <c r="F274" s="176" t="str">
        <f>'4.1'!F48</f>
        <v/>
      </c>
      <c r="G274" s="177" t="str">
        <f>'4.1'!G48</f>
        <v/>
      </c>
      <c r="H274" s="176" t="str">
        <f>'4.1'!H48</f>
        <v/>
      </c>
      <c r="I274" s="178">
        <f>'4.1'!I48</f>
        <v>0</v>
      </c>
    </row>
    <row r="275" ht="14.25" customHeight="1">
      <c r="G275" s="3"/>
    </row>
    <row r="276" ht="14.25" customHeight="1">
      <c r="G276" s="3"/>
    </row>
    <row r="277" ht="14.25" customHeight="1">
      <c r="A277" s="168" t="str">
        <f>'4.1'!A67</f>
        <v>MANO DE OBRA - SUBCONTRATOS</v>
      </c>
      <c r="B277" s="76" t="str">
        <f>'4.1'!B67</f>
        <v/>
      </c>
      <c r="C277" s="76" t="str">
        <f>'4.1'!C67</f>
        <v/>
      </c>
      <c r="D277" s="76" t="str">
        <f>'4.1'!D67</f>
        <v/>
      </c>
      <c r="E277" s="76" t="str">
        <f>'4.1'!E67</f>
        <v/>
      </c>
      <c r="F277" s="76" t="str">
        <f>'4.1'!F67</f>
        <v/>
      </c>
      <c r="G277" s="2" t="str">
        <f>'4.1'!G67</f>
        <v/>
      </c>
      <c r="H277" s="76" t="str">
        <f>'4.1'!H67</f>
        <v/>
      </c>
      <c r="I277" s="76" t="str">
        <f>'4.1'!I67</f>
        <v/>
      </c>
    </row>
    <row r="278" ht="14.25" customHeight="1">
      <c r="A278" s="169" t="str">
        <f>'4.1'!A68</f>
        <v>Código</v>
      </c>
      <c r="B278" s="169" t="str">
        <f>'4.1'!B68</f>
        <v>Descripción</v>
      </c>
      <c r="C278" s="169" t="str">
        <f>'4.1'!C68</f>
        <v>Unidad</v>
      </c>
      <c r="D278" s="169" t="str">
        <f>'4.1'!D68</f>
        <v>Cantidad</v>
      </c>
      <c r="E278" s="169" t="str">
        <f>'4.1'!E68</f>
        <v>Dias</v>
      </c>
      <c r="F278" s="169" t="str">
        <f>'4.1'!F68</f>
        <v>Desperdicio</v>
      </c>
      <c r="G278" s="4" t="str">
        <f>'4.1'!G68</f>
        <v>Cantidad + Desperdicio</v>
      </c>
      <c r="H278" s="169" t="str">
        <f>'4.1'!H68</f>
        <v>Precio Unitario</v>
      </c>
      <c r="I278" s="169" t="str">
        <f>'4.1'!I68</f>
        <v>Subtotal</v>
      </c>
    </row>
    <row r="279" ht="14.25" customHeight="1">
      <c r="A279" s="171" t="str">
        <f>'4.1'!A69</f>
        <v/>
      </c>
      <c r="B279" s="74" t="str">
        <f>'4.1'!B69</f>
        <v>NATI P</v>
      </c>
      <c r="C279" s="74" t="str">
        <f>'4.1'!C69</f>
        <v/>
      </c>
      <c r="D279" s="172">
        <f>'4.1'!D69</f>
        <v>2060</v>
      </c>
      <c r="E279" s="171" t="str">
        <f>'4.1'!E69</f>
        <v/>
      </c>
      <c r="F279" s="173">
        <f>'4.1'!F69</f>
        <v>0</v>
      </c>
      <c r="G279" s="174">
        <f>'4.1'!G69</f>
        <v>2060</v>
      </c>
      <c r="H279" s="120">
        <f>'4.1'!H69</f>
        <v>750</v>
      </c>
      <c r="I279" s="120">
        <f>'4.1'!I69</f>
        <v>1545000</v>
      </c>
    </row>
    <row r="280" ht="14.25" customHeight="1">
      <c r="A280" s="171" t="str">
        <f>'4.1'!A70</f>
        <v/>
      </c>
      <c r="B280" s="74" t="str">
        <f>'4.1'!B70</f>
        <v/>
      </c>
      <c r="C280" s="74" t="str">
        <f>'4.1'!C70</f>
        <v/>
      </c>
      <c r="D280" s="171" t="str">
        <f>'4.1'!D70</f>
        <v/>
      </c>
      <c r="E280" s="171" t="str">
        <f>'4.1'!E70</f>
        <v/>
      </c>
      <c r="F280" s="173" t="str">
        <f>'4.1'!F70</f>
        <v/>
      </c>
      <c r="G280" s="174">
        <f>'4.1'!G70</f>
        <v>0</v>
      </c>
      <c r="H280" s="120" t="str">
        <f>'4.1'!H70</f>
        <v/>
      </c>
      <c r="I280" s="120" t="str">
        <f>'4.1'!I70</f>
        <v/>
      </c>
    </row>
    <row r="281" ht="14.25" customHeight="1">
      <c r="A281" s="171" t="str">
        <f>'4.1'!A71</f>
        <v/>
      </c>
      <c r="B281" s="74" t="str">
        <f>'4.1'!B71</f>
        <v/>
      </c>
      <c r="C281" s="74" t="str">
        <f>'4.1'!C71</f>
        <v/>
      </c>
      <c r="D281" s="171" t="str">
        <f>'4.1'!D71</f>
        <v/>
      </c>
      <c r="E281" s="171" t="str">
        <f>'4.1'!E71</f>
        <v/>
      </c>
      <c r="F281" s="173" t="str">
        <f>'4.1'!F71</f>
        <v/>
      </c>
      <c r="G281" s="174">
        <f>'4.1'!G71</f>
        <v>0</v>
      </c>
      <c r="H281" s="120" t="str">
        <f>'4.1'!H71</f>
        <v/>
      </c>
      <c r="I281" s="120" t="str">
        <f>'4.1'!I71</f>
        <v/>
      </c>
    </row>
    <row r="282" ht="14.25" customHeight="1">
      <c r="A282" s="171" t="str">
        <f>'4.1'!A72</f>
        <v/>
      </c>
      <c r="B282" s="74" t="str">
        <f>'4.1'!B72</f>
        <v/>
      </c>
      <c r="C282" s="74" t="str">
        <f>'4.1'!C72</f>
        <v/>
      </c>
      <c r="D282" s="171" t="str">
        <f>'4.1'!D72</f>
        <v/>
      </c>
      <c r="E282" s="171" t="str">
        <f>'4.1'!E72</f>
        <v/>
      </c>
      <c r="F282" s="173" t="str">
        <f>'4.1'!F72</f>
        <v/>
      </c>
      <c r="G282" s="174">
        <f>'4.1'!G72</f>
        <v>0</v>
      </c>
      <c r="H282" s="120" t="str">
        <f>'4.1'!H72</f>
        <v/>
      </c>
      <c r="I282" s="120" t="str">
        <f>'4.1'!I72</f>
        <v/>
      </c>
    </row>
    <row r="283" ht="14.25" customHeight="1">
      <c r="A283" s="171" t="str">
        <f>'4.1'!A73</f>
        <v/>
      </c>
      <c r="B283" s="74" t="str">
        <f>'4.1'!B73</f>
        <v/>
      </c>
      <c r="C283" s="74" t="str">
        <f>'4.1'!C73</f>
        <v/>
      </c>
      <c r="D283" s="171" t="str">
        <f>'4.1'!D73</f>
        <v/>
      </c>
      <c r="E283" s="171" t="str">
        <f>'4.1'!E73</f>
        <v/>
      </c>
      <c r="F283" s="173" t="str">
        <f>'4.1'!F73</f>
        <v/>
      </c>
      <c r="G283" s="174">
        <f>'4.1'!G73</f>
        <v>0</v>
      </c>
      <c r="H283" s="120" t="str">
        <f>'4.1'!H73</f>
        <v/>
      </c>
      <c r="I283" s="120" t="str">
        <f>'4.1'!I73</f>
        <v/>
      </c>
    </row>
    <row r="284" ht="14.25" customHeight="1">
      <c r="A284" s="171" t="str">
        <f>'4.1'!A74</f>
        <v/>
      </c>
      <c r="B284" s="74" t="str">
        <f>'4.1'!B74</f>
        <v/>
      </c>
      <c r="C284" s="74" t="str">
        <f>'4.1'!C74</f>
        <v/>
      </c>
      <c r="D284" s="171" t="str">
        <f>'4.1'!D74</f>
        <v/>
      </c>
      <c r="E284" s="171" t="str">
        <f>'4.1'!E74</f>
        <v/>
      </c>
      <c r="F284" s="173" t="str">
        <f>'4.1'!F74</f>
        <v/>
      </c>
      <c r="G284" s="174">
        <f>'4.1'!G74</f>
        <v>0</v>
      </c>
      <c r="H284" s="120" t="str">
        <f>'4.1'!H74</f>
        <v/>
      </c>
      <c r="I284" s="120" t="str">
        <f>'4.1'!I74</f>
        <v/>
      </c>
    </row>
    <row r="285" ht="14.25" customHeight="1">
      <c r="A285" s="127" t="str">
        <f>'4.1'!A75</f>
        <v/>
      </c>
      <c r="B285" s="127" t="str">
        <f>'4.1'!B75</f>
        <v/>
      </c>
      <c r="C285" s="127" t="str">
        <f>'4.1'!C75</f>
        <v/>
      </c>
      <c r="D285" s="127" t="str">
        <f>'4.1'!D75</f>
        <v/>
      </c>
      <c r="E285" s="127" t="str">
        <f>'4.1'!E75</f>
        <v/>
      </c>
      <c r="F285" s="126" t="str">
        <f>'4.1'!F75</f>
        <v/>
      </c>
      <c r="G285" s="3" t="str">
        <f>'4.1'!G75</f>
        <v/>
      </c>
      <c r="H285" s="120" t="str">
        <f>'4.1'!H75</f>
        <v/>
      </c>
      <c r="I285" s="120" t="str">
        <f>'4.1'!I75</f>
        <v/>
      </c>
    </row>
    <row r="286" ht="14.25" customHeight="1">
      <c r="A286" s="175" t="str">
        <f>'4.1'!A76</f>
        <v>TOTAL</v>
      </c>
      <c r="B286" s="176" t="str">
        <f>'4.1'!B76</f>
        <v/>
      </c>
      <c r="C286" s="176" t="str">
        <f>'4.1'!C76</f>
        <v/>
      </c>
      <c r="D286" s="176" t="str">
        <f>'4.1'!D76</f>
        <v/>
      </c>
      <c r="E286" s="176" t="str">
        <f>'4.1'!E76</f>
        <v/>
      </c>
      <c r="F286" s="176" t="str">
        <f>'4.1'!F76</f>
        <v/>
      </c>
      <c r="G286" s="177" t="str">
        <f>'4.1'!G76</f>
        <v/>
      </c>
      <c r="H286" s="176" t="str">
        <f>'4.1'!H76</f>
        <v/>
      </c>
      <c r="I286" s="178">
        <f>'4.1'!I76</f>
        <v>1545000</v>
      </c>
    </row>
    <row r="287" ht="15.75" customHeight="1">
      <c r="G287" s="3"/>
    </row>
    <row r="288" ht="15.75" customHeight="1">
      <c r="G288" s="3"/>
    </row>
    <row r="289" ht="23.25" customHeight="1">
      <c r="A289" s="162">
        <f>'4.3'!A3</f>
        <v>45720</v>
      </c>
      <c r="B289" s="163" t="str">
        <f>'2.1.'!B289</f>
        <v>#REF!</v>
      </c>
      <c r="C289" s="164"/>
      <c r="D289" s="164"/>
      <c r="E289" s="164"/>
      <c r="F289" s="164"/>
      <c r="G289" s="165" t="str">
        <f t="shared" ref="G289:I289" si="35">'2.1.'!G289</f>
        <v>#REF!</v>
      </c>
      <c r="H289" s="166" t="str">
        <f t="shared" si="35"/>
        <v>#REF!</v>
      </c>
      <c r="I289" s="167" t="str">
        <f t="shared" si="35"/>
        <v>#REF!</v>
      </c>
    </row>
    <row r="290" ht="14.25" customHeight="1">
      <c r="G290" s="3"/>
    </row>
    <row r="291" ht="14.25" customHeight="1">
      <c r="A291" s="168" t="str">
        <f>'4.3'!A39</f>
        <v>MANO DE OBRA - EQUIPOS</v>
      </c>
      <c r="B291" s="76" t="str">
        <f>'4.3'!B39</f>
        <v/>
      </c>
      <c r="C291" s="76" t="str">
        <f>'4.3'!C39</f>
        <v/>
      </c>
      <c r="D291" s="76" t="str">
        <f>'4.3'!D39</f>
        <v/>
      </c>
      <c r="E291" s="76" t="str">
        <f>'4.3'!E39</f>
        <v/>
      </c>
      <c r="F291" s="76" t="str">
        <f>'4.3'!F39</f>
        <v/>
      </c>
      <c r="G291" s="2" t="str">
        <f>'4.3'!G39</f>
        <v/>
      </c>
      <c r="H291" s="76" t="str">
        <f>'4.3'!H39</f>
        <v/>
      </c>
      <c r="I291" s="76" t="str">
        <f>'4.3'!I39</f>
        <v/>
      </c>
    </row>
    <row r="292" ht="14.25" customHeight="1">
      <c r="A292" s="169" t="str">
        <f>'4.3'!A40</f>
        <v>Código</v>
      </c>
      <c r="B292" s="169" t="str">
        <f>'4.3'!B40</f>
        <v>Descripción</v>
      </c>
      <c r="C292" s="169" t="str">
        <f>'4.3'!C40</f>
        <v>Unidad</v>
      </c>
      <c r="D292" s="169" t="str">
        <f>'4.3'!D40</f>
        <v>Cantidad</v>
      </c>
      <c r="E292" s="169" t="str">
        <f>'4.3'!E40</f>
        <v>Dias</v>
      </c>
      <c r="F292" s="169" t="str">
        <f>'4.3'!F40</f>
        <v>Desperdicio</v>
      </c>
      <c r="G292" s="4" t="str">
        <f>'4.3'!G40</f>
        <v>Cantidad + Desperdicio</v>
      </c>
      <c r="H292" s="169" t="str">
        <f>'4.3'!H40</f>
        <v>Precio Unitario</v>
      </c>
      <c r="I292" s="169" t="str">
        <f>'4.3'!I40</f>
        <v>Subtotal</v>
      </c>
    </row>
    <row r="293" ht="14.25" customHeight="1">
      <c r="A293" s="171" t="str">
        <f>'4.3'!A41</f>
        <v/>
      </c>
      <c r="B293" s="74" t="str">
        <f>'4.3'!B41</f>
        <v/>
      </c>
      <c r="C293" s="74" t="str">
        <f>'4.3'!C41</f>
        <v/>
      </c>
      <c r="D293" s="171" t="str">
        <f>'4.3'!D41</f>
        <v/>
      </c>
      <c r="E293" s="171" t="str">
        <f>'4.3'!E41</f>
        <v/>
      </c>
      <c r="F293" s="173" t="str">
        <f>'4.3'!F41</f>
        <v/>
      </c>
      <c r="G293" s="184">
        <f>'4.3'!G41</f>
        <v>0</v>
      </c>
      <c r="H293" s="120" t="str">
        <f>'4.3'!H41</f>
        <v/>
      </c>
      <c r="I293" s="120">
        <f>'4.3'!I41</f>
        <v>0</v>
      </c>
    </row>
    <row r="294" ht="14.25" customHeight="1">
      <c r="A294" s="171" t="str">
        <f>'4.3'!A42</f>
        <v/>
      </c>
      <c r="B294" s="74" t="str">
        <f>'4.3'!B42</f>
        <v/>
      </c>
      <c r="C294" s="74" t="str">
        <f>'4.3'!C42</f>
        <v/>
      </c>
      <c r="D294" s="171" t="str">
        <f>'4.3'!D42</f>
        <v/>
      </c>
      <c r="E294" s="171" t="str">
        <f>'4.3'!E42</f>
        <v/>
      </c>
      <c r="F294" s="173" t="str">
        <f>'4.3'!F42</f>
        <v/>
      </c>
      <c r="G294" s="184">
        <f>'4.3'!G42</f>
        <v>0</v>
      </c>
      <c r="H294" s="120" t="str">
        <f>'4.3'!H42</f>
        <v/>
      </c>
      <c r="I294" s="120">
        <f>'4.3'!I42</f>
        <v>0</v>
      </c>
    </row>
    <row r="295" ht="14.25" customHeight="1">
      <c r="A295" s="171" t="str">
        <f>'4.3'!A43</f>
        <v/>
      </c>
      <c r="B295" s="74" t="str">
        <f>'4.3'!B43</f>
        <v/>
      </c>
      <c r="C295" s="74" t="str">
        <f>'4.3'!C43</f>
        <v/>
      </c>
      <c r="D295" s="171" t="str">
        <f>'4.3'!D43</f>
        <v/>
      </c>
      <c r="E295" s="171" t="str">
        <f>'4.3'!E43</f>
        <v/>
      </c>
      <c r="F295" s="173" t="str">
        <f>'4.3'!F43</f>
        <v/>
      </c>
      <c r="G295" s="184">
        <f>'4.3'!G43</f>
        <v>0</v>
      </c>
      <c r="H295" s="120" t="str">
        <f>'4.3'!H43</f>
        <v/>
      </c>
      <c r="I295" s="120" t="str">
        <f>'4.3'!I43</f>
        <v/>
      </c>
    </row>
    <row r="296" ht="14.25" customHeight="1">
      <c r="A296" s="171" t="str">
        <f>'4.3'!A44</f>
        <v/>
      </c>
      <c r="B296" s="74" t="str">
        <f>'4.3'!B44</f>
        <v/>
      </c>
      <c r="C296" s="74" t="str">
        <f>'4.3'!C44</f>
        <v/>
      </c>
      <c r="D296" s="171" t="str">
        <f>'4.3'!D44</f>
        <v/>
      </c>
      <c r="E296" s="171" t="str">
        <f>'4.3'!E44</f>
        <v/>
      </c>
      <c r="F296" s="173" t="str">
        <f>'4.3'!F44</f>
        <v/>
      </c>
      <c r="G296" s="184">
        <f>'4.3'!G44</f>
        <v>0</v>
      </c>
      <c r="H296" s="120" t="str">
        <f>'4.3'!H44</f>
        <v/>
      </c>
      <c r="I296" s="120" t="str">
        <f>'4.3'!I44</f>
        <v/>
      </c>
    </row>
    <row r="297" ht="14.25" customHeight="1">
      <c r="A297" s="171" t="str">
        <f>'4.3'!A45</f>
        <v/>
      </c>
      <c r="B297" s="74" t="str">
        <f>'4.3'!B45</f>
        <v/>
      </c>
      <c r="C297" s="74" t="str">
        <f>'4.3'!C45</f>
        <v/>
      </c>
      <c r="D297" s="171" t="str">
        <f>'4.3'!D45</f>
        <v/>
      </c>
      <c r="E297" s="171" t="str">
        <f>'4.3'!E45</f>
        <v/>
      </c>
      <c r="F297" s="173" t="str">
        <f>'4.3'!F45</f>
        <v/>
      </c>
      <c r="G297" s="184">
        <f>'4.3'!G45</f>
        <v>0</v>
      </c>
      <c r="H297" s="120" t="str">
        <f>'4.3'!H45</f>
        <v/>
      </c>
      <c r="I297" s="120" t="str">
        <f>'4.3'!I45</f>
        <v/>
      </c>
    </row>
    <row r="298" ht="14.25" customHeight="1">
      <c r="A298" s="171" t="str">
        <f>'4.3'!A46</f>
        <v/>
      </c>
      <c r="B298" s="74" t="str">
        <f>'4.3'!B46</f>
        <v/>
      </c>
      <c r="C298" s="74" t="str">
        <f>'4.3'!C46</f>
        <v/>
      </c>
      <c r="D298" s="171" t="str">
        <f>'4.3'!D46</f>
        <v/>
      </c>
      <c r="E298" s="171" t="str">
        <f>'4.3'!E46</f>
        <v/>
      </c>
      <c r="F298" s="173" t="str">
        <f>'4.3'!F46</f>
        <v/>
      </c>
      <c r="G298" s="184">
        <f>'4.3'!G46</f>
        <v>0</v>
      </c>
      <c r="H298" s="120" t="str">
        <f>'4.3'!H46</f>
        <v/>
      </c>
      <c r="I298" s="120" t="str">
        <f>'4.3'!I46</f>
        <v/>
      </c>
    </row>
    <row r="299" ht="14.25" customHeight="1">
      <c r="A299" s="127" t="str">
        <f>'4.3'!A47</f>
        <v/>
      </c>
      <c r="B299" s="127" t="str">
        <f>'4.3'!B47</f>
        <v/>
      </c>
      <c r="C299" s="127" t="str">
        <f>'4.3'!C47</f>
        <v/>
      </c>
      <c r="D299" s="127" t="str">
        <f>'4.3'!D47</f>
        <v/>
      </c>
      <c r="E299" s="127" t="str">
        <f>'4.3'!E47</f>
        <v/>
      </c>
      <c r="F299" s="126" t="str">
        <f>'4.3'!F47</f>
        <v/>
      </c>
      <c r="G299" s="3" t="str">
        <f>'4.3'!G47</f>
        <v/>
      </c>
      <c r="H299" s="120" t="str">
        <f>'4.3'!H47</f>
        <v/>
      </c>
      <c r="I299" s="120" t="str">
        <f>'4.3'!I47</f>
        <v/>
      </c>
    </row>
    <row r="300" ht="14.25" customHeight="1">
      <c r="A300" s="175" t="str">
        <f>'4.3'!A48</f>
        <v>TOTAL</v>
      </c>
      <c r="B300" s="176" t="str">
        <f>'4.3'!B48</f>
        <v/>
      </c>
      <c r="C300" s="176" t="str">
        <f>'4.3'!C48</f>
        <v/>
      </c>
      <c r="D300" s="176" t="str">
        <f>'4.3'!D48</f>
        <v/>
      </c>
      <c r="E300" s="176" t="str">
        <f>'4.3'!E48</f>
        <v/>
      </c>
      <c r="F300" s="176" t="str">
        <f>'4.3'!F48</f>
        <v/>
      </c>
      <c r="G300" s="177" t="str">
        <f>'4.3'!G48</f>
        <v/>
      </c>
      <c r="H300" s="176" t="str">
        <f>'4.3'!H48</f>
        <v/>
      </c>
      <c r="I300" s="178">
        <f>'4.3'!I48</f>
        <v>0</v>
      </c>
    </row>
    <row r="301" ht="14.25" customHeight="1">
      <c r="G301" s="3"/>
    </row>
    <row r="302" ht="14.25" customHeight="1">
      <c r="G302" s="3"/>
    </row>
    <row r="303" ht="14.25" customHeight="1">
      <c r="A303" s="168" t="str">
        <f>'4.3'!A67</f>
        <v>MANO DE OBRA - SUBCONTRATOS</v>
      </c>
      <c r="B303" s="76" t="str">
        <f>'4.3'!B67</f>
        <v/>
      </c>
      <c r="C303" s="76" t="str">
        <f>'4.3'!C67</f>
        <v/>
      </c>
      <c r="D303" s="76" t="str">
        <f>'4.3'!D67</f>
        <v/>
      </c>
      <c r="E303" s="76" t="str">
        <f>'4.3'!E67</f>
        <v/>
      </c>
      <c r="F303" s="76" t="str">
        <f>'4.3'!F67</f>
        <v/>
      </c>
      <c r="G303" s="2" t="str">
        <f>'4.3'!G67</f>
        <v/>
      </c>
      <c r="H303" s="76" t="str">
        <f>'4.3'!H67</f>
        <v/>
      </c>
      <c r="I303" s="76" t="str">
        <f>'4.3'!I67</f>
        <v/>
      </c>
    </row>
    <row r="304" ht="14.25" customHeight="1">
      <c r="A304" s="169" t="str">
        <f>'4.3'!A68</f>
        <v>Código</v>
      </c>
      <c r="B304" s="169" t="str">
        <f>'4.3'!B68</f>
        <v>Descripción</v>
      </c>
      <c r="C304" s="169" t="str">
        <f>'4.3'!C68</f>
        <v>Unidad</v>
      </c>
      <c r="D304" s="169" t="str">
        <f>'4.3'!D68</f>
        <v>Cantidad</v>
      </c>
      <c r="E304" s="169" t="str">
        <f>'4.3'!E68</f>
        <v>Dias</v>
      </c>
      <c r="F304" s="169" t="str">
        <f>'4.3'!F68</f>
        <v>Desperdicio</v>
      </c>
      <c r="G304" s="4" t="str">
        <f>'4.3'!G68</f>
        <v>Cantidad + Desperdicio</v>
      </c>
      <c r="H304" s="169" t="str">
        <f>'4.3'!H68</f>
        <v>Precio Unitario</v>
      </c>
      <c r="I304" s="169" t="str">
        <f>'4.3'!I68</f>
        <v>Subtotal</v>
      </c>
    </row>
    <row r="305" ht="14.25" customHeight="1">
      <c r="A305" s="171" t="str">
        <f>'4.3'!A69</f>
        <v/>
      </c>
      <c r="B305" s="74" t="str">
        <f>'4.3'!B69</f>
        <v>mo boca cabeza</v>
      </c>
      <c r="C305" s="74" t="str">
        <f>'4.3'!C69</f>
        <v/>
      </c>
      <c r="D305" s="172">
        <f>'4.3'!D69</f>
        <v>80</v>
      </c>
      <c r="E305" s="171" t="str">
        <f>'4.3'!E69</f>
        <v/>
      </c>
      <c r="F305" s="173" t="str">
        <f>'4.3'!F69</f>
        <v/>
      </c>
      <c r="G305" s="174">
        <f>'4.3'!G69</f>
        <v>80</v>
      </c>
      <c r="H305" s="120">
        <f>'4.3'!H69</f>
        <v>65000</v>
      </c>
      <c r="I305" s="120">
        <f>'4.3'!I69</f>
        <v>5200000</v>
      </c>
    </row>
    <row r="306" ht="14.25" customHeight="1">
      <c r="A306" s="171" t="str">
        <f>'4.3'!A70</f>
        <v/>
      </c>
      <c r="B306" s="74" t="str">
        <f>'4.3'!B70</f>
        <v/>
      </c>
      <c r="C306" s="74" t="str">
        <f>'4.3'!C70</f>
        <v/>
      </c>
      <c r="D306" s="171" t="str">
        <f>'4.3'!D70</f>
        <v/>
      </c>
      <c r="E306" s="171" t="str">
        <f>'4.3'!E70</f>
        <v/>
      </c>
      <c r="F306" s="173" t="str">
        <f>'4.3'!F70</f>
        <v/>
      </c>
      <c r="G306" s="174">
        <f>'4.3'!G70</f>
        <v>0</v>
      </c>
      <c r="H306" s="120" t="str">
        <f>'4.3'!H70</f>
        <v/>
      </c>
      <c r="I306" s="120" t="str">
        <f>'4.3'!I70</f>
        <v/>
      </c>
    </row>
    <row r="307" ht="14.25" customHeight="1">
      <c r="A307" s="171" t="str">
        <f>'4.3'!A71</f>
        <v/>
      </c>
      <c r="B307" s="74" t="str">
        <f>'4.3'!B71</f>
        <v/>
      </c>
      <c r="C307" s="74" t="str">
        <f>'4.3'!C71</f>
        <v/>
      </c>
      <c r="D307" s="171" t="str">
        <f>'4.3'!D71</f>
        <v/>
      </c>
      <c r="E307" s="171" t="str">
        <f>'4.3'!E71</f>
        <v/>
      </c>
      <c r="F307" s="173" t="str">
        <f>'4.3'!F71</f>
        <v/>
      </c>
      <c r="G307" s="174">
        <f>'4.3'!G71</f>
        <v>0</v>
      </c>
      <c r="H307" s="120" t="str">
        <f>'4.3'!H71</f>
        <v/>
      </c>
      <c r="I307" s="120" t="str">
        <f>'4.3'!I71</f>
        <v/>
      </c>
    </row>
    <row r="308" ht="14.25" customHeight="1">
      <c r="A308" s="171" t="str">
        <f>'4.3'!A72</f>
        <v/>
      </c>
      <c r="B308" s="74" t="str">
        <f>'4.3'!B72</f>
        <v/>
      </c>
      <c r="C308" s="74" t="str">
        <f>'4.3'!C72</f>
        <v/>
      </c>
      <c r="D308" s="171" t="str">
        <f>'4.3'!D72</f>
        <v/>
      </c>
      <c r="E308" s="171" t="str">
        <f>'4.3'!E72</f>
        <v/>
      </c>
      <c r="F308" s="173" t="str">
        <f>'4.3'!F72</f>
        <v/>
      </c>
      <c r="G308" s="174">
        <f>'4.3'!G72</f>
        <v>0</v>
      </c>
      <c r="H308" s="120" t="str">
        <f>'4.3'!H72</f>
        <v/>
      </c>
      <c r="I308" s="120" t="str">
        <f>'4.3'!I72</f>
        <v/>
      </c>
    </row>
    <row r="309" ht="14.25" customHeight="1">
      <c r="A309" s="171" t="str">
        <f>'4.3'!A73</f>
        <v/>
      </c>
      <c r="B309" s="74" t="str">
        <f>'4.3'!B73</f>
        <v/>
      </c>
      <c r="C309" s="74" t="str">
        <f>'4.3'!C73</f>
        <v/>
      </c>
      <c r="D309" s="171" t="str">
        <f>'4.3'!D73</f>
        <v/>
      </c>
      <c r="E309" s="171" t="str">
        <f>'4.3'!E73</f>
        <v/>
      </c>
      <c r="F309" s="173" t="str">
        <f>'4.3'!F73</f>
        <v/>
      </c>
      <c r="G309" s="174">
        <f>'4.3'!G73</f>
        <v>0</v>
      </c>
      <c r="H309" s="120" t="str">
        <f>'4.3'!H73</f>
        <v/>
      </c>
      <c r="I309" s="120" t="str">
        <f>'4.3'!I73</f>
        <v/>
      </c>
    </row>
    <row r="310" ht="14.25" customHeight="1">
      <c r="A310" s="171" t="str">
        <f>'4.3'!A74</f>
        <v/>
      </c>
      <c r="B310" s="74" t="str">
        <f>'4.3'!B74</f>
        <v/>
      </c>
      <c r="C310" s="74" t="str">
        <f>'4.3'!C74</f>
        <v/>
      </c>
      <c r="D310" s="171" t="str">
        <f>'4.3'!D74</f>
        <v/>
      </c>
      <c r="E310" s="171" t="str">
        <f>'4.3'!E74</f>
        <v/>
      </c>
      <c r="F310" s="173" t="str">
        <f>'4.3'!F74</f>
        <v/>
      </c>
      <c r="G310" s="174">
        <f>'4.3'!G74</f>
        <v>0</v>
      </c>
      <c r="H310" s="120" t="str">
        <f>'4.3'!H74</f>
        <v/>
      </c>
      <c r="I310" s="120" t="str">
        <f>'4.3'!I74</f>
        <v/>
      </c>
    </row>
    <row r="311" ht="14.25" customHeight="1">
      <c r="A311" s="127" t="str">
        <f>'4.3'!A75</f>
        <v/>
      </c>
      <c r="B311" s="127" t="str">
        <f>'4.3'!B75</f>
        <v/>
      </c>
      <c r="C311" s="127" t="str">
        <f>'4.3'!C75</f>
        <v/>
      </c>
      <c r="D311" s="127" t="str">
        <f>'4.3'!D75</f>
        <v/>
      </c>
      <c r="E311" s="127" t="str">
        <f>'4.3'!E75</f>
        <v/>
      </c>
      <c r="F311" s="126" t="str">
        <f>'4.3'!F75</f>
        <v/>
      </c>
      <c r="G311" s="3" t="str">
        <f>'4.3'!G75</f>
        <v/>
      </c>
      <c r="H311" s="120" t="str">
        <f>'4.3'!H75</f>
        <v/>
      </c>
      <c r="I311" s="120" t="str">
        <f>'4.3'!I75</f>
        <v/>
      </c>
    </row>
    <row r="312" ht="14.25" customHeight="1">
      <c r="A312" s="175" t="str">
        <f>'4.3'!A76</f>
        <v>TOTAL</v>
      </c>
      <c r="B312" s="176" t="str">
        <f>'4.3'!B76</f>
        <v/>
      </c>
      <c r="C312" s="176" t="str">
        <f>'4.3'!C76</f>
        <v/>
      </c>
      <c r="D312" s="176" t="str">
        <f>'4.3'!D76</f>
        <v/>
      </c>
      <c r="E312" s="176" t="str">
        <f>'4.3'!E76</f>
        <v/>
      </c>
      <c r="F312" s="176" t="str">
        <f>'4.3'!F76</f>
        <v/>
      </c>
      <c r="G312" s="177" t="str">
        <f>'4.3'!G76</f>
        <v/>
      </c>
      <c r="H312" s="176" t="str">
        <f>'4.3'!H76</f>
        <v/>
      </c>
      <c r="I312" s="178">
        <f>'4.3'!I76</f>
        <v>5200000</v>
      </c>
    </row>
    <row r="313" ht="15.75" customHeight="1">
      <c r="G313" s="3"/>
    </row>
    <row r="314" ht="15.75" customHeight="1">
      <c r="G314" s="3"/>
    </row>
    <row r="315" ht="23.25" customHeight="1">
      <c r="A315" s="162" t="str">
        <f>'2.13.'!A3</f>
        <v>#REF!</v>
      </c>
      <c r="B315" s="163" t="str">
        <f>'2.1.'!B315</f>
        <v>#REF!</v>
      </c>
      <c r="C315" s="164"/>
      <c r="D315" s="164"/>
      <c r="E315" s="164"/>
      <c r="F315" s="164"/>
      <c r="G315" s="165" t="str">
        <f t="shared" ref="G315:I315" si="36">'2.1.'!G315</f>
        <v>#REF!</v>
      </c>
      <c r="H315" s="166" t="str">
        <f t="shared" si="36"/>
        <v>#REF!</v>
      </c>
      <c r="I315" s="167" t="str">
        <f t="shared" si="36"/>
        <v>#REF!</v>
      </c>
    </row>
    <row r="316" ht="14.25" customHeight="1">
      <c r="G316" s="3"/>
    </row>
    <row r="317" ht="14.25" customHeight="1">
      <c r="A317" s="168" t="str">
        <f t="shared" ref="A317:I317" si="37">'2.13.'!A39</f>
        <v>#REF!</v>
      </c>
      <c r="B317" s="76" t="str">
        <f t="shared" si="37"/>
        <v>#REF!</v>
      </c>
      <c r="C317" s="76" t="str">
        <f t="shared" si="37"/>
        <v>#REF!</v>
      </c>
      <c r="D317" s="76" t="str">
        <f t="shared" si="37"/>
        <v>#REF!</v>
      </c>
      <c r="E317" s="76" t="str">
        <f t="shared" si="37"/>
        <v>#REF!</v>
      </c>
      <c r="F317" s="76" t="str">
        <f t="shared" si="37"/>
        <v>#REF!</v>
      </c>
      <c r="G317" s="2" t="str">
        <f t="shared" si="37"/>
        <v>#REF!</v>
      </c>
      <c r="H317" s="76" t="str">
        <f t="shared" si="37"/>
        <v>#REF!</v>
      </c>
      <c r="I317" s="76" t="str">
        <f t="shared" si="37"/>
        <v>#REF!</v>
      </c>
    </row>
    <row r="318" ht="14.25" customHeight="1">
      <c r="A318" s="169" t="str">
        <f t="shared" ref="A318:I318" si="38">'2.13.'!A40</f>
        <v>#REF!</v>
      </c>
      <c r="B318" s="169" t="str">
        <f t="shared" si="38"/>
        <v>#REF!</v>
      </c>
      <c r="C318" s="169" t="str">
        <f t="shared" si="38"/>
        <v>#REF!</v>
      </c>
      <c r="D318" s="169" t="str">
        <f t="shared" si="38"/>
        <v>#REF!</v>
      </c>
      <c r="E318" s="169" t="str">
        <f t="shared" si="38"/>
        <v>#REF!</v>
      </c>
      <c r="F318" s="169" t="str">
        <f t="shared" si="38"/>
        <v>#REF!</v>
      </c>
      <c r="G318" s="4" t="str">
        <f t="shared" si="38"/>
        <v>#REF!</v>
      </c>
      <c r="H318" s="169" t="str">
        <f t="shared" si="38"/>
        <v>#REF!</v>
      </c>
      <c r="I318" s="169" t="str">
        <f t="shared" si="38"/>
        <v>#REF!</v>
      </c>
    </row>
    <row r="319" ht="14.25" customHeight="1">
      <c r="A319" s="171" t="str">
        <f t="shared" ref="A319:I319" si="39">'2.13.'!A41</f>
        <v>#REF!</v>
      </c>
      <c r="B319" s="74" t="str">
        <f t="shared" si="39"/>
        <v>#REF!</v>
      </c>
      <c r="C319" s="74" t="str">
        <f t="shared" si="39"/>
        <v>#REF!</v>
      </c>
      <c r="D319" s="171" t="str">
        <f t="shared" si="39"/>
        <v>#REF!</v>
      </c>
      <c r="E319" s="171" t="str">
        <f t="shared" si="39"/>
        <v>#REF!</v>
      </c>
      <c r="F319" s="173" t="str">
        <f t="shared" si="39"/>
        <v>#REF!</v>
      </c>
      <c r="G319" s="184" t="str">
        <f t="shared" si="39"/>
        <v>#REF!</v>
      </c>
      <c r="H319" s="120" t="str">
        <f t="shared" si="39"/>
        <v>#REF!</v>
      </c>
      <c r="I319" s="120" t="str">
        <f t="shared" si="39"/>
        <v>#REF!</v>
      </c>
    </row>
    <row r="320" ht="14.25" customHeight="1">
      <c r="A320" s="171" t="str">
        <f t="shared" ref="A320:I320" si="40">'2.13.'!A42</f>
        <v>#REF!</v>
      </c>
      <c r="B320" s="74" t="str">
        <f t="shared" si="40"/>
        <v>#REF!</v>
      </c>
      <c r="C320" s="74" t="str">
        <f t="shared" si="40"/>
        <v>#REF!</v>
      </c>
      <c r="D320" s="171" t="str">
        <f t="shared" si="40"/>
        <v>#REF!</v>
      </c>
      <c r="E320" s="171" t="str">
        <f t="shared" si="40"/>
        <v>#REF!</v>
      </c>
      <c r="F320" s="173" t="str">
        <f t="shared" si="40"/>
        <v>#REF!</v>
      </c>
      <c r="G320" s="184" t="str">
        <f t="shared" si="40"/>
        <v>#REF!</v>
      </c>
      <c r="H320" s="120" t="str">
        <f t="shared" si="40"/>
        <v>#REF!</v>
      </c>
      <c r="I320" s="120" t="str">
        <f t="shared" si="40"/>
        <v>#REF!</v>
      </c>
    </row>
    <row r="321" ht="14.25" customHeight="1">
      <c r="A321" s="171" t="str">
        <f t="shared" ref="A321:I321" si="41">'2.13.'!A43</f>
        <v>#REF!</v>
      </c>
      <c r="B321" s="74" t="str">
        <f t="shared" si="41"/>
        <v>#REF!</v>
      </c>
      <c r="C321" s="74" t="str">
        <f t="shared" si="41"/>
        <v>#REF!</v>
      </c>
      <c r="D321" s="171" t="str">
        <f t="shared" si="41"/>
        <v>#REF!</v>
      </c>
      <c r="E321" s="171" t="str">
        <f t="shared" si="41"/>
        <v>#REF!</v>
      </c>
      <c r="F321" s="173" t="str">
        <f t="shared" si="41"/>
        <v>#REF!</v>
      </c>
      <c r="G321" s="184" t="str">
        <f t="shared" si="41"/>
        <v>#REF!</v>
      </c>
      <c r="H321" s="120" t="str">
        <f t="shared" si="41"/>
        <v>#REF!</v>
      </c>
      <c r="I321" s="120" t="str">
        <f t="shared" si="41"/>
        <v>#REF!</v>
      </c>
    </row>
    <row r="322" ht="14.25" customHeight="1">
      <c r="A322" s="171" t="str">
        <f t="shared" ref="A322:I322" si="42">'2.13.'!A44</f>
        <v>#REF!</v>
      </c>
      <c r="B322" s="74" t="str">
        <f t="shared" si="42"/>
        <v>#REF!</v>
      </c>
      <c r="C322" s="74" t="str">
        <f t="shared" si="42"/>
        <v>#REF!</v>
      </c>
      <c r="D322" s="171" t="str">
        <f t="shared" si="42"/>
        <v>#REF!</v>
      </c>
      <c r="E322" s="171" t="str">
        <f t="shared" si="42"/>
        <v>#REF!</v>
      </c>
      <c r="F322" s="173" t="str">
        <f t="shared" si="42"/>
        <v>#REF!</v>
      </c>
      <c r="G322" s="184" t="str">
        <f t="shared" si="42"/>
        <v>#REF!</v>
      </c>
      <c r="H322" s="120" t="str">
        <f t="shared" si="42"/>
        <v>#REF!</v>
      </c>
      <c r="I322" s="120" t="str">
        <f t="shared" si="42"/>
        <v>#REF!</v>
      </c>
    </row>
    <row r="323" ht="14.25" customHeight="1">
      <c r="A323" s="171" t="str">
        <f t="shared" ref="A323:I323" si="43">'2.13.'!A45</f>
        <v>#REF!</v>
      </c>
      <c r="B323" s="74" t="str">
        <f t="shared" si="43"/>
        <v>#REF!</v>
      </c>
      <c r="C323" s="74" t="str">
        <f t="shared" si="43"/>
        <v>#REF!</v>
      </c>
      <c r="D323" s="171" t="str">
        <f t="shared" si="43"/>
        <v>#REF!</v>
      </c>
      <c r="E323" s="171" t="str">
        <f t="shared" si="43"/>
        <v>#REF!</v>
      </c>
      <c r="F323" s="173" t="str">
        <f t="shared" si="43"/>
        <v>#REF!</v>
      </c>
      <c r="G323" s="184" t="str">
        <f t="shared" si="43"/>
        <v>#REF!</v>
      </c>
      <c r="H323" s="120" t="str">
        <f t="shared" si="43"/>
        <v>#REF!</v>
      </c>
      <c r="I323" s="120" t="str">
        <f t="shared" si="43"/>
        <v>#REF!</v>
      </c>
    </row>
    <row r="324" ht="14.25" customHeight="1">
      <c r="A324" s="171" t="str">
        <f t="shared" ref="A324:I324" si="44">'2.13.'!A46</f>
        <v>#REF!</v>
      </c>
      <c r="B324" s="74" t="str">
        <f t="shared" si="44"/>
        <v>#REF!</v>
      </c>
      <c r="C324" s="74" t="str">
        <f t="shared" si="44"/>
        <v>#REF!</v>
      </c>
      <c r="D324" s="171" t="str">
        <f t="shared" si="44"/>
        <v>#REF!</v>
      </c>
      <c r="E324" s="171" t="str">
        <f t="shared" si="44"/>
        <v>#REF!</v>
      </c>
      <c r="F324" s="173" t="str">
        <f t="shared" si="44"/>
        <v>#REF!</v>
      </c>
      <c r="G324" s="184" t="str">
        <f t="shared" si="44"/>
        <v>#REF!</v>
      </c>
      <c r="H324" s="120" t="str">
        <f t="shared" si="44"/>
        <v>#REF!</v>
      </c>
      <c r="I324" s="120" t="str">
        <f t="shared" si="44"/>
        <v>#REF!</v>
      </c>
    </row>
    <row r="325" ht="14.25" customHeight="1">
      <c r="A325" s="127" t="str">
        <f t="shared" ref="A325:I325" si="45">'2.13.'!A47</f>
        <v>#REF!</v>
      </c>
      <c r="B325" s="127" t="str">
        <f t="shared" si="45"/>
        <v>#REF!</v>
      </c>
      <c r="C325" s="127" t="str">
        <f t="shared" si="45"/>
        <v>#REF!</v>
      </c>
      <c r="D325" s="127" t="str">
        <f t="shared" si="45"/>
        <v>#REF!</v>
      </c>
      <c r="E325" s="127" t="str">
        <f t="shared" si="45"/>
        <v>#REF!</v>
      </c>
      <c r="F325" s="126" t="str">
        <f t="shared" si="45"/>
        <v>#REF!</v>
      </c>
      <c r="G325" s="3" t="str">
        <f t="shared" si="45"/>
        <v>#REF!</v>
      </c>
      <c r="H325" s="120" t="str">
        <f t="shared" si="45"/>
        <v>#REF!</v>
      </c>
      <c r="I325" s="120" t="str">
        <f t="shared" si="45"/>
        <v>#REF!</v>
      </c>
    </row>
    <row r="326" ht="14.25" customHeight="1">
      <c r="A326" s="175" t="str">
        <f t="shared" ref="A326:I326" si="46">'2.13.'!A48</f>
        <v>#REF!</v>
      </c>
      <c r="B326" s="176" t="str">
        <f t="shared" si="46"/>
        <v>#REF!</v>
      </c>
      <c r="C326" s="176" t="str">
        <f t="shared" si="46"/>
        <v>#REF!</v>
      </c>
      <c r="D326" s="176" t="str">
        <f t="shared" si="46"/>
        <v>#REF!</v>
      </c>
      <c r="E326" s="176" t="str">
        <f t="shared" si="46"/>
        <v>#REF!</v>
      </c>
      <c r="F326" s="176" t="str">
        <f t="shared" si="46"/>
        <v>#REF!</v>
      </c>
      <c r="G326" s="177" t="str">
        <f t="shared" si="46"/>
        <v>#REF!</v>
      </c>
      <c r="H326" s="176" t="str">
        <f t="shared" si="46"/>
        <v>#REF!</v>
      </c>
      <c r="I326" s="178" t="str">
        <f t="shared" si="46"/>
        <v>#REF!</v>
      </c>
    </row>
    <row r="327" ht="14.25" customHeight="1">
      <c r="G327" s="3"/>
    </row>
    <row r="328" ht="14.25" customHeight="1">
      <c r="G328" s="3"/>
    </row>
    <row r="329" ht="14.25" customHeight="1">
      <c r="A329" s="168" t="str">
        <f t="shared" ref="A329:I329" si="47">'2.13.'!A67</f>
        <v>#REF!</v>
      </c>
      <c r="B329" s="76" t="str">
        <f t="shared" si="47"/>
        <v>#REF!</v>
      </c>
      <c r="C329" s="76" t="str">
        <f t="shared" si="47"/>
        <v>#REF!</v>
      </c>
      <c r="D329" s="76" t="str">
        <f t="shared" si="47"/>
        <v>#REF!</v>
      </c>
      <c r="E329" s="76" t="str">
        <f t="shared" si="47"/>
        <v>#REF!</v>
      </c>
      <c r="F329" s="76" t="str">
        <f t="shared" si="47"/>
        <v>#REF!</v>
      </c>
      <c r="G329" s="2" t="str">
        <f t="shared" si="47"/>
        <v>#REF!</v>
      </c>
      <c r="H329" s="76" t="str">
        <f t="shared" si="47"/>
        <v>#REF!</v>
      </c>
      <c r="I329" s="76" t="str">
        <f t="shared" si="47"/>
        <v>#REF!</v>
      </c>
    </row>
    <row r="330" ht="14.25" customHeight="1">
      <c r="A330" s="169" t="str">
        <f t="shared" ref="A330:I330" si="48">'2.13.'!A68</f>
        <v>#REF!</v>
      </c>
      <c r="B330" s="169" t="str">
        <f t="shared" si="48"/>
        <v>#REF!</v>
      </c>
      <c r="C330" s="169" t="str">
        <f t="shared" si="48"/>
        <v>#REF!</v>
      </c>
      <c r="D330" s="169" t="str">
        <f t="shared" si="48"/>
        <v>#REF!</v>
      </c>
      <c r="E330" s="169" t="str">
        <f t="shared" si="48"/>
        <v>#REF!</v>
      </c>
      <c r="F330" s="169" t="str">
        <f t="shared" si="48"/>
        <v>#REF!</v>
      </c>
      <c r="G330" s="4" t="str">
        <f t="shared" si="48"/>
        <v>#REF!</v>
      </c>
      <c r="H330" s="169" t="str">
        <f t="shared" si="48"/>
        <v>#REF!</v>
      </c>
      <c r="I330" s="169" t="str">
        <f t="shared" si="48"/>
        <v>#REF!</v>
      </c>
    </row>
    <row r="331" ht="14.25" customHeight="1">
      <c r="A331" s="171" t="str">
        <f t="shared" ref="A331:I331" si="49">'2.13.'!A69</f>
        <v>#REF!</v>
      </c>
      <c r="B331" s="74" t="str">
        <f t="shared" si="49"/>
        <v>#REF!</v>
      </c>
      <c r="C331" s="74" t="str">
        <f t="shared" si="49"/>
        <v>#REF!</v>
      </c>
      <c r="D331" s="171" t="str">
        <f t="shared" si="49"/>
        <v>#REF!</v>
      </c>
      <c r="E331" s="171" t="str">
        <f t="shared" si="49"/>
        <v>#REF!</v>
      </c>
      <c r="F331" s="173" t="str">
        <f t="shared" si="49"/>
        <v>#REF!</v>
      </c>
      <c r="G331" s="174" t="str">
        <f t="shared" si="49"/>
        <v>#REF!</v>
      </c>
      <c r="H331" s="120" t="str">
        <f t="shared" si="49"/>
        <v>#REF!</v>
      </c>
      <c r="I331" s="120" t="str">
        <f t="shared" si="49"/>
        <v>#REF!</v>
      </c>
    </row>
    <row r="332" ht="14.25" customHeight="1">
      <c r="A332" s="171" t="str">
        <f t="shared" ref="A332:I332" si="50">'2.13.'!A70</f>
        <v>#REF!</v>
      </c>
      <c r="B332" s="74" t="str">
        <f t="shared" si="50"/>
        <v>#REF!</v>
      </c>
      <c r="C332" s="74" t="str">
        <f t="shared" si="50"/>
        <v>#REF!</v>
      </c>
      <c r="D332" s="171" t="str">
        <f t="shared" si="50"/>
        <v>#REF!</v>
      </c>
      <c r="E332" s="171" t="str">
        <f t="shared" si="50"/>
        <v>#REF!</v>
      </c>
      <c r="F332" s="173" t="str">
        <f t="shared" si="50"/>
        <v>#REF!</v>
      </c>
      <c r="G332" s="174" t="str">
        <f t="shared" si="50"/>
        <v>#REF!</v>
      </c>
      <c r="H332" s="120" t="str">
        <f t="shared" si="50"/>
        <v>#REF!</v>
      </c>
      <c r="I332" s="120" t="str">
        <f t="shared" si="50"/>
        <v>#REF!</v>
      </c>
    </row>
    <row r="333" ht="14.25" customHeight="1">
      <c r="A333" s="171" t="str">
        <f t="shared" ref="A333:I333" si="51">'2.13.'!A71</f>
        <v>#REF!</v>
      </c>
      <c r="B333" s="74" t="str">
        <f t="shared" si="51"/>
        <v>#REF!</v>
      </c>
      <c r="C333" s="74" t="str">
        <f t="shared" si="51"/>
        <v>#REF!</v>
      </c>
      <c r="D333" s="171" t="str">
        <f t="shared" si="51"/>
        <v>#REF!</v>
      </c>
      <c r="E333" s="171" t="str">
        <f t="shared" si="51"/>
        <v>#REF!</v>
      </c>
      <c r="F333" s="173" t="str">
        <f t="shared" si="51"/>
        <v>#REF!</v>
      </c>
      <c r="G333" s="174" t="str">
        <f t="shared" si="51"/>
        <v>#REF!</v>
      </c>
      <c r="H333" s="120" t="str">
        <f t="shared" si="51"/>
        <v>#REF!</v>
      </c>
      <c r="I333" s="120" t="str">
        <f t="shared" si="51"/>
        <v>#REF!</v>
      </c>
    </row>
    <row r="334" ht="14.25" customHeight="1">
      <c r="A334" s="171" t="str">
        <f t="shared" ref="A334:I334" si="52">'2.13.'!A72</f>
        <v>#REF!</v>
      </c>
      <c r="B334" s="74" t="str">
        <f t="shared" si="52"/>
        <v>#REF!</v>
      </c>
      <c r="C334" s="74" t="str">
        <f t="shared" si="52"/>
        <v>#REF!</v>
      </c>
      <c r="D334" s="171" t="str">
        <f t="shared" si="52"/>
        <v>#REF!</v>
      </c>
      <c r="E334" s="171" t="str">
        <f t="shared" si="52"/>
        <v>#REF!</v>
      </c>
      <c r="F334" s="173" t="str">
        <f t="shared" si="52"/>
        <v>#REF!</v>
      </c>
      <c r="G334" s="174" t="str">
        <f t="shared" si="52"/>
        <v>#REF!</v>
      </c>
      <c r="H334" s="120" t="str">
        <f t="shared" si="52"/>
        <v>#REF!</v>
      </c>
      <c r="I334" s="120" t="str">
        <f t="shared" si="52"/>
        <v>#REF!</v>
      </c>
    </row>
    <row r="335" ht="14.25" customHeight="1">
      <c r="A335" s="171" t="str">
        <f t="shared" ref="A335:I335" si="53">'2.13.'!A73</f>
        <v>#REF!</v>
      </c>
      <c r="B335" s="74" t="str">
        <f t="shared" si="53"/>
        <v>#REF!</v>
      </c>
      <c r="C335" s="74" t="str">
        <f t="shared" si="53"/>
        <v>#REF!</v>
      </c>
      <c r="D335" s="171" t="str">
        <f t="shared" si="53"/>
        <v>#REF!</v>
      </c>
      <c r="E335" s="171" t="str">
        <f t="shared" si="53"/>
        <v>#REF!</v>
      </c>
      <c r="F335" s="173" t="str">
        <f t="shared" si="53"/>
        <v>#REF!</v>
      </c>
      <c r="G335" s="174" t="str">
        <f t="shared" si="53"/>
        <v>#REF!</v>
      </c>
      <c r="H335" s="120" t="str">
        <f t="shared" si="53"/>
        <v>#REF!</v>
      </c>
      <c r="I335" s="120" t="str">
        <f t="shared" si="53"/>
        <v>#REF!</v>
      </c>
    </row>
    <row r="336" ht="14.25" customHeight="1">
      <c r="A336" s="171" t="str">
        <f t="shared" ref="A336:I336" si="54">'2.13.'!A74</f>
        <v>#REF!</v>
      </c>
      <c r="B336" s="74" t="str">
        <f t="shared" si="54"/>
        <v>#REF!</v>
      </c>
      <c r="C336" s="74" t="str">
        <f t="shared" si="54"/>
        <v>#REF!</v>
      </c>
      <c r="D336" s="171" t="str">
        <f t="shared" si="54"/>
        <v>#REF!</v>
      </c>
      <c r="E336" s="171" t="str">
        <f t="shared" si="54"/>
        <v>#REF!</v>
      </c>
      <c r="F336" s="173" t="str">
        <f t="shared" si="54"/>
        <v>#REF!</v>
      </c>
      <c r="G336" s="174" t="str">
        <f t="shared" si="54"/>
        <v>#REF!</v>
      </c>
      <c r="H336" s="120" t="str">
        <f t="shared" si="54"/>
        <v>#REF!</v>
      </c>
      <c r="I336" s="120" t="str">
        <f t="shared" si="54"/>
        <v>#REF!</v>
      </c>
    </row>
    <row r="337" ht="14.25" customHeight="1">
      <c r="A337" s="127" t="str">
        <f t="shared" ref="A337:I337" si="55">'2.13.'!A75</f>
        <v>#REF!</v>
      </c>
      <c r="B337" s="127" t="str">
        <f t="shared" si="55"/>
        <v>#REF!</v>
      </c>
      <c r="C337" s="127" t="str">
        <f t="shared" si="55"/>
        <v>#REF!</v>
      </c>
      <c r="D337" s="127" t="str">
        <f t="shared" si="55"/>
        <v>#REF!</v>
      </c>
      <c r="E337" s="127" t="str">
        <f t="shared" si="55"/>
        <v>#REF!</v>
      </c>
      <c r="F337" s="126" t="str">
        <f t="shared" si="55"/>
        <v>#REF!</v>
      </c>
      <c r="G337" s="3" t="str">
        <f t="shared" si="55"/>
        <v>#REF!</v>
      </c>
      <c r="H337" s="120" t="str">
        <f t="shared" si="55"/>
        <v>#REF!</v>
      </c>
      <c r="I337" s="120" t="str">
        <f t="shared" si="55"/>
        <v>#REF!</v>
      </c>
    </row>
    <row r="338" ht="14.25" customHeight="1">
      <c r="A338" s="175" t="str">
        <f t="shared" ref="A338:I338" si="56">'2.13.'!A76</f>
        <v>#REF!</v>
      </c>
      <c r="B338" s="176" t="str">
        <f t="shared" si="56"/>
        <v>#REF!</v>
      </c>
      <c r="C338" s="176" t="str">
        <f t="shared" si="56"/>
        <v>#REF!</v>
      </c>
      <c r="D338" s="176" t="str">
        <f t="shared" si="56"/>
        <v>#REF!</v>
      </c>
      <c r="E338" s="176" t="str">
        <f t="shared" si="56"/>
        <v>#REF!</v>
      </c>
      <c r="F338" s="176" t="str">
        <f t="shared" si="56"/>
        <v>#REF!</v>
      </c>
      <c r="G338" s="177" t="str">
        <f t="shared" si="56"/>
        <v>#REF!</v>
      </c>
      <c r="H338" s="176" t="str">
        <f t="shared" si="56"/>
        <v>#REF!</v>
      </c>
      <c r="I338" s="178" t="str">
        <f t="shared" si="56"/>
        <v>#REF!</v>
      </c>
    </row>
    <row r="339" ht="15.75" customHeight="1">
      <c r="G339" s="3"/>
    </row>
    <row r="340" ht="15.75" customHeight="1">
      <c r="G340" s="3"/>
    </row>
    <row r="341" ht="23.25" customHeight="1">
      <c r="A341" s="162" t="str">
        <f>'2.14.'!A3</f>
        <v>#REF!</v>
      </c>
      <c r="B341" s="163" t="str">
        <f>'2.1.'!B341</f>
        <v>#REF!</v>
      </c>
      <c r="C341" s="164"/>
      <c r="D341" s="164"/>
      <c r="E341" s="164"/>
      <c r="F341" s="164"/>
      <c r="G341" s="165" t="str">
        <f t="shared" ref="G341:I341" si="57">'2.1.'!G341</f>
        <v>#REF!</v>
      </c>
      <c r="H341" s="166" t="str">
        <f t="shared" si="57"/>
        <v>#REF!</v>
      </c>
      <c r="I341" s="167" t="str">
        <f t="shared" si="57"/>
        <v>#REF!</v>
      </c>
    </row>
    <row r="342" ht="14.25" customHeight="1">
      <c r="G342" s="3"/>
    </row>
    <row r="343" ht="14.25" customHeight="1">
      <c r="A343" s="168" t="str">
        <f t="shared" ref="A343:I343" si="58">'2.14.'!A39</f>
        <v>#REF!</v>
      </c>
      <c r="B343" s="76" t="str">
        <f t="shared" si="58"/>
        <v>#REF!</v>
      </c>
      <c r="C343" s="76" t="str">
        <f t="shared" si="58"/>
        <v>#REF!</v>
      </c>
      <c r="D343" s="76" t="str">
        <f t="shared" si="58"/>
        <v>#REF!</v>
      </c>
      <c r="E343" s="76" t="str">
        <f t="shared" si="58"/>
        <v>#REF!</v>
      </c>
      <c r="F343" s="76" t="str">
        <f t="shared" si="58"/>
        <v>#REF!</v>
      </c>
      <c r="G343" s="2" t="str">
        <f t="shared" si="58"/>
        <v>#REF!</v>
      </c>
      <c r="H343" s="76" t="str">
        <f t="shared" si="58"/>
        <v>#REF!</v>
      </c>
      <c r="I343" s="76" t="str">
        <f t="shared" si="58"/>
        <v>#REF!</v>
      </c>
    </row>
    <row r="344" ht="14.25" customHeight="1">
      <c r="A344" s="169" t="str">
        <f t="shared" ref="A344:I344" si="59">'2.14.'!A40</f>
        <v>#REF!</v>
      </c>
      <c r="B344" s="169" t="str">
        <f t="shared" si="59"/>
        <v>#REF!</v>
      </c>
      <c r="C344" s="169" t="str">
        <f t="shared" si="59"/>
        <v>#REF!</v>
      </c>
      <c r="D344" s="169" t="str">
        <f t="shared" si="59"/>
        <v>#REF!</v>
      </c>
      <c r="E344" s="169" t="str">
        <f t="shared" si="59"/>
        <v>#REF!</v>
      </c>
      <c r="F344" s="169" t="str">
        <f t="shared" si="59"/>
        <v>#REF!</v>
      </c>
      <c r="G344" s="4" t="str">
        <f t="shared" si="59"/>
        <v>#REF!</v>
      </c>
      <c r="H344" s="169" t="str">
        <f t="shared" si="59"/>
        <v>#REF!</v>
      </c>
      <c r="I344" s="169" t="str">
        <f t="shared" si="59"/>
        <v>#REF!</v>
      </c>
    </row>
    <row r="345" ht="14.25" customHeight="1">
      <c r="A345" s="171" t="str">
        <f t="shared" ref="A345:I345" si="60">'2.14.'!A41</f>
        <v>#REF!</v>
      </c>
      <c r="B345" s="74" t="str">
        <f t="shared" si="60"/>
        <v>#REF!</v>
      </c>
      <c r="C345" s="74" t="str">
        <f t="shared" si="60"/>
        <v>#REF!</v>
      </c>
      <c r="D345" s="171" t="str">
        <f t="shared" si="60"/>
        <v>#REF!</v>
      </c>
      <c r="E345" s="171" t="str">
        <f t="shared" si="60"/>
        <v>#REF!</v>
      </c>
      <c r="F345" s="173" t="str">
        <f t="shared" si="60"/>
        <v>#REF!</v>
      </c>
      <c r="G345" s="184" t="str">
        <f t="shared" si="60"/>
        <v>#REF!</v>
      </c>
      <c r="H345" s="120" t="str">
        <f t="shared" si="60"/>
        <v>#REF!</v>
      </c>
      <c r="I345" s="120" t="str">
        <f t="shared" si="60"/>
        <v>#REF!</v>
      </c>
    </row>
    <row r="346" ht="14.25" customHeight="1">
      <c r="A346" s="171" t="str">
        <f t="shared" ref="A346:I346" si="61">'2.14.'!A42</f>
        <v>#REF!</v>
      </c>
      <c r="B346" s="74" t="str">
        <f t="shared" si="61"/>
        <v>#REF!</v>
      </c>
      <c r="C346" s="74" t="str">
        <f t="shared" si="61"/>
        <v>#REF!</v>
      </c>
      <c r="D346" s="171" t="str">
        <f t="shared" si="61"/>
        <v>#REF!</v>
      </c>
      <c r="E346" s="171" t="str">
        <f t="shared" si="61"/>
        <v>#REF!</v>
      </c>
      <c r="F346" s="173" t="str">
        <f t="shared" si="61"/>
        <v>#REF!</v>
      </c>
      <c r="G346" s="184" t="str">
        <f t="shared" si="61"/>
        <v>#REF!</v>
      </c>
      <c r="H346" s="120" t="str">
        <f t="shared" si="61"/>
        <v>#REF!</v>
      </c>
      <c r="I346" s="120" t="str">
        <f t="shared" si="61"/>
        <v>#REF!</v>
      </c>
    </row>
    <row r="347" ht="14.25" customHeight="1">
      <c r="A347" s="171" t="str">
        <f t="shared" ref="A347:I347" si="62">'2.14.'!A43</f>
        <v>#REF!</v>
      </c>
      <c r="B347" s="74" t="str">
        <f t="shared" si="62"/>
        <v>#REF!</v>
      </c>
      <c r="C347" s="74" t="str">
        <f t="shared" si="62"/>
        <v>#REF!</v>
      </c>
      <c r="D347" s="171" t="str">
        <f t="shared" si="62"/>
        <v>#REF!</v>
      </c>
      <c r="E347" s="171" t="str">
        <f t="shared" si="62"/>
        <v>#REF!</v>
      </c>
      <c r="F347" s="173" t="str">
        <f t="shared" si="62"/>
        <v>#REF!</v>
      </c>
      <c r="G347" s="184" t="str">
        <f t="shared" si="62"/>
        <v>#REF!</v>
      </c>
      <c r="H347" s="120" t="str">
        <f t="shared" si="62"/>
        <v>#REF!</v>
      </c>
      <c r="I347" s="120" t="str">
        <f t="shared" si="62"/>
        <v>#REF!</v>
      </c>
    </row>
    <row r="348" ht="14.25" customHeight="1">
      <c r="A348" s="171" t="str">
        <f t="shared" ref="A348:I348" si="63">'2.14.'!A44</f>
        <v>#REF!</v>
      </c>
      <c r="B348" s="74" t="str">
        <f t="shared" si="63"/>
        <v>#REF!</v>
      </c>
      <c r="C348" s="74" t="str">
        <f t="shared" si="63"/>
        <v>#REF!</v>
      </c>
      <c r="D348" s="171" t="str">
        <f t="shared" si="63"/>
        <v>#REF!</v>
      </c>
      <c r="E348" s="171" t="str">
        <f t="shared" si="63"/>
        <v>#REF!</v>
      </c>
      <c r="F348" s="173" t="str">
        <f t="shared" si="63"/>
        <v>#REF!</v>
      </c>
      <c r="G348" s="184" t="str">
        <f t="shared" si="63"/>
        <v>#REF!</v>
      </c>
      <c r="H348" s="120" t="str">
        <f t="shared" si="63"/>
        <v>#REF!</v>
      </c>
      <c r="I348" s="120" t="str">
        <f t="shared" si="63"/>
        <v>#REF!</v>
      </c>
    </row>
    <row r="349" ht="14.25" customHeight="1">
      <c r="A349" s="171" t="str">
        <f t="shared" ref="A349:I349" si="64">'2.14.'!A45</f>
        <v>#REF!</v>
      </c>
      <c r="B349" s="74" t="str">
        <f t="shared" si="64"/>
        <v>#REF!</v>
      </c>
      <c r="C349" s="74" t="str">
        <f t="shared" si="64"/>
        <v>#REF!</v>
      </c>
      <c r="D349" s="171" t="str">
        <f t="shared" si="64"/>
        <v>#REF!</v>
      </c>
      <c r="E349" s="171" t="str">
        <f t="shared" si="64"/>
        <v>#REF!</v>
      </c>
      <c r="F349" s="173" t="str">
        <f t="shared" si="64"/>
        <v>#REF!</v>
      </c>
      <c r="G349" s="184" t="str">
        <f t="shared" si="64"/>
        <v>#REF!</v>
      </c>
      <c r="H349" s="120" t="str">
        <f t="shared" si="64"/>
        <v>#REF!</v>
      </c>
      <c r="I349" s="120" t="str">
        <f t="shared" si="64"/>
        <v>#REF!</v>
      </c>
    </row>
    <row r="350" ht="14.25" customHeight="1">
      <c r="A350" s="171" t="str">
        <f t="shared" ref="A350:I350" si="65">'2.14.'!A46</f>
        <v>#REF!</v>
      </c>
      <c r="B350" s="74" t="str">
        <f t="shared" si="65"/>
        <v>#REF!</v>
      </c>
      <c r="C350" s="74" t="str">
        <f t="shared" si="65"/>
        <v>#REF!</v>
      </c>
      <c r="D350" s="171" t="str">
        <f t="shared" si="65"/>
        <v>#REF!</v>
      </c>
      <c r="E350" s="171" t="str">
        <f t="shared" si="65"/>
        <v>#REF!</v>
      </c>
      <c r="F350" s="173" t="str">
        <f t="shared" si="65"/>
        <v>#REF!</v>
      </c>
      <c r="G350" s="184" t="str">
        <f t="shared" si="65"/>
        <v>#REF!</v>
      </c>
      <c r="H350" s="120" t="str">
        <f t="shared" si="65"/>
        <v>#REF!</v>
      </c>
      <c r="I350" s="120" t="str">
        <f t="shared" si="65"/>
        <v>#REF!</v>
      </c>
    </row>
    <row r="351" ht="14.25" customHeight="1">
      <c r="A351" s="127" t="str">
        <f t="shared" ref="A351:I351" si="66">'2.14.'!A47</f>
        <v>#REF!</v>
      </c>
      <c r="B351" s="127" t="str">
        <f t="shared" si="66"/>
        <v>#REF!</v>
      </c>
      <c r="C351" s="127" t="str">
        <f t="shared" si="66"/>
        <v>#REF!</v>
      </c>
      <c r="D351" s="127" t="str">
        <f t="shared" si="66"/>
        <v>#REF!</v>
      </c>
      <c r="E351" s="127" t="str">
        <f t="shared" si="66"/>
        <v>#REF!</v>
      </c>
      <c r="F351" s="126" t="str">
        <f t="shared" si="66"/>
        <v>#REF!</v>
      </c>
      <c r="G351" s="3" t="str">
        <f t="shared" si="66"/>
        <v>#REF!</v>
      </c>
      <c r="H351" s="120" t="str">
        <f t="shared" si="66"/>
        <v>#REF!</v>
      </c>
      <c r="I351" s="120" t="str">
        <f t="shared" si="66"/>
        <v>#REF!</v>
      </c>
    </row>
    <row r="352" ht="14.25" customHeight="1">
      <c r="A352" s="175" t="str">
        <f t="shared" ref="A352:I352" si="67">'2.14.'!A48</f>
        <v>#REF!</v>
      </c>
      <c r="B352" s="176" t="str">
        <f t="shared" si="67"/>
        <v>#REF!</v>
      </c>
      <c r="C352" s="176" t="str">
        <f t="shared" si="67"/>
        <v>#REF!</v>
      </c>
      <c r="D352" s="176" t="str">
        <f t="shared" si="67"/>
        <v>#REF!</v>
      </c>
      <c r="E352" s="176" t="str">
        <f t="shared" si="67"/>
        <v>#REF!</v>
      </c>
      <c r="F352" s="176" t="str">
        <f t="shared" si="67"/>
        <v>#REF!</v>
      </c>
      <c r="G352" s="177" t="str">
        <f t="shared" si="67"/>
        <v>#REF!</v>
      </c>
      <c r="H352" s="176" t="str">
        <f t="shared" si="67"/>
        <v>#REF!</v>
      </c>
      <c r="I352" s="178" t="str">
        <f t="shared" si="67"/>
        <v>#REF!</v>
      </c>
    </row>
    <row r="353" ht="14.25" customHeight="1">
      <c r="G353" s="3"/>
    </row>
    <row r="354" ht="14.25" customHeight="1">
      <c r="G354" s="3"/>
    </row>
    <row r="355" ht="14.25" customHeight="1">
      <c r="A355" s="168" t="str">
        <f t="shared" ref="A355:I355" si="68">'2.14.'!A67</f>
        <v>#REF!</v>
      </c>
      <c r="B355" s="76" t="str">
        <f t="shared" si="68"/>
        <v>#REF!</v>
      </c>
      <c r="C355" s="76" t="str">
        <f t="shared" si="68"/>
        <v>#REF!</v>
      </c>
      <c r="D355" s="76" t="str">
        <f t="shared" si="68"/>
        <v>#REF!</v>
      </c>
      <c r="E355" s="76" t="str">
        <f t="shared" si="68"/>
        <v>#REF!</v>
      </c>
      <c r="F355" s="76" t="str">
        <f t="shared" si="68"/>
        <v>#REF!</v>
      </c>
      <c r="G355" s="2" t="str">
        <f t="shared" si="68"/>
        <v>#REF!</v>
      </c>
      <c r="H355" s="76" t="str">
        <f t="shared" si="68"/>
        <v>#REF!</v>
      </c>
      <c r="I355" s="76" t="str">
        <f t="shared" si="68"/>
        <v>#REF!</v>
      </c>
    </row>
    <row r="356" ht="14.25" customHeight="1">
      <c r="A356" s="169" t="str">
        <f t="shared" ref="A356:I356" si="69">'2.14.'!A68</f>
        <v>#REF!</v>
      </c>
      <c r="B356" s="169" t="str">
        <f t="shared" si="69"/>
        <v>#REF!</v>
      </c>
      <c r="C356" s="169" t="str">
        <f t="shared" si="69"/>
        <v>#REF!</v>
      </c>
      <c r="D356" s="169" t="str">
        <f t="shared" si="69"/>
        <v>#REF!</v>
      </c>
      <c r="E356" s="169" t="str">
        <f t="shared" si="69"/>
        <v>#REF!</v>
      </c>
      <c r="F356" s="169" t="str">
        <f t="shared" si="69"/>
        <v>#REF!</v>
      </c>
      <c r="G356" s="4" t="str">
        <f t="shared" si="69"/>
        <v>#REF!</v>
      </c>
      <c r="H356" s="169" t="str">
        <f t="shared" si="69"/>
        <v>#REF!</v>
      </c>
      <c r="I356" s="169" t="str">
        <f t="shared" si="69"/>
        <v>#REF!</v>
      </c>
    </row>
    <row r="357" ht="14.25" customHeight="1">
      <c r="A357" s="171" t="str">
        <f t="shared" ref="A357:I357" si="70">'2.14.'!A69</f>
        <v>#REF!</v>
      </c>
      <c r="B357" s="74" t="str">
        <f t="shared" si="70"/>
        <v>#REF!</v>
      </c>
      <c r="C357" s="74" t="str">
        <f t="shared" si="70"/>
        <v>#REF!</v>
      </c>
      <c r="D357" s="171" t="str">
        <f t="shared" si="70"/>
        <v>#REF!</v>
      </c>
      <c r="E357" s="171" t="str">
        <f t="shared" si="70"/>
        <v>#REF!</v>
      </c>
      <c r="F357" s="173" t="str">
        <f t="shared" si="70"/>
        <v>#REF!</v>
      </c>
      <c r="G357" s="174" t="str">
        <f t="shared" si="70"/>
        <v>#REF!</v>
      </c>
      <c r="H357" s="120" t="str">
        <f t="shared" si="70"/>
        <v>#REF!</v>
      </c>
      <c r="I357" s="120" t="str">
        <f t="shared" si="70"/>
        <v>#REF!</v>
      </c>
    </row>
    <row r="358" ht="14.25" customHeight="1">
      <c r="A358" s="171" t="str">
        <f t="shared" ref="A358:I358" si="71">'2.14.'!A70</f>
        <v>#REF!</v>
      </c>
      <c r="B358" s="74" t="str">
        <f t="shared" si="71"/>
        <v>#REF!</v>
      </c>
      <c r="C358" s="74" t="str">
        <f t="shared" si="71"/>
        <v>#REF!</v>
      </c>
      <c r="D358" s="171" t="str">
        <f t="shared" si="71"/>
        <v>#REF!</v>
      </c>
      <c r="E358" s="171" t="str">
        <f t="shared" si="71"/>
        <v>#REF!</v>
      </c>
      <c r="F358" s="173" t="str">
        <f t="shared" si="71"/>
        <v>#REF!</v>
      </c>
      <c r="G358" s="174" t="str">
        <f t="shared" si="71"/>
        <v>#REF!</v>
      </c>
      <c r="H358" s="120" t="str">
        <f t="shared" si="71"/>
        <v>#REF!</v>
      </c>
      <c r="I358" s="120" t="str">
        <f t="shared" si="71"/>
        <v>#REF!</v>
      </c>
    </row>
    <row r="359" ht="14.25" customHeight="1">
      <c r="A359" s="171" t="str">
        <f t="shared" ref="A359:I359" si="72">'2.14.'!A71</f>
        <v>#REF!</v>
      </c>
      <c r="B359" s="74" t="str">
        <f t="shared" si="72"/>
        <v>#REF!</v>
      </c>
      <c r="C359" s="74" t="str">
        <f t="shared" si="72"/>
        <v>#REF!</v>
      </c>
      <c r="D359" s="171" t="str">
        <f t="shared" si="72"/>
        <v>#REF!</v>
      </c>
      <c r="E359" s="171" t="str">
        <f t="shared" si="72"/>
        <v>#REF!</v>
      </c>
      <c r="F359" s="173" t="str">
        <f t="shared" si="72"/>
        <v>#REF!</v>
      </c>
      <c r="G359" s="174" t="str">
        <f t="shared" si="72"/>
        <v>#REF!</v>
      </c>
      <c r="H359" s="120" t="str">
        <f t="shared" si="72"/>
        <v>#REF!</v>
      </c>
      <c r="I359" s="120" t="str">
        <f t="shared" si="72"/>
        <v>#REF!</v>
      </c>
    </row>
    <row r="360" ht="14.25" customHeight="1">
      <c r="A360" s="171" t="str">
        <f t="shared" ref="A360:I360" si="73">'2.14.'!A72</f>
        <v>#REF!</v>
      </c>
      <c r="B360" s="74" t="str">
        <f t="shared" si="73"/>
        <v>#REF!</v>
      </c>
      <c r="C360" s="74" t="str">
        <f t="shared" si="73"/>
        <v>#REF!</v>
      </c>
      <c r="D360" s="171" t="str">
        <f t="shared" si="73"/>
        <v>#REF!</v>
      </c>
      <c r="E360" s="171" t="str">
        <f t="shared" si="73"/>
        <v>#REF!</v>
      </c>
      <c r="F360" s="173" t="str">
        <f t="shared" si="73"/>
        <v>#REF!</v>
      </c>
      <c r="G360" s="174" t="str">
        <f t="shared" si="73"/>
        <v>#REF!</v>
      </c>
      <c r="H360" s="120" t="str">
        <f t="shared" si="73"/>
        <v>#REF!</v>
      </c>
      <c r="I360" s="120" t="str">
        <f t="shared" si="73"/>
        <v>#REF!</v>
      </c>
    </row>
    <row r="361" ht="14.25" customHeight="1">
      <c r="A361" s="171" t="str">
        <f t="shared" ref="A361:I361" si="74">'2.14.'!A73</f>
        <v>#REF!</v>
      </c>
      <c r="B361" s="74" t="str">
        <f t="shared" si="74"/>
        <v>#REF!</v>
      </c>
      <c r="C361" s="74" t="str">
        <f t="shared" si="74"/>
        <v>#REF!</v>
      </c>
      <c r="D361" s="171" t="str">
        <f t="shared" si="74"/>
        <v>#REF!</v>
      </c>
      <c r="E361" s="171" t="str">
        <f t="shared" si="74"/>
        <v>#REF!</v>
      </c>
      <c r="F361" s="173" t="str">
        <f t="shared" si="74"/>
        <v>#REF!</v>
      </c>
      <c r="G361" s="174" t="str">
        <f t="shared" si="74"/>
        <v>#REF!</v>
      </c>
      <c r="H361" s="120" t="str">
        <f t="shared" si="74"/>
        <v>#REF!</v>
      </c>
      <c r="I361" s="120" t="str">
        <f t="shared" si="74"/>
        <v>#REF!</v>
      </c>
    </row>
    <row r="362" ht="14.25" customHeight="1">
      <c r="A362" s="171" t="str">
        <f t="shared" ref="A362:I362" si="75">'2.14.'!A74</f>
        <v>#REF!</v>
      </c>
      <c r="B362" s="74" t="str">
        <f t="shared" si="75"/>
        <v>#REF!</v>
      </c>
      <c r="C362" s="74" t="str">
        <f t="shared" si="75"/>
        <v>#REF!</v>
      </c>
      <c r="D362" s="171" t="str">
        <f t="shared" si="75"/>
        <v>#REF!</v>
      </c>
      <c r="E362" s="171" t="str">
        <f t="shared" si="75"/>
        <v>#REF!</v>
      </c>
      <c r="F362" s="173" t="str">
        <f t="shared" si="75"/>
        <v>#REF!</v>
      </c>
      <c r="G362" s="174" t="str">
        <f t="shared" si="75"/>
        <v>#REF!</v>
      </c>
      <c r="H362" s="120" t="str">
        <f t="shared" si="75"/>
        <v>#REF!</v>
      </c>
      <c r="I362" s="120" t="str">
        <f t="shared" si="75"/>
        <v>#REF!</v>
      </c>
    </row>
    <row r="363" ht="14.25" customHeight="1">
      <c r="A363" s="127" t="str">
        <f t="shared" ref="A363:I363" si="76">'2.14.'!A75</f>
        <v>#REF!</v>
      </c>
      <c r="B363" s="127" t="str">
        <f t="shared" si="76"/>
        <v>#REF!</v>
      </c>
      <c r="C363" s="127" t="str">
        <f t="shared" si="76"/>
        <v>#REF!</v>
      </c>
      <c r="D363" s="127" t="str">
        <f t="shared" si="76"/>
        <v>#REF!</v>
      </c>
      <c r="E363" s="127" t="str">
        <f t="shared" si="76"/>
        <v>#REF!</v>
      </c>
      <c r="F363" s="126" t="str">
        <f t="shared" si="76"/>
        <v>#REF!</v>
      </c>
      <c r="G363" s="3" t="str">
        <f t="shared" si="76"/>
        <v>#REF!</v>
      </c>
      <c r="H363" s="120" t="str">
        <f t="shared" si="76"/>
        <v>#REF!</v>
      </c>
      <c r="I363" s="120" t="str">
        <f t="shared" si="76"/>
        <v>#REF!</v>
      </c>
    </row>
    <row r="364" ht="14.25" customHeight="1">
      <c r="A364" s="175" t="str">
        <f t="shared" ref="A364:I364" si="77">'2.14.'!A76</f>
        <v>#REF!</v>
      </c>
      <c r="B364" s="176" t="str">
        <f t="shared" si="77"/>
        <v>#REF!</v>
      </c>
      <c r="C364" s="176" t="str">
        <f t="shared" si="77"/>
        <v>#REF!</v>
      </c>
      <c r="D364" s="176" t="str">
        <f t="shared" si="77"/>
        <v>#REF!</v>
      </c>
      <c r="E364" s="176" t="str">
        <f t="shared" si="77"/>
        <v>#REF!</v>
      </c>
      <c r="F364" s="176" t="str">
        <f t="shared" si="77"/>
        <v>#REF!</v>
      </c>
      <c r="G364" s="177" t="str">
        <f t="shared" si="77"/>
        <v>#REF!</v>
      </c>
      <c r="H364" s="176" t="str">
        <f t="shared" si="77"/>
        <v>#REF!</v>
      </c>
      <c r="I364" s="178" t="str">
        <f t="shared" si="77"/>
        <v>#REF!</v>
      </c>
    </row>
    <row r="365" ht="15.75" customHeight="1">
      <c r="G365" s="3"/>
    </row>
    <row r="366" ht="15.75" customHeight="1">
      <c r="G366" s="3"/>
    </row>
    <row r="367" ht="23.25" customHeight="1">
      <c r="A367" s="162" t="str">
        <f>'2.15.'!A3</f>
        <v>#REF!</v>
      </c>
      <c r="B367" s="163" t="str">
        <f>'2.1.'!B367</f>
        <v>#REF!</v>
      </c>
      <c r="C367" s="164"/>
      <c r="D367" s="164"/>
      <c r="E367" s="164"/>
      <c r="F367" s="164"/>
      <c r="G367" s="165" t="str">
        <f t="shared" ref="G367:I367" si="78">'2.1.'!G367</f>
        <v>#REF!</v>
      </c>
      <c r="H367" s="166" t="str">
        <f t="shared" si="78"/>
        <v>#REF!</v>
      </c>
      <c r="I367" s="167" t="str">
        <f t="shared" si="78"/>
        <v>#REF!</v>
      </c>
    </row>
    <row r="368" ht="14.25" customHeight="1">
      <c r="G368" s="3"/>
    </row>
    <row r="369" ht="14.25" customHeight="1">
      <c r="A369" s="168" t="str">
        <f t="shared" ref="A369:I369" si="79">'2.15.'!A39</f>
        <v>#REF!</v>
      </c>
      <c r="B369" s="76" t="str">
        <f t="shared" si="79"/>
        <v>#REF!</v>
      </c>
      <c r="C369" s="76" t="str">
        <f t="shared" si="79"/>
        <v>#REF!</v>
      </c>
      <c r="D369" s="76" t="str">
        <f t="shared" si="79"/>
        <v>#REF!</v>
      </c>
      <c r="E369" s="76" t="str">
        <f t="shared" si="79"/>
        <v>#REF!</v>
      </c>
      <c r="F369" s="76" t="str">
        <f t="shared" si="79"/>
        <v>#REF!</v>
      </c>
      <c r="G369" s="2" t="str">
        <f t="shared" si="79"/>
        <v>#REF!</v>
      </c>
      <c r="H369" s="76" t="str">
        <f t="shared" si="79"/>
        <v>#REF!</v>
      </c>
      <c r="I369" s="76" t="str">
        <f t="shared" si="79"/>
        <v>#REF!</v>
      </c>
    </row>
    <row r="370" ht="14.25" customHeight="1">
      <c r="A370" s="169" t="str">
        <f t="shared" ref="A370:I370" si="80">'2.15.'!A40</f>
        <v>#REF!</v>
      </c>
      <c r="B370" s="169" t="str">
        <f t="shared" si="80"/>
        <v>#REF!</v>
      </c>
      <c r="C370" s="169" t="str">
        <f t="shared" si="80"/>
        <v>#REF!</v>
      </c>
      <c r="D370" s="169" t="str">
        <f t="shared" si="80"/>
        <v>#REF!</v>
      </c>
      <c r="E370" s="169" t="str">
        <f t="shared" si="80"/>
        <v>#REF!</v>
      </c>
      <c r="F370" s="169" t="str">
        <f t="shared" si="80"/>
        <v>#REF!</v>
      </c>
      <c r="G370" s="4" t="str">
        <f t="shared" si="80"/>
        <v>#REF!</v>
      </c>
      <c r="H370" s="169" t="str">
        <f t="shared" si="80"/>
        <v>#REF!</v>
      </c>
      <c r="I370" s="169" t="str">
        <f t="shared" si="80"/>
        <v>#REF!</v>
      </c>
    </row>
    <row r="371" ht="14.25" customHeight="1">
      <c r="A371" s="171" t="str">
        <f t="shared" ref="A371:I371" si="81">'2.15.'!A41</f>
        <v>#REF!</v>
      </c>
      <c r="B371" s="74" t="str">
        <f t="shared" si="81"/>
        <v>#REF!</v>
      </c>
      <c r="C371" s="74" t="str">
        <f t="shared" si="81"/>
        <v>#REF!</v>
      </c>
      <c r="D371" s="171" t="str">
        <f t="shared" si="81"/>
        <v>#REF!</v>
      </c>
      <c r="E371" s="171" t="str">
        <f t="shared" si="81"/>
        <v>#REF!</v>
      </c>
      <c r="F371" s="173" t="str">
        <f t="shared" si="81"/>
        <v>#REF!</v>
      </c>
      <c r="G371" s="184" t="str">
        <f t="shared" si="81"/>
        <v>#REF!</v>
      </c>
      <c r="H371" s="120" t="str">
        <f t="shared" si="81"/>
        <v>#REF!</v>
      </c>
      <c r="I371" s="120" t="str">
        <f t="shared" si="81"/>
        <v>#REF!</v>
      </c>
    </row>
    <row r="372" ht="14.25" customHeight="1">
      <c r="A372" s="171" t="str">
        <f t="shared" ref="A372:I372" si="82">'2.15.'!A42</f>
        <v>#REF!</v>
      </c>
      <c r="B372" s="74" t="str">
        <f t="shared" si="82"/>
        <v>#REF!</v>
      </c>
      <c r="C372" s="74" t="str">
        <f t="shared" si="82"/>
        <v>#REF!</v>
      </c>
      <c r="D372" s="171" t="str">
        <f t="shared" si="82"/>
        <v>#REF!</v>
      </c>
      <c r="E372" s="171" t="str">
        <f t="shared" si="82"/>
        <v>#REF!</v>
      </c>
      <c r="F372" s="173" t="str">
        <f t="shared" si="82"/>
        <v>#REF!</v>
      </c>
      <c r="G372" s="184" t="str">
        <f t="shared" si="82"/>
        <v>#REF!</v>
      </c>
      <c r="H372" s="120" t="str">
        <f t="shared" si="82"/>
        <v>#REF!</v>
      </c>
      <c r="I372" s="120" t="str">
        <f t="shared" si="82"/>
        <v>#REF!</v>
      </c>
    </row>
    <row r="373" ht="14.25" customHeight="1">
      <c r="A373" s="171" t="str">
        <f t="shared" ref="A373:I373" si="83">'2.15.'!A43</f>
        <v>#REF!</v>
      </c>
      <c r="B373" s="74" t="str">
        <f t="shared" si="83"/>
        <v>#REF!</v>
      </c>
      <c r="C373" s="74" t="str">
        <f t="shared" si="83"/>
        <v>#REF!</v>
      </c>
      <c r="D373" s="171" t="str">
        <f t="shared" si="83"/>
        <v>#REF!</v>
      </c>
      <c r="E373" s="171" t="str">
        <f t="shared" si="83"/>
        <v>#REF!</v>
      </c>
      <c r="F373" s="173" t="str">
        <f t="shared" si="83"/>
        <v>#REF!</v>
      </c>
      <c r="G373" s="184" t="str">
        <f t="shared" si="83"/>
        <v>#REF!</v>
      </c>
      <c r="H373" s="120" t="str">
        <f t="shared" si="83"/>
        <v>#REF!</v>
      </c>
      <c r="I373" s="120" t="str">
        <f t="shared" si="83"/>
        <v>#REF!</v>
      </c>
    </row>
    <row r="374" ht="14.25" customHeight="1">
      <c r="A374" s="171" t="str">
        <f t="shared" ref="A374:I374" si="84">'2.15.'!A44</f>
        <v>#REF!</v>
      </c>
      <c r="B374" s="74" t="str">
        <f t="shared" si="84"/>
        <v>#REF!</v>
      </c>
      <c r="C374" s="74" t="str">
        <f t="shared" si="84"/>
        <v>#REF!</v>
      </c>
      <c r="D374" s="171" t="str">
        <f t="shared" si="84"/>
        <v>#REF!</v>
      </c>
      <c r="E374" s="171" t="str">
        <f t="shared" si="84"/>
        <v>#REF!</v>
      </c>
      <c r="F374" s="173" t="str">
        <f t="shared" si="84"/>
        <v>#REF!</v>
      </c>
      <c r="G374" s="184" t="str">
        <f t="shared" si="84"/>
        <v>#REF!</v>
      </c>
      <c r="H374" s="120" t="str">
        <f t="shared" si="84"/>
        <v>#REF!</v>
      </c>
      <c r="I374" s="120" t="str">
        <f t="shared" si="84"/>
        <v>#REF!</v>
      </c>
    </row>
    <row r="375" ht="14.25" customHeight="1">
      <c r="A375" s="171" t="str">
        <f t="shared" ref="A375:I375" si="85">'2.15.'!A45</f>
        <v>#REF!</v>
      </c>
      <c r="B375" s="74" t="str">
        <f t="shared" si="85"/>
        <v>#REF!</v>
      </c>
      <c r="C375" s="74" t="str">
        <f t="shared" si="85"/>
        <v>#REF!</v>
      </c>
      <c r="D375" s="171" t="str">
        <f t="shared" si="85"/>
        <v>#REF!</v>
      </c>
      <c r="E375" s="171" t="str">
        <f t="shared" si="85"/>
        <v>#REF!</v>
      </c>
      <c r="F375" s="173" t="str">
        <f t="shared" si="85"/>
        <v>#REF!</v>
      </c>
      <c r="G375" s="184" t="str">
        <f t="shared" si="85"/>
        <v>#REF!</v>
      </c>
      <c r="H375" s="120" t="str">
        <f t="shared" si="85"/>
        <v>#REF!</v>
      </c>
      <c r="I375" s="120" t="str">
        <f t="shared" si="85"/>
        <v>#REF!</v>
      </c>
    </row>
    <row r="376" ht="14.25" customHeight="1">
      <c r="A376" s="171" t="str">
        <f t="shared" ref="A376:I376" si="86">'2.15.'!A46</f>
        <v>#REF!</v>
      </c>
      <c r="B376" s="74" t="str">
        <f t="shared" si="86"/>
        <v>#REF!</v>
      </c>
      <c r="C376" s="74" t="str">
        <f t="shared" si="86"/>
        <v>#REF!</v>
      </c>
      <c r="D376" s="171" t="str">
        <f t="shared" si="86"/>
        <v>#REF!</v>
      </c>
      <c r="E376" s="171" t="str">
        <f t="shared" si="86"/>
        <v>#REF!</v>
      </c>
      <c r="F376" s="173" t="str">
        <f t="shared" si="86"/>
        <v>#REF!</v>
      </c>
      <c r="G376" s="184" t="str">
        <f t="shared" si="86"/>
        <v>#REF!</v>
      </c>
      <c r="H376" s="120" t="str">
        <f t="shared" si="86"/>
        <v>#REF!</v>
      </c>
      <c r="I376" s="120" t="str">
        <f t="shared" si="86"/>
        <v>#REF!</v>
      </c>
    </row>
    <row r="377" ht="14.25" customHeight="1">
      <c r="A377" s="127" t="str">
        <f t="shared" ref="A377:I377" si="87">'2.15.'!A47</f>
        <v>#REF!</v>
      </c>
      <c r="B377" s="127" t="str">
        <f t="shared" si="87"/>
        <v>#REF!</v>
      </c>
      <c r="C377" s="127" t="str">
        <f t="shared" si="87"/>
        <v>#REF!</v>
      </c>
      <c r="D377" s="127" t="str">
        <f t="shared" si="87"/>
        <v>#REF!</v>
      </c>
      <c r="E377" s="127" t="str">
        <f t="shared" si="87"/>
        <v>#REF!</v>
      </c>
      <c r="F377" s="126" t="str">
        <f t="shared" si="87"/>
        <v>#REF!</v>
      </c>
      <c r="G377" s="3" t="str">
        <f t="shared" si="87"/>
        <v>#REF!</v>
      </c>
      <c r="H377" s="120" t="str">
        <f t="shared" si="87"/>
        <v>#REF!</v>
      </c>
      <c r="I377" s="120" t="str">
        <f t="shared" si="87"/>
        <v>#REF!</v>
      </c>
    </row>
    <row r="378" ht="14.25" customHeight="1">
      <c r="A378" s="175" t="str">
        <f t="shared" ref="A378:I378" si="88">'2.15.'!A48</f>
        <v>#REF!</v>
      </c>
      <c r="B378" s="176" t="str">
        <f t="shared" si="88"/>
        <v>#REF!</v>
      </c>
      <c r="C378" s="176" t="str">
        <f t="shared" si="88"/>
        <v>#REF!</v>
      </c>
      <c r="D378" s="176" t="str">
        <f t="shared" si="88"/>
        <v>#REF!</v>
      </c>
      <c r="E378" s="176" t="str">
        <f t="shared" si="88"/>
        <v>#REF!</v>
      </c>
      <c r="F378" s="176" t="str">
        <f t="shared" si="88"/>
        <v>#REF!</v>
      </c>
      <c r="G378" s="177" t="str">
        <f t="shared" si="88"/>
        <v>#REF!</v>
      </c>
      <c r="H378" s="176" t="str">
        <f t="shared" si="88"/>
        <v>#REF!</v>
      </c>
      <c r="I378" s="178" t="str">
        <f t="shared" si="88"/>
        <v>#REF!</v>
      </c>
    </row>
    <row r="379" ht="14.25" customHeight="1">
      <c r="G379" s="3"/>
    </row>
    <row r="380" ht="14.25" customHeight="1">
      <c r="G380" s="3"/>
    </row>
    <row r="381" ht="14.25" customHeight="1">
      <c r="A381" s="168" t="str">
        <f t="shared" ref="A381:I381" si="89">'2.15.'!A67</f>
        <v>#REF!</v>
      </c>
      <c r="B381" s="76" t="str">
        <f t="shared" si="89"/>
        <v>#REF!</v>
      </c>
      <c r="C381" s="76" t="str">
        <f t="shared" si="89"/>
        <v>#REF!</v>
      </c>
      <c r="D381" s="76" t="str">
        <f t="shared" si="89"/>
        <v>#REF!</v>
      </c>
      <c r="E381" s="76" t="str">
        <f t="shared" si="89"/>
        <v>#REF!</v>
      </c>
      <c r="F381" s="76" t="str">
        <f t="shared" si="89"/>
        <v>#REF!</v>
      </c>
      <c r="G381" s="2" t="str">
        <f t="shared" si="89"/>
        <v>#REF!</v>
      </c>
      <c r="H381" s="76" t="str">
        <f t="shared" si="89"/>
        <v>#REF!</v>
      </c>
      <c r="I381" s="76" t="str">
        <f t="shared" si="89"/>
        <v>#REF!</v>
      </c>
    </row>
    <row r="382" ht="14.25" customHeight="1">
      <c r="A382" s="169" t="str">
        <f t="shared" ref="A382:I382" si="90">'2.15.'!A68</f>
        <v>#REF!</v>
      </c>
      <c r="B382" s="169" t="str">
        <f t="shared" si="90"/>
        <v>#REF!</v>
      </c>
      <c r="C382" s="169" t="str">
        <f t="shared" si="90"/>
        <v>#REF!</v>
      </c>
      <c r="D382" s="169" t="str">
        <f t="shared" si="90"/>
        <v>#REF!</v>
      </c>
      <c r="E382" s="169" t="str">
        <f t="shared" si="90"/>
        <v>#REF!</v>
      </c>
      <c r="F382" s="169" t="str">
        <f t="shared" si="90"/>
        <v>#REF!</v>
      </c>
      <c r="G382" s="4" t="str">
        <f t="shared" si="90"/>
        <v>#REF!</v>
      </c>
      <c r="H382" s="169" t="str">
        <f t="shared" si="90"/>
        <v>#REF!</v>
      </c>
      <c r="I382" s="169" t="str">
        <f t="shared" si="90"/>
        <v>#REF!</v>
      </c>
    </row>
    <row r="383" ht="14.25" customHeight="1">
      <c r="A383" s="171" t="str">
        <f t="shared" ref="A383:I383" si="91">'2.15.'!A69</f>
        <v>#REF!</v>
      </c>
      <c r="B383" s="74" t="str">
        <f t="shared" si="91"/>
        <v>#REF!</v>
      </c>
      <c r="C383" s="74" t="str">
        <f t="shared" si="91"/>
        <v>#REF!</v>
      </c>
      <c r="D383" s="171" t="str">
        <f t="shared" si="91"/>
        <v>#REF!</v>
      </c>
      <c r="E383" s="171" t="str">
        <f t="shared" si="91"/>
        <v>#REF!</v>
      </c>
      <c r="F383" s="173" t="str">
        <f t="shared" si="91"/>
        <v>#REF!</v>
      </c>
      <c r="G383" s="174" t="str">
        <f t="shared" si="91"/>
        <v>#REF!</v>
      </c>
      <c r="H383" s="120" t="str">
        <f t="shared" si="91"/>
        <v>#REF!</v>
      </c>
      <c r="I383" s="120" t="str">
        <f t="shared" si="91"/>
        <v>#REF!</v>
      </c>
    </row>
    <row r="384" ht="14.25" customHeight="1">
      <c r="A384" s="171" t="str">
        <f t="shared" ref="A384:I384" si="92">'2.15.'!A70</f>
        <v>#REF!</v>
      </c>
      <c r="B384" s="74" t="str">
        <f t="shared" si="92"/>
        <v>#REF!</v>
      </c>
      <c r="C384" s="74" t="str">
        <f t="shared" si="92"/>
        <v>#REF!</v>
      </c>
      <c r="D384" s="171" t="str">
        <f t="shared" si="92"/>
        <v>#REF!</v>
      </c>
      <c r="E384" s="171" t="str">
        <f t="shared" si="92"/>
        <v>#REF!</v>
      </c>
      <c r="F384" s="173" t="str">
        <f t="shared" si="92"/>
        <v>#REF!</v>
      </c>
      <c r="G384" s="174" t="str">
        <f t="shared" si="92"/>
        <v>#REF!</v>
      </c>
      <c r="H384" s="120" t="str">
        <f t="shared" si="92"/>
        <v>#REF!</v>
      </c>
      <c r="I384" s="120" t="str">
        <f t="shared" si="92"/>
        <v>#REF!</v>
      </c>
    </row>
    <row r="385" ht="14.25" customHeight="1">
      <c r="A385" s="171" t="str">
        <f t="shared" ref="A385:I385" si="93">'2.15.'!A71</f>
        <v>#REF!</v>
      </c>
      <c r="B385" s="74" t="str">
        <f t="shared" si="93"/>
        <v>#REF!</v>
      </c>
      <c r="C385" s="74" t="str">
        <f t="shared" si="93"/>
        <v>#REF!</v>
      </c>
      <c r="D385" s="171" t="str">
        <f t="shared" si="93"/>
        <v>#REF!</v>
      </c>
      <c r="E385" s="171" t="str">
        <f t="shared" si="93"/>
        <v>#REF!</v>
      </c>
      <c r="F385" s="173" t="str">
        <f t="shared" si="93"/>
        <v>#REF!</v>
      </c>
      <c r="G385" s="174" t="str">
        <f t="shared" si="93"/>
        <v>#REF!</v>
      </c>
      <c r="H385" s="120" t="str">
        <f t="shared" si="93"/>
        <v>#REF!</v>
      </c>
      <c r="I385" s="120" t="str">
        <f t="shared" si="93"/>
        <v>#REF!</v>
      </c>
    </row>
    <row r="386" ht="14.25" customHeight="1">
      <c r="A386" s="171" t="str">
        <f t="shared" ref="A386:I386" si="94">'2.15.'!A72</f>
        <v>#REF!</v>
      </c>
      <c r="B386" s="74" t="str">
        <f t="shared" si="94"/>
        <v>#REF!</v>
      </c>
      <c r="C386" s="74" t="str">
        <f t="shared" si="94"/>
        <v>#REF!</v>
      </c>
      <c r="D386" s="171" t="str">
        <f t="shared" si="94"/>
        <v>#REF!</v>
      </c>
      <c r="E386" s="171" t="str">
        <f t="shared" si="94"/>
        <v>#REF!</v>
      </c>
      <c r="F386" s="173" t="str">
        <f t="shared" si="94"/>
        <v>#REF!</v>
      </c>
      <c r="G386" s="174" t="str">
        <f t="shared" si="94"/>
        <v>#REF!</v>
      </c>
      <c r="H386" s="120" t="str">
        <f t="shared" si="94"/>
        <v>#REF!</v>
      </c>
      <c r="I386" s="120" t="str">
        <f t="shared" si="94"/>
        <v>#REF!</v>
      </c>
    </row>
    <row r="387" ht="14.25" customHeight="1">
      <c r="A387" s="171" t="str">
        <f t="shared" ref="A387:I387" si="95">'2.15.'!A73</f>
        <v>#REF!</v>
      </c>
      <c r="B387" s="74" t="str">
        <f t="shared" si="95"/>
        <v>#REF!</v>
      </c>
      <c r="C387" s="74" t="str">
        <f t="shared" si="95"/>
        <v>#REF!</v>
      </c>
      <c r="D387" s="171" t="str">
        <f t="shared" si="95"/>
        <v>#REF!</v>
      </c>
      <c r="E387" s="171" t="str">
        <f t="shared" si="95"/>
        <v>#REF!</v>
      </c>
      <c r="F387" s="173" t="str">
        <f t="shared" si="95"/>
        <v>#REF!</v>
      </c>
      <c r="G387" s="174" t="str">
        <f t="shared" si="95"/>
        <v>#REF!</v>
      </c>
      <c r="H387" s="120" t="str">
        <f t="shared" si="95"/>
        <v>#REF!</v>
      </c>
      <c r="I387" s="120" t="str">
        <f t="shared" si="95"/>
        <v>#REF!</v>
      </c>
    </row>
    <row r="388" ht="14.25" customHeight="1">
      <c r="A388" s="171" t="str">
        <f t="shared" ref="A388:I388" si="96">'2.15.'!A74</f>
        <v>#REF!</v>
      </c>
      <c r="B388" s="74" t="str">
        <f t="shared" si="96"/>
        <v>#REF!</v>
      </c>
      <c r="C388" s="74" t="str">
        <f t="shared" si="96"/>
        <v>#REF!</v>
      </c>
      <c r="D388" s="171" t="str">
        <f t="shared" si="96"/>
        <v>#REF!</v>
      </c>
      <c r="E388" s="171" t="str">
        <f t="shared" si="96"/>
        <v>#REF!</v>
      </c>
      <c r="F388" s="173" t="str">
        <f t="shared" si="96"/>
        <v>#REF!</v>
      </c>
      <c r="G388" s="174" t="str">
        <f t="shared" si="96"/>
        <v>#REF!</v>
      </c>
      <c r="H388" s="120" t="str">
        <f t="shared" si="96"/>
        <v>#REF!</v>
      </c>
      <c r="I388" s="120" t="str">
        <f t="shared" si="96"/>
        <v>#REF!</v>
      </c>
    </row>
    <row r="389" ht="14.25" customHeight="1">
      <c r="A389" s="127" t="str">
        <f t="shared" ref="A389:I389" si="97">'2.15.'!A75</f>
        <v>#REF!</v>
      </c>
      <c r="B389" s="127" t="str">
        <f t="shared" si="97"/>
        <v>#REF!</v>
      </c>
      <c r="C389" s="127" t="str">
        <f t="shared" si="97"/>
        <v>#REF!</v>
      </c>
      <c r="D389" s="127" t="str">
        <f t="shared" si="97"/>
        <v>#REF!</v>
      </c>
      <c r="E389" s="127" t="str">
        <f t="shared" si="97"/>
        <v>#REF!</v>
      </c>
      <c r="F389" s="126" t="str">
        <f t="shared" si="97"/>
        <v>#REF!</v>
      </c>
      <c r="G389" s="3" t="str">
        <f t="shared" si="97"/>
        <v>#REF!</v>
      </c>
      <c r="H389" s="120" t="str">
        <f t="shared" si="97"/>
        <v>#REF!</v>
      </c>
      <c r="I389" s="120" t="str">
        <f t="shared" si="97"/>
        <v>#REF!</v>
      </c>
    </row>
    <row r="390" ht="14.25" customHeight="1">
      <c r="A390" s="175" t="str">
        <f t="shared" ref="A390:I390" si="98">'2.15.'!A76</f>
        <v>#REF!</v>
      </c>
      <c r="B390" s="176" t="str">
        <f t="shared" si="98"/>
        <v>#REF!</v>
      </c>
      <c r="C390" s="176" t="str">
        <f t="shared" si="98"/>
        <v>#REF!</v>
      </c>
      <c r="D390" s="176" t="str">
        <f t="shared" si="98"/>
        <v>#REF!</v>
      </c>
      <c r="E390" s="176" t="str">
        <f t="shared" si="98"/>
        <v>#REF!</v>
      </c>
      <c r="F390" s="176" t="str">
        <f t="shared" si="98"/>
        <v>#REF!</v>
      </c>
      <c r="G390" s="177" t="str">
        <f t="shared" si="98"/>
        <v>#REF!</v>
      </c>
      <c r="H390" s="176" t="str">
        <f t="shared" si="98"/>
        <v>#REF!</v>
      </c>
      <c r="I390" s="178" t="str">
        <f t="shared" si="98"/>
        <v>#REF!</v>
      </c>
    </row>
    <row r="391" ht="15.75" customHeight="1">
      <c r="G391" s="3"/>
    </row>
    <row r="392" ht="15.75" customHeight="1">
      <c r="G392" s="3"/>
    </row>
    <row r="393" ht="23.25" customHeight="1">
      <c r="A393" s="162" t="str">
        <f>'2.16.'!A3</f>
        <v>#REF!</v>
      </c>
      <c r="B393" s="163" t="str">
        <f>'2.1.'!B393</f>
        <v>#REF!</v>
      </c>
      <c r="C393" s="164"/>
      <c r="D393" s="164"/>
      <c r="E393" s="164"/>
      <c r="F393" s="164"/>
      <c r="G393" s="165" t="str">
        <f t="shared" ref="G393:I393" si="99">'2.1.'!G393</f>
        <v>#REF!</v>
      </c>
      <c r="H393" s="166" t="str">
        <f t="shared" si="99"/>
        <v>#REF!</v>
      </c>
      <c r="I393" s="167" t="str">
        <f t="shared" si="99"/>
        <v>#REF!</v>
      </c>
    </row>
    <row r="394" ht="14.25" customHeight="1">
      <c r="G394" s="3"/>
    </row>
    <row r="395" ht="14.25" customHeight="1">
      <c r="A395" s="168" t="str">
        <f t="shared" ref="A395:I395" si="100">'2.16.'!A39</f>
        <v>#REF!</v>
      </c>
      <c r="B395" s="76" t="str">
        <f t="shared" si="100"/>
        <v>#REF!</v>
      </c>
      <c r="C395" s="76" t="str">
        <f t="shared" si="100"/>
        <v>#REF!</v>
      </c>
      <c r="D395" s="76" t="str">
        <f t="shared" si="100"/>
        <v>#REF!</v>
      </c>
      <c r="E395" s="76" t="str">
        <f t="shared" si="100"/>
        <v>#REF!</v>
      </c>
      <c r="F395" s="76" t="str">
        <f t="shared" si="100"/>
        <v>#REF!</v>
      </c>
      <c r="G395" s="2" t="str">
        <f t="shared" si="100"/>
        <v>#REF!</v>
      </c>
      <c r="H395" s="76" t="str">
        <f t="shared" si="100"/>
        <v>#REF!</v>
      </c>
      <c r="I395" s="76" t="str">
        <f t="shared" si="100"/>
        <v>#REF!</v>
      </c>
    </row>
    <row r="396" ht="14.25" customHeight="1">
      <c r="A396" s="169" t="str">
        <f t="shared" ref="A396:I396" si="101">'2.16.'!A40</f>
        <v>#REF!</v>
      </c>
      <c r="B396" s="169" t="str">
        <f t="shared" si="101"/>
        <v>#REF!</v>
      </c>
      <c r="C396" s="169" t="str">
        <f t="shared" si="101"/>
        <v>#REF!</v>
      </c>
      <c r="D396" s="169" t="str">
        <f t="shared" si="101"/>
        <v>#REF!</v>
      </c>
      <c r="E396" s="169" t="str">
        <f t="shared" si="101"/>
        <v>#REF!</v>
      </c>
      <c r="F396" s="169" t="str">
        <f t="shared" si="101"/>
        <v>#REF!</v>
      </c>
      <c r="G396" s="4" t="str">
        <f t="shared" si="101"/>
        <v>#REF!</v>
      </c>
      <c r="H396" s="169" t="str">
        <f t="shared" si="101"/>
        <v>#REF!</v>
      </c>
      <c r="I396" s="169" t="str">
        <f t="shared" si="101"/>
        <v>#REF!</v>
      </c>
    </row>
    <row r="397" ht="14.25" customHeight="1">
      <c r="A397" s="171" t="str">
        <f t="shared" ref="A397:I397" si="102">'2.16.'!A41</f>
        <v>#REF!</v>
      </c>
      <c r="B397" s="74" t="str">
        <f t="shared" si="102"/>
        <v>#REF!</v>
      </c>
      <c r="C397" s="74" t="str">
        <f t="shared" si="102"/>
        <v>#REF!</v>
      </c>
      <c r="D397" s="171" t="str">
        <f t="shared" si="102"/>
        <v>#REF!</v>
      </c>
      <c r="E397" s="171" t="str">
        <f t="shared" si="102"/>
        <v>#REF!</v>
      </c>
      <c r="F397" s="173" t="str">
        <f t="shared" si="102"/>
        <v>#REF!</v>
      </c>
      <c r="G397" s="184" t="str">
        <f t="shared" si="102"/>
        <v>#REF!</v>
      </c>
      <c r="H397" s="120" t="str">
        <f t="shared" si="102"/>
        <v>#REF!</v>
      </c>
      <c r="I397" s="120" t="str">
        <f t="shared" si="102"/>
        <v>#REF!</v>
      </c>
    </row>
    <row r="398" ht="14.25" customHeight="1">
      <c r="A398" s="171" t="str">
        <f t="shared" ref="A398:I398" si="103">'2.16.'!A42</f>
        <v>#REF!</v>
      </c>
      <c r="B398" s="74" t="str">
        <f t="shared" si="103"/>
        <v>#REF!</v>
      </c>
      <c r="C398" s="74" t="str">
        <f t="shared" si="103"/>
        <v>#REF!</v>
      </c>
      <c r="D398" s="171" t="str">
        <f t="shared" si="103"/>
        <v>#REF!</v>
      </c>
      <c r="E398" s="171" t="str">
        <f t="shared" si="103"/>
        <v>#REF!</v>
      </c>
      <c r="F398" s="173" t="str">
        <f t="shared" si="103"/>
        <v>#REF!</v>
      </c>
      <c r="G398" s="184" t="str">
        <f t="shared" si="103"/>
        <v>#REF!</v>
      </c>
      <c r="H398" s="120" t="str">
        <f t="shared" si="103"/>
        <v>#REF!</v>
      </c>
      <c r="I398" s="120" t="str">
        <f t="shared" si="103"/>
        <v>#REF!</v>
      </c>
    </row>
    <row r="399" ht="14.25" customHeight="1">
      <c r="A399" s="171" t="str">
        <f t="shared" ref="A399:I399" si="104">'2.16.'!A43</f>
        <v>#REF!</v>
      </c>
      <c r="B399" s="74" t="str">
        <f t="shared" si="104"/>
        <v>#REF!</v>
      </c>
      <c r="C399" s="74" t="str">
        <f t="shared" si="104"/>
        <v>#REF!</v>
      </c>
      <c r="D399" s="171" t="str">
        <f t="shared" si="104"/>
        <v>#REF!</v>
      </c>
      <c r="E399" s="171" t="str">
        <f t="shared" si="104"/>
        <v>#REF!</v>
      </c>
      <c r="F399" s="173" t="str">
        <f t="shared" si="104"/>
        <v>#REF!</v>
      </c>
      <c r="G399" s="184" t="str">
        <f t="shared" si="104"/>
        <v>#REF!</v>
      </c>
      <c r="H399" s="120" t="str">
        <f t="shared" si="104"/>
        <v>#REF!</v>
      </c>
      <c r="I399" s="120" t="str">
        <f t="shared" si="104"/>
        <v>#REF!</v>
      </c>
    </row>
    <row r="400" ht="14.25" customHeight="1">
      <c r="A400" s="171" t="str">
        <f t="shared" ref="A400:I400" si="105">'2.16.'!A44</f>
        <v>#REF!</v>
      </c>
      <c r="B400" s="74" t="str">
        <f t="shared" si="105"/>
        <v>#REF!</v>
      </c>
      <c r="C400" s="74" t="str">
        <f t="shared" si="105"/>
        <v>#REF!</v>
      </c>
      <c r="D400" s="171" t="str">
        <f t="shared" si="105"/>
        <v>#REF!</v>
      </c>
      <c r="E400" s="171" t="str">
        <f t="shared" si="105"/>
        <v>#REF!</v>
      </c>
      <c r="F400" s="173" t="str">
        <f t="shared" si="105"/>
        <v>#REF!</v>
      </c>
      <c r="G400" s="184" t="str">
        <f t="shared" si="105"/>
        <v>#REF!</v>
      </c>
      <c r="H400" s="120" t="str">
        <f t="shared" si="105"/>
        <v>#REF!</v>
      </c>
      <c r="I400" s="120" t="str">
        <f t="shared" si="105"/>
        <v>#REF!</v>
      </c>
    </row>
    <row r="401" ht="14.25" customHeight="1">
      <c r="A401" s="171" t="str">
        <f t="shared" ref="A401:I401" si="106">'2.16.'!A45</f>
        <v>#REF!</v>
      </c>
      <c r="B401" s="74" t="str">
        <f t="shared" si="106"/>
        <v>#REF!</v>
      </c>
      <c r="C401" s="74" t="str">
        <f t="shared" si="106"/>
        <v>#REF!</v>
      </c>
      <c r="D401" s="171" t="str">
        <f t="shared" si="106"/>
        <v>#REF!</v>
      </c>
      <c r="E401" s="171" t="str">
        <f t="shared" si="106"/>
        <v>#REF!</v>
      </c>
      <c r="F401" s="173" t="str">
        <f t="shared" si="106"/>
        <v>#REF!</v>
      </c>
      <c r="G401" s="184" t="str">
        <f t="shared" si="106"/>
        <v>#REF!</v>
      </c>
      <c r="H401" s="120" t="str">
        <f t="shared" si="106"/>
        <v>#REF!</v>
      </c>
      <c r="I401" s="120" t="str">
        <f t="shared" si="106"/>
        <v>#REF!</v>
      </c>
    </row>
    <row r="402" ht="14.25" customHeight="1">
      <c r="A402" s="171" t="str">
        <f t="shared" ref="A402:I402" si="107">'2.16.'!A46</f>
        <v>#REF!</v>
      </c>
      <c r="B402" s="74" t="str">
        <f t="shared" si="107"/>
        <v>#REF!</v>
      </c>
      <c r="C402" s="74" t="str">
        <f t="shared" si="107"/>
        <v>#REF!</v>
      </c>
      <c r="D402" s="171" t="str">
        <f t="shared" si="107"/>
        <v>#REF!</v>
      </c>
      <c r="E402" s="171" t="str">
        <f t="shared" si="107"/>
        <v>#REF!</v>
      </c>
      <c r="F402" s="173" t="str">
        <f t="shared" si="107"/>
        <v>#REF!</v>
      </c>
      <c r="G402" s="184" t="str">
        <f t="shared" si="107"/>
        <v>#REF!</v>
      </c>
      <c r="H402" s="120" t="str">
        <f t="shared" si="107"/>
        <v>#REF!</v>
      </c>
      <c r="I402" s="120" t="str">
        <f t="shared" si="107"/>
        <v>#REF!</v>
      </c>
    </row>
    <row r="403" ht="14.25" customHeight="1">
      <c r="A403" s="127" t="str">
        <f t="shared" ref="A403:I403" si="108">'2.16.'!A47</f>
        <v>#REF!</v>
      </c>
      <c r="B403" s="127" t="str">
        <f t="shared" si="108"/>
        <v>#REF!</v>
      </c>
      <c r="C403" s="127" t="str">
        <f t="shared" si="108"/>
        <v>#REF!</v>
      </c>
      <c r="D403" s="127" t="str">
        <f t="shared" si="108"/>
        <v>#REF!</v>
      </c>
      <c r="E403" s="127" t="str">
        <f t="shared" si="108"/>
        <v>#REF!</v>
      </c>
      <c r="F403" s="126" t="str">
        <f t="shared" si="108"/>
        <v>#REF!</v>
      </c>
      <c r="G403" s="3" t="str">
        <f t="shared" si="108"/>
        <v>#REF!</v>
      </c>
      <c r="H403" s="120" t="str">
        <f t="shared" si="108"/>
        <v>#REF!</v>
      </c>
      <c r="I403" s="120" t="str">
        <f t="shared" si="108"/>
        <v>#REF!</v>
      </c>
    </row>
    <row r="404" ht="14.25" customHeight="1">
      <c r="A404" s="175" t="str">
        <f t="shared" ref="A404:I404" si="109">'2.16.'!A48</f>
        <v>#REF!</v>
      </c>
      <c r="B404" s="176" t="str">
        <f t="shared" si="109"/>
        <v>#REF!</v>
      </c>
      <c r="C404" s="176" t="str">
        <f t="shared" si="109"/>
        <v>#REF!</v>
      </c>
      <c r="D404" s="176" t="str">
        <f t="shared" si="109"/>
        <v>#REF!</v>
      </c>
      <c r="E404" s="176" t="str">
        <f t="shared" si="109"/>
        <v>#REF!</v>
      </c>
      <c r="F404" s="176" t="str">
        <f t="shared" si="109"/>
        <v>#REF!</v>
      </c>
      <c r="G404" s="177" t="str">
        <f t="shared" si="109"/>
        <v>#REF!</v>
      </c>
      <c r="H404" s="176" t="str">
        <f t="shared" si="109"/>
        <v>#REF!</v>
      </c>
      <c r="I404" s="178" t="str">
        <f t="shared" si="109"/>
        <v>#REF!</v>
      </c>
    </row>
    <row r="405" ht="14.25" customHeight="1">
      <c r="G405" s="3"/>
    </row>
    <row r="406" ht="14.25" customHeight="1">
      <c r="G406" s="3"/>
    </row>
    <row r="407" ht="14.25" customHeight="1">
      <c r="A407" s="168" t="str">
        <f t="shared" ref="A407:I407" si="110">'2.16.'!A67</f>
        <v>#REF!</v>
      </c>
      <c r="B407" s="76" t="str">
        <f t="shared" si="110"/>
        <v>#REF!</v>
      </c>
      <c r="C407" s="76" t="str">
        <f t="shared" si="110"/>
        <v>#REF!</v>
      </c>
      <c r="D407" s="76" t="str">
        <f t="shared" si="110"/>
        <v>#REF!</v>
      </c>
      <c r="E407" s="76" t="str">
        <f t="shared" si="110"/>
        <v>#REF!</v>
      </c>
      <c r="F407" s="76" t="str">
        <f t="shared" si="110"/>
        <v>#REF!</v>
      </c>
      <c r="G407" s="2" t="str">
        <f t="shared" si="110"/>
        <v>#REF!</v>
      </c>
      <c r="H407" s="76" t="str">
        <f t="shared" si="110"/>
        <v>#REF!</v>
      </c>
      <c r="I407" s="76" t="str">
        <f t="shared" si="110"/>
        <v>#REF!</v>
      </c>
    </row>
    <row r="408" ht="14.25" customHeight="1">
      <c r="A408" s="169" t="str">
        <f t="shared" ref="A408:I408" si="111">'2.16.'!A68</f>
        <v>#REF!</v>
      </c>
      <c r="B408" s="169" t="str">
        <f t="shared" si="111"/>
        <v>#REF!</v>
      </c>
      <c r="C408" s="169" t="str">
        <f t="shared" si="111"/>
        <v>#REF!</v>
      </c>
      <c r="D408" s="169" t="str">
        <f t="shared" si="111"/>
        <v>#REF!</v>
      </c>
      <c r="E408" s="169" t="str">
        <f t="shared" si="111"/>
        <v>#REF!</v>
      </c>
      <c r="F408" s="169" t="str">
        <f t="shared" si="111"/>
        <v>#REF!</v>
      </c>
      <c r="G408" s="4" t="str">
        <f t="shared" si="111"/>
        <v>#REF!</v>
      </c>
      <c r="H408" s="169" t="str">
        <f t="shared" si="111"/>
        <v>#REF!</v>
      </c>
      <c r="I408" s="169" t="str">
        <f t="shared" si="111"/>
        <v>#REF!</v>
      </c>
    </row>
    <row r="409" ht="14.25" customHeight="1">
      <c r="A409" s="171" t="str">
        <f t="shared" ref="A409:I409" si="112">'2.16.'!A69</f>
        <v>#REF!</v>
      </c>
      <c r="B409" s="74" t="str">
        <f t="shared" si="112"/>
        <v>#REF!</v>
      </c>
      <c r="C409" s="74" t="str">
        <f t="shared" si="112"/>
        <v>#REF!</v>
      </c>
      <c r="D409" s="171" t="str">
        <f t="shared" si="112"/>
        <v>#REF!</v>
      </c>
      <c r="E409" s="171" t="str">
        <f t="shared" si="112"/>
        <v>#REF!</v>
      </c>
      <c r="F409" s="173" t="str">
        <f t="shared" si="112"/>
        <v>#REF!</v>
      </c>
      <c r="G409" s="174" t="str">
        <f t="shared" si="112"/>
        <v>#REF!</v>
      </c>
      <c r="H409" s="120" t="str">
        <f t="shared" si="112"/>
        <v>#REF!</v>
      </c>
      <c r="I409" s="120" t="str">
        <f t="shared" si="112"/>
        <v>#REF!</v>
      </c>
    </row>
    <row r="410" ht="14.25" customHeight="1">
      <c r="A410" s="171" t="str">
        <f t="shared" ref="A410:I410" si="113">'2.16.'!A70</f>
        <v>#REF!</v>
      </c>
      <c r="B410" s="74" t="str">
        <f t="shared" si="113"/>
        <v>#REF!</v>
      </c>
      <c r="C410" s="74" t="str">
        <f t="shared" si="113"/>
        <v>#REF!</v>
      </c>
      <c r="D410" s="171" t="str">
        <f t="shared" si="113"/>
        <v>#REF!</v>
      </c>
      <c r="E410" s="171" t="str">
        <f t="shared" si="113"/>
        <v>#REF!</v>
      </c>
      <c r="F410" s="173" t="str">
        <f t="shared" si="113"/>
        <v>#REF!</v>
      </c>
      <c r="G410" s="174" t="str">
        <f t="shared" si="113"/>
        <v>#REF!</v>
      </c>
      <c r="H410" s="120" t="str">
        <f t="shared" si="113"/>
        <v>#REF!</v>
      </c>
      <c r="I410" s="120" t="str">
        <f t="shared" si="113"/>
        <v>#REF!</v>
      </c>
    </row>
    <row r="411" ht="14.25" customHeight="1">
      <c r="A411" s="171" t="str">
        <f t="shared" ref="A411:I411" si="114">'2.16.'!A71</f>
        <v>#REF!</v>
      </c>
      <c r="B411" s="74" t="str">
        <f t="shared" si="114"/>
        <v>#REF!</v>
      </c>
      <c r="C411" s="74" t="str">
        <f t="shared" si="114"/>
        <v>#REF!</v>
      </c>
      <c r="D411" s="171" t="str">
        <f t="shared" si="114"/>
        <v>#REF!</v>
      </c>
      <c r="E411" s="171" t="str">
        <f t="shared" si="114"/>
        <v>#REF!</v>
      </c>
      <c r="F411" s="173" t="str">
        <f t="shared" si="114"/>
        <v>#REF!</v>
      </c>
      <c r="G411" s="174" t="str">
        <f t="shared" si="114"/>
        <v>#REF!</v>
      </c>
      <c r="H411" s="120" t="str">
        <f t="shared" si="114"/>
        <v>#REF!</v>
      </c>
      <c r="I411" s="120" t="str">
        <f t="shared" si="114"/>
        <v>#REF!</v>
      </c>
    </row>
    <row r="412" ht="14.25" customHeight="1">
      <c r="A412" s="171" t="str">
        <f t="shared" ref="A412:I412" si="115">'2.16.'!A72</f>
        <v>#REF!</v>
      </c>
      <c r="B412" s="74" t="str">
        <f t="shared" si="115"/>
        <v>#REF!</v>
      </c>
      <c r="C412" s="74" t="str">
        <f t="shared" si="115"/>
        <v>#REF!</v>
      </c>
      <c r="D412" s="171" t="str">
        <f t="shared" si="115"/>
        <v>#REF!</v>
      </c>
      <c r="E412" s="171" t="str">
        <f t="shared" si="115"/>
        <v>#REF!</v>
      </c>
      <c r="F412" s="173" t="str">
        <f t="shared" si="115"/>
        <v>#REF!</v>
      </c>
      <c r="G412" s="174" t="str">
        <f t="shared" si="115"/>
        <v>#REF!</v>
      </c>
      <c r="H412" s="120" t="str">
        <f t="shared" si="115"/>
        <v>#REF!</v>
      </c>
      <c r="I412" s="120" t="str">
        <f t="shared" si="115"/>
        <v>#REF!</v>
      </c>
    </row>
    <row r="413" ht="14.25" customHeight="1">
      <c r="A413" s="171" t="str">
        <f t="shared" ref="A413:I413" si="116">'2.16.'!A73</f>
        <v>#REF!</v>
      </c>
      <c r="B413" s="74" t="str">
        <f t="shared" si="116"/>
        <v>#REF!</v>
      </c>
      <c r="C413" s="74" t="str">
        <f t="shared" si="116"/>
        <v>#REF!</v>
      </c>
      <c r="D413" s="171" t="str">
        <f t="shared" si="116"/>
        <v>#REF!</v>
      </c>
      <c r="E413" s="171" t="str">
        <f t="shared" si="116"/>
        <v>#REF!</v>
      </c>
      <c r="F413" s="173" t="str">
        <f t="shared" si="116"/>
        <v>#REF!</v>
      </c>
      <c r="G413" s="174" t="str">
        <f t="shared" si="116"/>
        <v>#REF!</v>
      </c>
      <c r="H413" s="120" t="str">
        <f t="shared" si="116"/>
        <v>#REF!</v>
      </c>
      <c r="I413" s="120" t="str">
        <f t="shared" si="116"/>
        <v>#REF!</v>
      </c>
    </row>
    <row r="414" ht="14.25" customHeight="1">
      <c r="A414" s="171" t="str">
        <f t="shared" ref="A414:I414" si="117">'2.16.'!A74</f>
        <v>#REF!</v>
      </c>
      <c r="B414" s="74" t="str">
        <f t="shared" si="117"/>
        <v>#REF!</v>
      </c>
      <c r="C414" s="74" t="str">
        <f t="shared" si="117"/>
        <v>#REF!</v>
      </c>
      <c r="D414" s="171" t="str">
        <f t="shared" si="117"/>
        <v>#REF!</v>
      </c>
      <c r="E414" s="171" t="str">
        <f t="shared" si="117"/>
        <v>#REF!</v>
      </c>
      <c r="F414" s="173" t="str">
        <f t="shared" si="117"/>
        <v>#REF!</v>
      </c>
      <c r="G414" s="174" t="str">
        <f t="shared" si="117"/>
        <v>#REF!</v>
      </c>
      <c r="H414" s="120" t="str">
        <f t="shared" si="117"/>
        <v>#REF!</v>
      </c>
      <c r="I414" s="120" t="str">
        <f t="shared" si="117"/>
        <v>#REF!</v>
      </c>
    </row>
    <row r="415" ht="14.25" customHeight="1">
      <c r="A415" s="127" t="str">
        <f t="shared" ref="A415:I415" si="118">'2.16.'!A75</f>
        <v>#REF!</v>
      </c>
      <c r="B415" s="127" t="str">
        <f t="shared" si="118"/>
        <v>#REF!</v>
      </c>
      <c r="C415" s="127" t="str">
        <f t="shared" si="118"/>
        <v>#REF!</v>
      </c>
      <c r="D415" s="127" t="str">
        <f t="shared" si="118"/>
        <v>#REF!</v>
      </c>
      <c r="E415" s="127" t="str">
        <f t="shared" si="118"/>
        <v>#REF!</v>
      </c>
      <c r="F415" s="126" t="str">
        <f t="shared" si="118"/>
        <v>#REF!</v>
      </c>
      <c r="G415" s="3" t="str">
        <f t="shared" si="118"/>
        <v>#REF!</v>
      </c>
      <c r="H415" s="120" t="str">
        <f t="shared" si="118"/>
        <v>#REF!</v>
      </c>
      <c r="I415" s="120" t="str">
        <f t="shared" si="118"/>
        <v>#REF!</v>
      </c>
    </row>
    <row r="416" ht="14.25" customHeight="1">
      <c r="A416" s="175" t="str">
        <f t="shared" ref="A416:I416" si="119">'2.16.'!A76</f>
        <v>#REF!</v>
      </c>
      <c r="B416" s="176" t="str">
        <f t="shared" si="119"/>
        <v>#REF!</v>
      </c>
      <c r="C416" s="176" t="str">
        <f t="shared" si="119"/>
        <v>#REF!</v>
      </c>
      <c r="D416" s="176" t="str">
        <f t="shared" si="119"/>
        <v>#REF!</v>
      </c>
      <c r="E416" s="176" t="str">
        <f t="shared" si="119"/>
        <v>#REF!</v>
      </c>
      <c r="F416" s="176" t="str">
        <f t="shared" si="119"/>
        <v>#REF!</v>
      </c>
      <c r="G416" s="177" t="str">
        <f t="shared" si="119"/>
        <v>#REF!</v>
      </c>
      <c r="H416" s="176" t="str">
        <f t="shared" si="119"/>
        <v>#REF!</v>
      </c>
      <c r="I416" s="178" t="str">
        <f t="shared" si="119"/>
        <v>#REF!</v>
      </c>
    </row>
    <row r="417" ht="15.75" customHeight="1">
      <c r="G417" s="3"/>
    </row>
    <row r="418" ht="15.75" customHeight="1">
      <c r="G418" s="3"/>
    </row>
    <row r="419" ht="23.25" customHeight="1">
      <c r="A419" s="162" t="str">
        <f>'2.17.'!A3</f>
        <v>#REF!</v>
      </c>
      <c r="B419" s="163" t="str">
        <f>'2.1.'!B419</f>
        <v>#REF!</v>
      </c>
      <c r="C419" s="164"/>
      <c r="D419" s="164"/>
      <c r="E419" s="164"/>
      <c r="F419" s="164"/>
      <c r="G419" s="165" t="str">
        <f t="shared" ref="G419:I419" si="120">'2.1.'!G419</f>
        <v>#REF!</v>
      </c>
      <c r="H419" s="166" t="str">
        <f t="shared" si="120"/>
        <v>#REF!</v>
      </c>
      <c r="I419" s="167" t="str">
        <f t="shared" si="120"/>
        <v>#REF!</v>
      </c>
    </row>
    <row r="420" ht="14.25" customHeight="1">
      <c r="G420" s="3"/>
    </row>
    <row r="421" ht="14.25" customHeight="1">
      <c r="A421" s="168" t="str">
        <f t="shared" ref="A421:I421" si="121">'2.17.'!A39</f>
        <v>#REF!</v>
      </c>
      <c r="B421" s="76" t="str">
        <f t="shared" si="121"/>
        <v>#REF!</v>
      </c>
      <c r="C421" s="76" t="str">
        <f t="shared" si="121"/>
        <v>#REF!</v>
      </c>
      <c r="D421" s="76" t="str">
        <f t="shared" si="121"/>
        <v>#REF!</v>
      </c>
      <c r="E421" s="76" t="str">
        <f t="shared" si="121"/>
        <v>#REF!</v>
      </c>
      <c r="F421" s="76" t="str">
        <f t="shared" si="121"/>
        <v>#REF!</v>
      </c>
      <c r="G421" s="2" t="str">
        <f t="shared" si="121"/>
        <v>#REF!</v>
      </c>
      <c r="H421" s="76" t="str">
        <f t="shared" si="121"/>
        <v>#REF!</v>
      </c>
      <c r="I421" s="76" t="str">
        <f t="shared" si="121"/>
        <v>#REF!</v>
      </c>
    </row>
    <row r="422" ht="14.25" customHeight="1">
      <c r="A422" s="169" t="str">
        <f t="shared" ref="A422:I422" si="122">'2.17.'!A40</f>
        <v>#REF!</v>
      </c>
      <c r="B422" s="169" t="str">
        <f t="shared" si="122"/>
        <v>#REF!</v>
      </c>
      <c r="C422" s="169" t="str">
        <f t="shared" si="122"/>
        <v>#REF!</v>
      </c>
      <c r="D422" s="169" t="str">
        <f t="shared" si="122"/>
        <v>#REF!</v>
      </c>
      <c r="E422" s="169" t="str">
        <f t="shared" si="122"/>
        <v>#REF!</v>
      </c>
      <c r="F422" s="169" t="str">
        <f t="shared" si="122"/>
        <v>#REF!</v>
      </c>
      <c r="G422" s="4" t="str">
        <f t="shared" si="122"/>
        <v>#REF!</v>
      </c>
      <c r="H422" s="169" t="str">
        <f t="shared" si="122"/>
        <v>#REF!</v>
      </c>
      <c r="I422" s="169" t="str">
        <f t="shared" si="122"/>
        <v>#REF!</v>
      </c>
    </row>
    <row r="423" ht="14.25" customHeight="1">
      <c r="A423" s="171" t="str">
        <f t="shared" ref="A423:I423" si="123">'2.17.'!A41</f>
        <v>#REF!</v>
      </c>
      <c r="B423" s="74" t="str">
        <f t="shared" si="123"/>
        <v>#REF!</v>
      </c>
      <c r="C423" s="74" t="str">
        <f t="shared" si="123"/>
        <v>#REF!</v>
      </c>
      <c r="D423" s="171" t="str">
        <f t="shared" si="123"/>
        <v>#REF!</v>
      </c>
      <c r="E423" s="171" t="str">
        <f t="shared" si="123"/>
        <v>#REF!</v>
      </c>
      <c r="F423" s="173" t="str">
        <f t="shared" si="123"/>
        <v>#REF!</v>
      </c>
      <c r="G423" s="184" t="str">
        <f t="shared" si="123"/>
        <v>#REF!</v>
      </c>
      <c r="H423" s="120" t="str">
        <f t="shared" si="123"/>
        <v>#REF!</v>
      </c>
      <c r="I423" s="120" t="str">
        <f t="shared" si="123"/>
        <v>#REF!</v>
      </c>
    </row>
    <row r="424" ht="14.25" customHeight="1">
      <c r="A424" s="171" t="str">
        <f t="shared" ref="A424:I424" si="124">'2.17.'!A42</f>
        <v>#REF!</v>
      </c>
      <c r="B424" s="74" t="str">
        <f t="shared" si="124"/>
        <v>#REF!</v>
      </c>
      <c r="C424" s="74" t="str">
        <f t="shared" si="124"/>
        <v>#REF!</v>
      </c>
      <c r="D424" s="171" t="str">
        <f t="shared" si="124"/>
        <v>#REF!</v>
      </c>
      <c r="E424" s="171" t="str">
        <f t="shared" si="124"/>
        <v>#REF!</v>
      </c>
      <c r="F424" s="173" t="str">
        <f t="shared" si="124"/>
        <v>#REF!</v>
      </c>
      <c r="G424" s="184" t="str">
        <f t="shared" si="124"/>
        <v>#REF!</v>
      </c>
      <c r="H424" s="120" t="str">
        <f t="shared" si="124"/>
        <v>#REF!</v>
      </c>
      <c r="I424" s="120" t="str">
        <f t="shared" si="124"/>
        <v>#REF!</v>
      </c>
    </row>
    <row r="425" ht="14.25" customHeight="1">
      <c r="A425" s="171" t="str">
        <f t="shared" ref="A425:I425" si="125">'2.17.'!A43</f>
        <v>#REF!</v>
      </c>
      <c r="B425" s="74" t="str">
        <f t="shared" si="125"/>
        <v>#REF!</v>
      </c>
      <c r="C425" s="74" t="str">
        <f t="shared" si="125"/>
        <v>#REF!</v>
      </c>
      <c r="D425" s="171" t="str">
        <f t="shared" si="125"/>
        <v>#REF!</v>
      </c>
      <c r="E425" s="171" t="str">
        <f t="shared" si="125"/>
        <v>#REF!</v>
      </c>
      <c r="F425" s="173" t="str">
        <f t="shared" si="125"/>
        <v>#REF!</v>
      </c>
      <c r="G425" s="184" t="str">
        <f t="shared" si="125"/>
        <v>#REF!</v>
      </c>
      <c r="H425" s="120" t="str">
        <f t="shared" si="125"/>
        <v>#REF!</v>
      </c>
      <c r="I425" s="120" t="str">
        <f t="shared" si="125"/>
        <v>#REF!</v>
      </c>
    </row>
    <row r="426" ht="14.25" customHeight="1">
      <c r="A426" s="171" t="str">
        <f t="shared" ref="A426:I426" si="126">'2.17.'!A44</f>
        <v>#REF!</v>
      </c>
      <c r="B426" s="74" t="str">
        <f t="shared" si="126"/>
        <v>#REF!</v>
      </c>
      <c r="C426" s="74" t="str">
        <f t="shared" si="126"/>
        <v>#REF!</v>
      </c>
      <c r="D426" s="171" t="str">
        <f t="shared" si="126"/>
        <v>#REF!</v>
      </c>
      <c r="E426" s="171" t="str">
        <f t="shared" si="126"/>
        <v>#REF!</v>
      </c>
      <c r="F426" s="173" t="str">
        <f t="shared" si="126"/>
        <v>#REF!</v>
      </c>
      <c r="G426" s="184" t="str">
        <f t="shared" si="126"/>
        <v>#REF!</v>
      </c>
      <c r="H426" s="120" t="str">
        <f t="shared" si="126"/>
        <v>#REF!</v>
      </c>
      <c r="I426" s="120" t="str">
        <f t="shared" si="126"/>
        <v>#REF!</v>
      </c>
    </row>
    <row r="427" ht="14.25" customHeight="1">
      <c r="A427" s="171" t="str">
        <f t="shared" ref="A427:I427" si="127">'2.17.'!A45</f>
        <v>#REF!</v>
      </c>
      <c r="B427" s="74" t="str">
        <f t="shared" si="127"/>
        <v>#REF!</v>
      </c>
      <c r="C427" s="74" t="str">
        <f t="shared" si="127"/>
        <v>#REF!</v>
      </c>
      <c r="D427" s="171" t="str">
        <f t="shared" si="127"/>
        <v>#REF!</v>
      </c>
      <c r="E427" s="171" t="str">
        <f t="shared" si="127"/>
        <v>#REF!</v>
      </c>
      <c r="F427" s="173" t="str">
        <f t="shared" si="127"/>
        <v>#REF!</v>
      </c>
      <c r="G427" s="184" t="str">
        <f t="shared" si="127"/>
        <v>#REF!</v>
      </c>
      <c r="H427" s="120" t="str">
        <f t="shared" si="127"/>
        <v>#REF!</v>
      </c>
      <c r="I427" s="120" t="str">
        <f t="shared" si="127"/>
        <v>#REF!</v>
      </c>
    </row>
    <row r="428" ht="14.25" customHeight="1">
      <c r="A428" s="171" t="str">
        <f t="shared" ref="A428:I428" si="128">'2.17.'!A46</f>
        <v>#REF!</v>
      </c>
      <c r="B428" s="74" t="str">
        <f t="shared" si="128"/>
        <v>#REF!</v>
      </c>
      <c r="C428" s="74" t="str">
        <f t="shared" si="128"/>
        <v>#REF!</v>
      </c>
      <c r="D428" s="171" t="str">
        <f t="shared" si="128"/>
        <v>#REF!</v>
      </c>
      <c r="E428" s="171" t="str">
        <f t="shared" si="128"/>
        <v>#REF!</v>
      </c>
      <c r="F428" s="173" t="str">
        <f t="shared" si="128"/>
        <v>#REF!</v>
      </c>
      <c r="G428" s="184" t="str">
        <f t="shared" si="128"/>
        <v>#REF!</v>
      </c>
      <c r="H428" s="120" t="str">
        <f t="shared" si="128"/>
        <v>#REF!</v>
      </c>
      <c r="I428" s="120" t="str">
        <f t="shared" si="128"/>
        <v>#REF!</v>
      </c>
    </row>
    <row r="429" ht="14.25" customHeight="1">
      <c r="A429" s="127" t="str">
        <f t="shared" ref="A429:I429" si="129">'2.17.'!A47</f>
        <v>#REF!</v>
      </c>
      <c r="B429" s="127" t="str">
        <f t="shared" si="129"/>
        <v>#REF!</v>
      </c>
      <c r="C429" s="127" t="str">
        <f t="shared" si="129"/>
        <v>#REF!</v>
      </c>
      <c r="D429" s="127" t="str">
        <f t="shared" si="129"/>
        <v>#REF!</v>
      </c>
      <c r="E429" s="127" t="str">
        <f t="shared" si="129"/>
        <v>#REF!</v>
      </c>
      <c r="F429" s="126" t="str">
        <f t="shared" si="129"/>
        <v>#REF!</v>
      </c>
      <c r="G429" s="3" t="str">
        <f t="shared" si="129"/>
        <v>#REF!</v>
      </c>
      <c r="H429" s="120" t="str">
        <f t="shared" si="129"/>
        <v>#REF!</v>
      </c>
      <c r="I429" s="120" t="str">
        <f t="shared" si="129"/>
        <v>#REF!</v>
      </c>
    </row>
    <row r="430" ht="14.25" customHeight="1">
      <c r="A430" s="175" t="str">
        <f t="shared" ref="A430:I430" si="130">'2.17.'!A48</f>
        <v>#REF!</v>
      </c>
      <c r="B430" s="176" t="str">
        <f t="shared" si="130"/>
        <v>#REF!</v>
      </c>
      <c r="C430" s="176" t="str">
        <f t="shared" si="130"/>
        <v>#REF!</v>
      </c>
      <c r="D430" s="176" t="str">
        <f t="shared" si="130"/>
        <v>#REF!</v>
      </c>
      <c r="E430" s="176" t="str">
        <f t="shared" si="130"/>
        <v>#REF!</v>
      </c>
      <c r="F430" s="176" t="str">
        <f t="shared" si="130"/>
        <v>#REF!</v>
      </c>
      <c r="G430" s="177" t="str">
        <f t="shared" si="130"/>
        <v>#REF!</v>
      </c>
      <c r="H430" s="176" t="str">
        <f t="shared" si="130"/>
        <v>#REF!</v>
      </c>
      <c r="I430" s="178" t="str">
        <f t="shared" si="130"/>
        <v>#REF!</v>
      </c>
    </row>
    <row r="431" ht="14.25" customHeight="1">
      <c r="G431" s="3"/>
    </row>
    <row r="432" ht="14.25" customHeight="1">
      <c r="G432" s="3"/>
    </row>
    <row r="433" ht="14.25" customHeight="1">
      <c r="A433" s="168" t="str">
        <f t="shared" ref="A433:I433" si="131">'2.17.'!A67</f>
        <v>#REF!</v>
      </c>
      <c r="B433" s="76" t="str">
        <f t="shared" si="131"/>
        <v>#REF!</v>
      </c>
      <c r="C433" s="76" t="str">
        <f t="shared" si="131"/>
        <v>#REF!</v>
      </c>
      <c r="D433" s="76" t="str">
        <f t="shared" si="131"/>
        <v>#REF!</v>
      </c>
      <c r="E433" s="76" t="str">
        <f t="shared" si="131"/>
        <v>#REF!</v>
      </c>
      <c r="F433" s="76" t="str">
        <f t="shared" si="131"/>
        <v>#REF!</v>
      </c>
      <c r="G433" s="2" t="str">
        <f t="shared" si="131"/>
        <v>#REF!</v>
      </c>
      <c r="H433" s="76" t="str">
        <f t="shared" si="131"/>
        <v>#REF!</v>
      </c>
      <c r="I433" s="76" t="str">
        <f t="shared" si="131"/>
        <v>#REF!</v>
      </c>
    </row>
    <row r="434" ht="14.25" customHeight="1">
      <c r="A434" s="169" t="str">
        <f t="shared" ref="A434:I434" si="132">'2.17.'!A68</f>
        <v>#REF!</v>
      </c>
      <c r="B434" s="169" t="str">
        <f t="shared" si="132"/>
        <v>#REF!</v>
      </c>
      <c r="C434" s="169" t="str">
        <f t="shared" si="132"/>
        <v>#REF!</v>
      </c>
      <c r="D434" s="169" t="str">
        <f t="shared" si="132"/>
        <v>#REF!</v>
      </c>
      <c r="E434" s="169" t="str">
        <f t="shared" si="132"/>
        <v>#REF!</v>
      </c>
      <c r="F434" s="169" t="str">
        <f t="shared" si="132"/>
        <v>#REF!</v>
      </c>
      <c r="G434" s="4" t="str">
        <f t="shared" si="132"/>
        <v>#REF!</v>
      </c>
      <c r="H434" s="169" t="str">
        <f t="shared" si="132"/>
        <v>#REF!</v>
      </c>
      <c r="I434" s="169" t="str">
        <f t="shared" si="132"/>
        <v>#REF!</v>
      </c>
    </row>
    <row r="435" ht="14.25" customHeight="1">
      <c r="A435" s="171" t="str">
        <f t="shared" ref="A435:I435" si="133">'2.17.'!A69</f>
        <v>#REF!</v>
      </c>
      <c r="B435" s="74" t="str">
        <f t="shared" si="133"/>
        <v>#REF!</v>
      </c>
      <c r="C435" s="74" t="str">
        <f t="shared" si="133"/>
        <v>#REF!</v>
      </c>
      <c r="D435" s="171" t="str">
        <f t="shared" si="133"/>
        <v>#REF!</v>
      </c>
      <c r="E435" s="171" t="str">
        <f t="shared" si="133"/>
        <v>#REF!</v>
      </c>
      <c r="F435" s="173" t="str">
        <f t="shared" si="133"/>
        <v>#REF!</v>
      </c>
      <c r="G435" s="174" t="str">
        <f t="shared" si="133"/>
        <v>#REF!</v>
      </c>
      <c r="H435" s="120" t="str">
        <f t="shared" si="133"/>
        <v>#REF!</v>
      </c>
      <c r="I435" s="120" t="str">
        <f t="shared" si="133"/>
        <v>#REF!</v>
      </c>
    </row>
    <row r="436" ht="14.25" customHeight="1">
      <c r="A436" s="171" t="str">
        <f t="shared" ref="A436:I436" si="134">'2.17.'!A70</f>
        <v>#REF!</v>
      </c>
      <c r="B436" s="74" t="str">
        <f t="shared" si="134"/>
        <v>#REF!</v>
      </c>
      <c r="C436" s="74" t="str">
        <f t="shared" si="134"/>
        <v>#REF!</v>
      </c>
      <c r="D436" s="171" t="str">
        <f t="shared" si="134"/>
        <v>#REF!</v>
      </c>
      <c r="E436" s="171" t="str">
        <f t="shared" si="134"/>
        <v>#REF!</v>
      </c>
      <c r="F436" s="173" t="str">
        <f t="shared" si="134"/>
        <v>#REF!</v>
      </c>
      <c r="G436" s="174" t="str">
        <f t="shared" si="134"/>
        <v>#REF!</v>
      </c>
      <c r="H436" s="120" t="str">
        <f t="shared" si="134"/>
        <v>#REF!</v>
      </c>
      <c r="I436" s="120" t="str">
        <f t="shared" si="134"/>
        <v>#REF!</v>
      </c>
    </row>
    <row r="437" ht="14.25" customHeight="1">
      <c r="A437" s="171" t="str">
        <f t="shared" ref="A437:I437" si="135">'2.17.'!A71</f>
        <v>#REF!</v>
      </c>
      <c r="B437" s="74" t="str">
        <f t="shared" si="135"/>
        <v>#REF!</v>
      </c>
      <c r="C437" s="74" t="str">
        <f t="shared" si="135"/>
        <v>#REF!</v>
      </c>
      <c r="D437" s="171" t="str">
        <f t="shared" si="135"/>
        <v>#REF!</v>
      </c>
      <c r="E437" s="171" t="str">
        <f t="shared" si="135"/>
        <v>#REF!</v>
      </c>
      <c r="F437" s="173" t="str">
        <f t="shared" si="135"/>
        <v>#REF!</v>
      </c>
      <c r="G437" s="174" t="str">
        <f t="shared" si="135"/>
        <v>#REF!</v>
      </c>
      <c r="H437" s="120" t="str">
        <f t="shared" si="135"/>
        <v>#REF!</v>
      </c>
      <c r="I437" s="120" t="str">
        <f t="shared" si="135"/>
        <v>#REF!</v>
      </c>
    </row>
    <row r="438" ht="14.25" customHeight="1">
      <c r="A438" s="171" t="str">
        <f t="shared" ref="A438:I438" si="136">'2.17.'!A72</f>
        <v>#REF!</v>
      </c>
      <c r="B438" s="74" t="str">
        <f t="shared" si="136"/>
        <v>#REF!</v>
      </c>
      <c r="C438" s="74" t="str">
        <f t="shared" si="136"/>
        <v>#REF!</v>
      </c>
      <c r="D438" s="171" t="str">
        <f t="shared" si="136"/>
        <v>#REF!</v>
      </c>
      <c r="E438" s="171" t="str">
        <f t="shared" si="136"/>
        <v>#REF!</v>
      </c>
      <c r="F438" s="173" t="str">
        <f t="shared" si="136"/>
        <v>#REF!</v>
      </c>
      <c r="G438" s="174" t="str">
        <f t="shared" si="136"/>
        <v>#REF!</v>
      </c>
      <c r="H438" s="120" t="str">
        <f t="shared" si="136"/>
        <v>#REF!</v>
      </c>
      <c r="I438" s="120" t="str">
        <f t="shared" si="136"/>
        <v>#REF!</v>
      </c>
    </row>
    <row r="439" ht="14.25" customHeight="1">
      <c r="A439" s="171" t="str">
        <f t="shared" ref="A439:I439" si="137">'2.17.'!A73</f>
        <v>#REF!</v>
      </c>
      <c r="B439" s="74" t="str">
        <f t="shared" si="137"/>
        <v>#REF!</v>
      </c>
      <c r="C439" s="74" t="str">
        <f t="shared" si="137"/>
        <v>#REF!</v>
      </c>
      <c r="D439" s="171" t="str">
        <f t="shared" si="137"/>
        <v>#REF!</v>
      </c>
      <c r="E439" s="171" t="str">
        <f t="shared" si="137"/>
        <v>#REF!</v>
      </c>
      <c r="F439" s="173" t="str">
        <f t="shared" si="137"/>
        <v>#REF!</v>
      </c>
      <c r="G439" s="174" t="str">
        <f t="shared" si="137"/>
        <v>#REF!</v>
      </c>
      <c r="H439" s="120" t="str">
        <f t="shared" si="137"/>
        <v>#REF!</v>
      </c>
      <c r="I439" s="120" t="str">
        <f t="shared" si="137"/>
        <v>#REF!</v>
      </c>
    </row>
    <row r="440" ht="14.25" customHeight="1">
      <c r="A440" s="171" t="str">
        <f t="shared" ref="A440:I440" si="138">'2.17.'!A74</f>
        <v>#REF!</v>
      </c>
      <c r="B440" s="74" t="str">
        <f t="shared" si="138"/>
        <v>#REF!</v>
      </c>
      <c r="C440" s="74" t="str">
        <f t="shared" si="138"/>
        <v>#REF!</v>
      </c>
      <c r="D440" s="171" t="str">
        <f t="shared" si="138"/>
        <v>#REF!</v>
      </c>
      <c r="E440" s="171" t="str">
        <f t="shared" si="138"/>
        <v>#REF!</v>
      </c>
      <c r="F440" s="173" t="str">
        <f t="shared" si="138"/>
        <v>#REF!</v>
      </c>
      <c r="G440" s="174" t="str">
        <f t="shared" si="138"/>
        <v>#REF!</v>
      </c>
      <c r="H440" s="120" t="str">
        <f t="shared" si="138"/>
        <v>#REF!</v>
      </c>
      <c r="I440" s="120" t="str">
        <f t="shared" si="138"/>
        <v>#REF!</v>
      </c>
    </row>
    <row r="441" ht="14.25" customHeight="1">
      <c r="A441" s="127" t="str">
        <f t="shared" ref="A441:I441" si="139">'2.17.'!A75</f>
        <v>#REF!</v>
      </c>
      <c r="B441" s="127" t="str">
        <f t="shared" si="139"/>
        <v>#REF!</v>
      </c>
      <c r="C441" s="127" t="str">
        <f t="shared" si="139"/>
        <v>#REF!</v>
      </c>
      <c r="D441" s="127" t="str">
        <f t="shared" si="139"/>
        <v>#REF!</v>
      </c>
      <c r="E441" s="127" t="str">
        <f t="shared" si="139"/>
        <v>#REF!</v>
      </c>
      <c r="F441" s="126" t="str">
        <f t="shared" si="139"/>
        <v>#REF!</v>
      </c>
      <c r="G441" s="3" t="str">
        <f t="shared" si="139"/>
        <v>#REF!</v>
      </c>
      <c r="H441" s="120" t="str">
        <f t="shared" si="139"/>
        <v>#REF!</v>
      </c>
      <c r="I441" s="120" t="str">
        <f t="shared" si="139"/>
        <v>#REF!</v>
      </c>
    </row>
    <row r="442" ht="14.25" customHeight="1">
      <c r="A442" s="175" t="str">
        <f t="shared" ref="A442:I442" si="140">'2.17.'!A76</f>
        <v>#REF!</v>
      </c>
      <c r="B442" s="176" t="str">
        <f t="shared" si="140"/>
        <v>#REF!</v>
      </c>
      <c r="C442" s="176" t="str">
        <f t="shared" si="140"/>
        <v>#REF!</v>
      </c>
      <c r="D442" s="176" t="str">
        <f t="shared" si="140"/>
        <v>#REF!</v>
      </c>
      <c r="E442" s="176" t="str">
        <f t="shared" si="140"/>
        <v>#REF!</v>
      </c>
      <c r="F442" s="176" t="str">
        <f t="shared" si="140"/>
        <v>#REF!</v>
      </c>
      <c r="G442" s="177" t="str">
        <f t="shared" si="140"/>
        <v>#REF!</v>
      </c>
      <c r="H442" s="176" t="str">
        <f t="shared" si="140"/>
        <v>#REF!</v>
      </c>
      <c r="I442" s="178" t="str">
        <f t="shared" si="140"/>
        <v>#REF!</v>
      </c>
    </row>
    <row r="443" ht="15.75" customHeight="1">
      <c r="G443" s="3"/>
    </row>
    <row r="444" ht="15.75" customHeight="1">
      <c r="G444" s="3"/>
    </row>
    <row r="445" ht="23.25" customHeight="1">
      <c r="A445" s="162" t="str">
        <f>'2.18.'!A3</f>
        <v>#REF!</v>
      </c>
      <c r="B445" s="163" t="str">
        <f>'2.1.'!B445</f>
        <v>#REF!</v>
      </c>
      <c r="C445" s="164"/>
      <c r="D445" s="164"/>
      <c r="E445" s="164"/>
      <c r="F445" s="164"/>
      <c r="G445" s="165" t="str">
        <f t="shared" ref="G445:I445" si="141">'2.1.'!G445</f>
        <v>#REF!</v>
      </c>
      <c r="H445" s="166" t="str">
        <f t="shared" si="141"/>
        <v>#REF!</v>
      </c>
      <c r="I445" s="167" t="str">
        <f t="shared" si="141"/>
        <v>#REF!</v>
      </c>
    </row>
    <row r="446" ht="14.25" customHeight="1">
      <c r="G446" s="3"/>
    </row>
    <row r="447" ht="14.25" customHeight="1">
      <c r="A447" s="168" t="str">
        <f t="shared" ref="A447:I447" si="142">'2.18.'!A39</f>
        <v>#REF!</v>
      </c>
      <c r="B447" s="76" t="str">
        <f t="shared" si="142"/>
        <v>#REF!</v>
      </c>
      <c r="C447" s="76" t="str">
        <f t="shared" si="142"/>
        <v>#REF!</v>
      </c>
      <c r="D447" s="76" t="str">
        <f t="shared" si="142"/>
        <v>#REF!</v>
      </c>
      <c r="E447" s="76" t="str">
        <f t="shared" si="142"/>
        <v>#REF!</v>
      </c>
      <c r="F447" s="76" t="str">
        <f t="shared" si="142"/>
        <v>#REF!</v>
      </c>
      <c r="G447" s="2" t="str">
        <f t="shared" si="142"/>
        <v>#REF!</v>
      </c>
      <c r="H447" s="76" t="str">
        <f t="shared" si="142"/>
        <v>#REF!</v>
      </c>
      <c r="I447" s="76" t="str">
        <f t="shared" si="142"/>
        <v>#REF!</v>
      </c>
    </row>
    <row r="448" ht="14.25" customHeight="1">
      <c r="A448" s="169" t="str">
        <f t="shared" ref="A448:I448" si="143">'2.18.'!A40</f>
        <v>#REF!</v>
      </c>
      <c r="B448" s="169" t="str">
        <f t="shared" si="143"/>
        <v>#REF!</v>
      </c>
      <c r="C448" s="169" t="str">
        <f t="shared" si="143"/>
        <v>#REF!</v>
      </c>
      <c r="D448" s="169" t="str">
        <f t="shared" si="143"/>
        <v>#REF!</v>
      </c>
      <c r="E448" s="169" t="str">
        <f t="shared" si="143"/>
        <v>#REF!</v>
      </c>
      <c r="F448" s="169" t="str">
        <f t="shared" si="143"/>
        <v>#REF!</v>
      </c>
      <c r="G448" s="4" t="str">
        <f t="shared" si="143"/>
        <v>#REF!</v>
      </c>
      <c r="H448" s="169" t="str">
        <f t="shared" si="143"/>
        <v>#REF!</v>
      </c>
      <c r="I448" s="169" t="str">
        <f t="shared" si="143"/>
        <v>#REF!</v>
      </c>
    </row>
    <row r="449" ht="14.25" customHeight="1">
      <c r="A449" s="171" t="str">
        <f t="shared" ref="A449:I449" si="144">'2.18.'!A41</f>
        <v>#REF!</v>
      </c>
      <c r="B449" s="74" t="str">
        <f t="shared" si="144"/>
        <v>#REF!</v>
      </c>
      <c r="C449" s="74" t="str">
        <f t="shared" si="144"/>
        <v>#REF!</v>
      </c>
      <c r="D449" s="171" t="str">
        <f t="shared" si="144"/>
        <v>#REF!</v>
      </c>
      <c r="E449" s="171" t="str">
        <f t="shared" si="144"/>
        <v>#REF!</v>
      </c>
      <c r="F449" s="173" t="str">
        <f t="shared" si="144"/>
        <v>#REF!</v>
      </c>
      <c r="G449" s="184" t="str">
        <f t="shared" si="144"/>
        <v>#REF!</v>
      </c>
      <c r="H449" s="120" t="str">
        <f t="shared" si="144"/>
        <v>#REF!</v>
      </c>
      <c r="I449" s="120" t="str">
        <f t="shared" si="144"/>
        <v>#REF!</v>
      </c>
    </row>
    <row r="450" ht="14.25" customHeight="1">
      <c r="A450" s="171" t="str">
        <f t="shared" ref="A450:I450" si="145">'2.18.'!A42</f>
        <v>#REF!</v>
      </c>
      <c r="B450" s="74" t="str">
        <f t="shared" si="145"/>
        <v>#REF!</v>
      </c>
      <c r="C450" s="74" t="str">
        <f t="shared" si="145"/>
        <v>#REF!</v>
      </c>
      <c r="D450" s="171" t="str">
        <f t="shared" si="145"/>
        <v>#REF!</v>
      </c>
      <c r="E450" s="171" t="str">
        <f t="shared" si="145"/>
        <v>#REF!</v>
      </c>
      <c r="F450" s="173" t="str">
        <f t="shared" si="145"/>
        <v>#REF!</v>
      </c>
      <c r="G450" s="184" t="str">
        <f t="shared" si="145"/>
        <v>#REF!</v>
      </c>
      <c r="H450" s="120" t="str">
        <f t="shared" si="145"/>
        <v>#REF!</v>
      </c>
      <c r="I450" s="120" t="str">
        <f t="shared" si="145"/>
        <v>#REF!</v>
      </c>
    </row>
    <row r="451" ht="14.25" customHeight="1">
      <c r="A451" s="171" t="str">
        <f t="shared" ref="A451:I451" si="146">'2.18.'!A43</f>
        <v>#REF!</v>
      </c>
      <c r="B451" s="74" t="str">
        <f t="shared" si="146"/>
        <v>#REF!</v>
      </c>
      <c r="C451" s="74" t="str">
        <f t="shared" si="146"/>
        <v>#REF!</v>
      </c>
      <c r="D451" s="171" t="str">
        <f t="shared" si="146"/>
        <v>#REF!</v>
      </c>
      <c r="E451" s="171" t="str">
        <f t="shared" si="146"/>
        <v>#REF!</v>
      </c>
      <c r="F451" s="173" t="str">
        <f t="shared" si="146"/>
        <v>#REF!</v>
      </c>
      <c r="G451" s="184" t="str">
        <f t="shared" si="146"/>
        <v>#REF!</v>
      </c>
      <c r="H451" s="120" t="str">
        <f t="shared" si="146"/>
        <v>#REF!</v>
      </c>
      <c r="I451" s="120" t="str">
        <f t="shared" si="146"/>
        <v>#REF!</v>
      </c>
    </row>
    <row r="452" ht="14.25" customHeight="1">
      <c r="A452" s="171" t="str">
        <f t="shared" ref="A452:I452" si="147">'2.18.'!A44</f>
        <v>#REF!</v>
      </c>
      <c r="B452" s="74" t="str">
        <f t="shared" si="147"/>
        <v>#REF!</v>
      </c>
      <c r="C452" s="74" t="str">
        <f t="shared" si="147"/>
        <v>#REF!</v>
      </c>
      <c r="D452" s="171" t="str">
        <f t="shared" si="147"/>
        <v>#REF!</v>
      </c>
      <c r="E452" s="171" t="str">
        <f t="shared" si="147"/>
        <v>#REF!</v>
      </c>
      <c r="F452" s="173" t="str">
        <f t="shared" si="147"/>
        <v>#REF!</v>
      </c>
      <c r="G452" s="184" t="str">
        <f t="shared" si="147"/>
        <v>#REF!</v>
      </c>
      <c r="H452" s="120" t="str">
        <f t="shared" si="147"/>
        <v>#REF!</v>
      </c>
      <c r="I452" s="120" t="str">
        <f t="shared" si="147"/>
        <v>#REF!</v>
      </c>
    </row>
    <row r="453" ht="14.25" customHeight="1">
      <c r="A453" s="171" t="str">
        <f t="shared" ref="A453:I453" si="148">'2.18.'!A45</f>
        <v>#REF!</v>
      </c>
      <c r="B453" s="74" t="str">
        <f t="shared" si="148"/>
        <v>#REF!</v>
      </c>
      <c r="C453" s="74" t="str">
        <f t="shared" si="148"/>
        <v>#REF!</v>
      </c>
      <c r="D453" s="171" t="str">
        <f t="shared" si="148"/>
        <v>#REF!</v>
      </c>
      <c r="E453" s="171" t="str">
        <f t="shared" si="148"/>
        <v>#REF!</v>
      </c>
      <c r="F453" s="173" t="str">
        <f t="shared" si="148"/>
        <v>#REF!</v>
      </c>
      <c r="G453" s="184" t="str">
        <f t="shared" si="148"/>
        <v>#REF!</v>
      </c>
      <c r="H453" s="120" t="str">
        <f t="shared" si="148"/>
        <v>#REF!</v>
      </c>
      <c r="I453" s="120" t="str">
        <f t="shared" si="148"/>
        <v>#REF!</v>
      </c>
    </row>
    <row r="454" ht="14.25" customHeight="1">
      <c r="A454" s="171" t="str">
        <f t="shared" ref="A454:I454" si="149">'2.18.'!A46</f>
        <v>#REF!</v>
      </c>
      <c r="B454" s="74" t="str">
        <f t="shared" si="149"/>
        <v>#REF!</v>
      </c>
      <c r="C454" s="74" t="str">
        <f t="shared" si="149"/>
        <v>#REF!</v>
      </c>
      <c r="D454" s="171" t="str">
        <f t="shared" si="149"/>
        <v>#REF!</v>
      </c>
      <c r="E454" s="171" t="str">
        <f t="shared" si="149"/>
        <v>#REF!</v>
      </c>
      <c r="F454" s="173" t="str">
        <f t="shared" si="149"/>
        <v>#REF!</v>
      </c>
      <c r="G454" s="184" t="str">
        <f t="shared" si="149"/>
        <v>#REF!</v>
      </c>
      <c r="H454" s="120" t="str">
        <f t="shared" si="149"/>
        <v>#REF!</v>
      </c>
      <c r="I454" s="120" t="str">
        <f t="shared" si="149"/>
        <v>#REF!</v>
      </c>
    </row>
    <row r="455" ht="14.25" customHeight="1">
      <c r="A455" s="127" t="str">
        <f t="shared" ref="A455:I455" si="150">'2.18.'!A47</f>
        <v>#REF!</v>
      </c>
      <c r="B455" s="127" t="str">
        <f t="shared" si="150"/>
        <v>#REF!</v>
      </c>
      <c r="C455" s="127" t="str">
        <f t="shared" si="150"/>
        <v>#REF!</v>
      </c>
      <c r="D455" s="127" t="str">
        <f t="shared" si="150"/>
        <v>#REF!</v>
      </c>
      <c r="E455" s="127" t="str">
        <f t="shared" si="150"/>
        <v>#REF!</v>
      </c>
      <c r="F455" s="126" t="str">
        <f t="shared" si="150"/>
        <v>#REF!</v>
      </c>
      <c r="G455" s="3" t="str">
        <f t="shared" si="150"/>
        <v>#REF!</v>
      </c>
      <c r="H455" s="120" t="str">
        <f t="shared" si="150"/>
        <v>#REF!</v>
      </c>
      <c r="I455" s="120" t="str">
        <f t="shared" si="150"/>
        <v>#REF!</v>
      </c>
    </row>
    <row r="456" ht="14.25" customHeight="1">
      <c r="A456" s="175" t="str">
        <f t="shared" ref="A456:I456" si="151">'2.18.'!A48</f>
        <v>#REF!</v>
      </c>
      <c r="B456" s="176" t="str">
        <f t="shared" si="151"/>
        <v>#REF!</v>
      </c>
      <c r="C456" s="176" t="str">
        <f t="shared" si="151"/>
        <v>#REF!</v>
      </c>
      <c r="D456" s="176" t="str">
        <f t="shared" si="151"/>
        <v>#REF!</v>
      </c>
      <c r="E456" s="176" t="str">
        <f t="shared" si="151"/>
        <v>#REF!</v>
      </c>
      <c r="F456" s="176" t="str">
        <f t="shared" si="151"/>
        <v>#REF!</v>
      </c>
      <c r="G456" s="177" t="str">
        <f t="shared" si="151"/>
        <v>#REF!</v>
      </c>
      <c r="H456" s="176" t="str">
        <f t="shared" si="151"/>
        <v>#REF!</v>
      </c>
      <c r="I456" s="178" t="str">
        <f t="shared" si="151"/>
        <v>#REF!</v>
      </c>
    </row>
    <row r="457" ht="14.25" customHeight="1">
      <c r="G457" s="3"/>
    </row>
    <row r="458" ht="14.25" customHeight="1">
      <c r="G458" s="3"/>
    </row>
    <row r="459" ht="14.25" customHeight="1">
      <c r="A459" s="168" t="str">
        <f t="shared" ref="A459:I459" si="152">'2.18.'!A67</f>
        <v>#REF!</v>
      </c>
      <c r="B459" s="76" t="str">
        <f t="shared" si="152"/>
        <v>#REF!</v>
      </c>
      <c r="C459" s="76" t="str">
        <f t="shared" si="152"/>
        <v>#REF!</v>
      </c>
      <c r="D459" s="76" t="str">
        <f t="shared" si="152"/>
        <v>#REF!</v>
      </c>
      <c r="E459" s="76" t="str">
        <f t="shared" si="152"/>
        <v>#REF!</v>
      </c>
      <c r="F459" s="76" t="str">
        <f t="shared" si="152"/>
        <v>#REF!</v>
      </c>
      <c r="G459" s="2" t="str">
        <f t="shared" si="152"/>
        <v>#REF!</v>
      </c>
      <c r="H459" s="76" t="str">
        <f t="shared" si="152"/>
        <v>#REF!</v>
      </c>
      <c r="I459" s="76" t="str">
        <f t="shared" si="152"/>
        <v>#REF!</v>
      </c>
    </row>
    <row r="460" ht="14.25" customHeight="1">
      <c r="A460" s="169" t="str">
        <f t="shared" ref="A460:I460" si="153">'2.18.'!A68</f>
        <v>#REF!</v>
      </c>
      <c r="B460" s="169" t="str">
        <f t="shared" si="153"/>
        <v>#REF!</v>
      </c>
      <c r="C460" s="169" t="str">
        <f t="shared" si="153"/>
        <v>#REF!</v>
      </c>
      <c r="D460" s="169" t="str">
        <f t="shared" si="153"/>
        <v>#REF!</v>
      </c>
      <c r="E460" s="169" t="str">
        <f t="shared" si="153"/>
        <v>#REF!</v>
      </c>
      <c r="F460" s="169" t="str">
        <f t="shared" si="153"/>
        <v>#REF!</v>
      </c>
      <c r="G460" s="4" t="str">
        <f t="shared" si="153"/>
        <v>#REF!</v>
      </c>
      <c r="H460" s="169" t="str">
        <f t="shared" si="153"/>
        <v>#REF!</v>
      </c>
      <c r="I460" s="169" t="str">
        <f t="shared" si="153"/>
        <v>#REF!</v>
      </c>
    </row>
    <row r="461" ht="14.25" customHeight="1">
      <c r="A461" s="171" t="str">
        <f t="shared" ref="A461:I461" si="154">'2.18.'!A69</f>
        <v>#REF!</v>
      </c>
      <c r="B461" s="74" t="str">
        <f t="shared" si="154"/>
        <v>#REF!</v>
      </c>
      <c r="C461" s="74" t="str">
        <f t="shared" si="154"/>
        <v>#REF!</v>
      </c>
      <c r="D461" s="171" t="str">
        <f t="shared" si="154"/>
        <v>#REF!</v>
      </c>
      <c r="E461" s="171" t="str">
        <f t="shared" si="154"/>
        <v>#REF!</v>
      </c>
      <c r="F461" s="173" t="str">
        <f t="shared" si="154"/>
        <v>#REF!</v>
      </c>
      <c r="G461" s="174" t="str">
        <f t="shared" si="154"/>
        <v>#REF!</v>
      </c>
      <c r="H461" s="120" t="str">
        <f t="shared" si="154"/>
        <v>#REF!</v>
      </c>
      <c r="I461" s="120" t="str">
        <f t="shared" si="154"/>
        <v>#REF!</v>
      </c>
    </row>
    <row r="462" ht="14.25" customHeight="1">
      <c r="A462" s="171" t="str">
        <f t="shared" ref="A462:I462" si="155">'2.18.'!A70</f>
        <v>#REF!</v>
      </c>
      <c r="B462" s="74" t="str">
        <f t="shared" si="155"/>
        <v>#REF!</v>
      </c>
      <c r="C462" s="74" t="str">
        <f t="shared" si="155"/>
        <v>#REF!</v>
      </c>
      <c r="D462" s="171" t="str">
        <f t="shared" si="155"/>
        <v>#REF!</v>
      </c>
      <c r="E462" s="171" t="str">
        <f t="shared" si="155"/>
        <v>#REF!</v>
      </c>
      <c r="F462" s="173" t="str">
        <f t="shared" si="155"/>
        <v>#REF!</v>
      </c>
      <c r="G462" s="174" t="str">
        <f t="shared" si="155"/>
        <v>#REF!</v>
      </c>
      <c r="H462" s="120" t="str">
        <f t="shared" si="155"/>
        <v>#REF!</v>
      </c>
      <c r="I462" s="120" t="str">
        <f t="shared" si="155"/>
        <v>#REF!</v>
      </c>
    </row>
    <row r="463" ht="14.25" customHeight="1">
      <c r="A463" s="171" t="str">
        <f t="shared" ref="A463:I463" si="156">'2.18.'!A71</f>
        <v>#REF!</v>
      </c>
      <c r="B463" s="74" t="str">
        <f t="shared" si="156"/>
        <v>#REF!</v>
      </c>
      <c r="C463" s="74" t="str">
        <f t="shared" si="156"/>
        <v>#REF!</v>
      </c>
      <c r="D463" s="171" t="str">
        <f t="shared" si="156"/>
        <v>#REF!</v>
      </c>
      <c r="E463" s="171" t="str">
        <f t="shared" si="156"/>
        <v>#REF!</v>
      </c>
      <c r="F463" s="173" t="str">
        <f t="shared" si="156"/>
        <v>#REF!</v>
      </c>
      <c r="G463" s="174" t="str">
        <f t="shared" si="156"/>
        <v>#REF!</v>
      </c>
      <c r="H463" s="120" t="str">
        <f t="shared" si="156"/>
        <v>#REF!</v>
      </c>
      <c r="I463" s="120" t="str">
        <f t="shared" si="156"/>
        <v>#REF!</v>
      </c>
    </row>
    <row r="464" ht="14.25" customHeight="1">
      <c r="A464" s="171" t="str">
        <f t="shared" ref="A464:I464" si="157">'2.18.'!A72</f>
        <v>#REF!</v>
      </c>
      <c r="B464" s="74" t="str">
        <f t="shared" si="157"/>
        <v>#REF!</v>
      </c>
      <c r="C464" s="74" t="str">
        <f t="shared" si="157"/>
        <v>#REF!</v>
      </c>
      <c r="D464" s="171" t="str">
        <f t="shared" si="157"/>
        <v>#REF!</v>
      </c>
      <c r="E464" s="171" t="str">
        <f t="shared" si="157"/>
        <v>#REF!</v>
      </c>
      <c r="F464" s="173" t="str">
        <f t="shared" si="157"/>
        <v>#REF!</v>
      </c>
      <c r="G464" s="174" t="str">
        <f t="shared" si="157"/>
        <v>#REF!</v>
      </c>
      <c r="H464" s="120" t="str">
        <f t="shared" si="157"/>
        <v>#REF!</v>
      </c>
      <c r="I464" s="120" t="str">
        <f t="shared" si="157"/>
        <v>#REF!</v>
      </c>
    </row>
    <row r="465" ht="14.25" customHeight="1">
      <c r="A465" s="171" t="str">
        <f t="shared" ref="A465:I465" si="158">'2.18.'!A73</f>
        <v>#REF!</v>
      </c>
      <c r="B465" s="74" t="str">
        <f t="shared" si="158"/>
        <v>#REF!</v>
      </c>
      <c r="C465" s="74" t="str">
        <f t="shared" si="158"/>
        <v>#REF!</v>
      </c>
      <c r="D465" s="171" t="str">
        <f t="shared" si="158"/>
        <v>#REF!</v>
      </c>
      <c r="E465" s="171" t="str">
        <f t="shared" si="158"/>
        <v>#REF!</v>
      </c>
      <c r="F465" s="173" t="str">
        <f t="shared" si="158"/>
        <v>#REF!</v>
      </c>
      <c r="G465" s="174" t="str">
        <f t="shared" si="158"/>
        <v>#REF!</v>
      </c>
      <c r="H465" s="120" t="str">
        <f t="shared" si="158"/>
        <v>#REF!</v>
      </c>
      <c r="I465" s="120" t="str">
        <f t="shared" si="158"/>
        <v>#REF!</v>
      </c>
    </row>
    <row r="466" ht="14.25" customHeight="1">
      <c r="A466" s="171" t="str">
        <f t="shared" ref="A466:I466" si="159">'2.18.'!A74</f>
        <v>#REF!</v>
      </c>
      <c r="B466" s="74" t="str">
        <f t="shared" si="159"/>
        <v>#REF!</v>
      </c>
      <c r="C466" s="74" t="str">
        <f t="shared" si="159"/>
        <v>#REF!</v>
      </c>
      <c r="D466" s="171" t="str">
        <f t="shared" si="159"/>
        <v>#REF!</v>
      </c>
      <c r="E466" s="171" t="str">
        <f t="shared" si="159"/>
        <v>#REF!</v>
      </c>
      <c r="F466" s="173" t="str">
        <f t="shared" si="159"/>
        <v>#REF!</v>
      </c>
      <c r="G466" s="174" t="str">
        <f t="shared" si="159"/>
        <v>#REF!</v>
      </c>
      <c r="H466" s="120" t="str">
        <f t="shared" si="159"/>
        <v>#REF!</v>
      </c>
      <c r="I466" s="120" t="str">
        <f t="shared" si="159"/>
        <v>#REF!</v>
      </c>
    </row>
    <row r="467" ht="14.25" customHeight="1">
      <c r="A467" s="127" t="str">
        <f t="shared" ref="A467:I467" si="160">'2.18.'!A75</f>
        <v>#REF!</v>
      </c>
      <c r="B467" s="127" t="str">
        <f t="shared" si="160"/>
        <v>#REF!</v>
      </c>
      <c r="C467" s="127" t="str">
        <f t="shared" si="160"/>
        <v>#REF!</v>
      </c>
      <c r="D467" s="127" t="str">
        <f t="shared" si="160"/>
        <v>#REF!</v>
      </c>
      <c r="E467" s="127" t="str">
        <f t="shared" si="160"/>
        <v>#REF!</v>
      </c>
      <c r="F467" s="126" t="str">
        <f t="shared" si="160"/>
        <v>#REF!</v>
      </c>
      <c r="G467" s="3" t="str">
        <f t="shared" si="160"/>
        <v>#REF!</v>
      </c>
      <c r="H467" s="120" t="str">
        <f t="shared" si="160"/>
        <v>#REF!</v>
      </c>
      <c r="I467" s="120" t="str">
        <f t="shared" si="160"/>
        <v>#REF!</v>
      </c>
    </row>
    <row r="468" ht="14.25" customHeight="1">
      <c r="A468" s="175" t="str">
        <f t="shared" ref="A468:I468" si="161">'2.18.'!A76</f>
        <v>#REF!</v>
      </c>
      <c r="B468" s="176" t="str">
        <f t="shared" si="161"/>
        <v>#REF!</v>
      </c>
      <c r="C468" s="176" t="str">
        <f t="shared" si="161"/>
        <v>#REF!</v>
      </c>
      <c r="D468" s="176" t="str">
        <f t="shared" si="161"/>
        <v>#REF!</v>
      </c>
      <c r="E468" s="176" t="str">
        <f t="shared" si="161"/>
        <v>#REF!</v>
      </c>
      <c r="F468" s="176" t="str">
        <f t="shared" si="161"/>
        <v>#REF!</v>
      </c>
      <c r="G468" s="177" t="str">
        <f t="shared" si="161"/>
        <v>#REF!</v>
      </c>
      <c r="H468" s="176" t="str">
        <f t="shared" si="161"/>
        <v>#REF!</v>
      </c>
      <c r="I468" s="178" t="str">
        <f t="shared" si="161"/>
        <v>#REF!</v>
      </c>
    </row>
    <row r="469" ht="15.75" customHeight="1">
      <c r="G469" s="3"/>
    </row>
    <row r="470" ht="15.75" customHeight="1">
      <c r="G470" s="3"/>
    </row>
    <row r="471" ht="23.25" customHeight="1">
      <c r="A471" s="162" t="str">
        <f>'2.19.'!A3</f>
        <v>#REF!</v>
      </c>
      <c r="B471" s="163" t="str">
        <f>'2.1.'!B471</f>
        <v>#REF!</v>
      </c>
      <c r="C471" s="164"/>
      <c r="D471" s="164"/>
      <c r="E471" s="164"/>
      <c r="F471" s="164"/>
      <c r="G471" s="165" t="str">
        <f t="shared" ref="G471:I471" si="162">'2.1.'!G471</f>
        <v>#REF!</v>
      </c>
      <c r="H471" s="166" t="str">
        <f t="shared" si="162"/>
        <v>#REF!</v>
      </c>
      <c r="I471" s="167" t="str">
        <f t="shared" si="162"/>
        <v>#REF!</v>
      </c>
    </row>
    <row r="472" ht="14.25" customHeight="1">
      <c r="G472" s="3"/>
    </row>
    <row r="473" ht="14.25" customHeight="1">
      <c r="A473" s="168" t="str">
        <f t="shared" ref="A473:I473" si="163">'2.19.'!A39</f>
        <v>#REF!</v>
      </c>
      <c r="B473" s="76" t="str">
        <f t="shared" si="163"/>
        <v>#REF!</v>
      </c>
      <c r="C473" s="76" t="str">
        <f t="shared" si="163"/>
        <v>#REF!</v>
      </c>
      <c r="D473" s="76" t="str">
        <f t="shared" si="163"/>
        <v>#REF!</v>
      </c>
      <c r="E473" s="76" t="str">
        <f t="shared" si="163"/>
        <v>#REF!</v>
      </c>
      <c r="F473" s="76" t="str">
        <f t="shared" si="163"/>
        <v>#REF!</v>
      </c>
      <c r="G473" s="2" t="str">
        <f t="shared" si="163"/>
        <v>#REF!</v>
      </c>
      <c r="H473" s="76" t="str">
        <f t="shared" si="163"/>
        <v>#REF!</v>
      </c>
      <c r="I473" s="76" t="str">
        <f t="shared" si="163"/>
        <v>#REF!</v>
      </c>
    </row>
    <row r="474" ht="14.25" customHeight="1">
      <c r="A474" s="169" t="str">
        <f t="shared" ref="A474:I474" si="164">'2.19.'!A40</f>
        <v>#REF!</v>
      </c>
      <c r="B474" s="169" t="str">
        <f t="shared" si="164"/>
        <v>#REF!</v>
      </c>
      <c r="C474" s="169" t="str">
        <f t="shared" si="164"/>
        <v>#REF!</v>
      </c>
      <c r="D474" s="169" t="str">
        <f t="shared" si="164"/>
        <v>#REF!</v>
      </c>
      <c r="E474" s="169" t="str">
        <f t="shared" si="164"/>
        <v>#REF!</v>
      </c>
      <c r="F474" s="169" t="str">
        <f t="shared" si="164"/>
        <v>#REF!</v>
      </c>
      <c r="G474" s="4" t="str">
        <f t="shared" si="164"/>
        <v>#REF!</v>
      </c>
      <c r="H474" s="169" t="str">
        <f t="shared" si="164"/>
        <v>#REF!</v>
      </c>
      <c r="I474" s="169" t="str">
        <f t="shared" si="164"/>
        <v>#REF!</v>
      </c>
    </row>
    <row r="475" ht="14.25" customHeight="1">
      <c r="A475" s="171" t="str">
        <f t="shared" ref="A475:I475" si="165">'2.19.'!A41</f>
        <v>#REF!</v>
      </c>
      <c r="B475" s="74" t="str">
        <f t="shared" si="165"/>
        <v>#REF!</v>
      </c>
      <c r="C475" s="74" t="str">
        <f t="shared" si="165"/>
        <v>#REF!</v>
      </c>
      <c r="D475" s="171" t="str">
        <f t="shared" si="165"/>
        <v>#REF!</v>
      </c>
      <c r="E475" s="171" t="str">
        <f t="shared" si="165"/>
        <v>#REF!</v>
      </c>
      <c r="F475" s="173" t="str">
        <f t="shared" si="165"/>
        <v>#REF!</v>
      </c>
      <c r="G475" s="184" t="str">
        <f t="shared" si="165"/>
        <v>#REF!</v>
      </c>
      <c r="H475" s="120" t="str">
        <f t="shared" si="165"/>
        <v>#REF!</v>
      </c>
      <c r="I475" s="120" t="str">
        <f t="shared" si="165"/>
        <v>#REF!</v>
      </c>
    </row>
    <row r="476" ht="14.25" customHeight="1">
      <c r="A476" s="171" t="str">
        <f t="shared" ref="A476:I476" si="166">'2.19.'!A42</f>
        <v>#REF!</v>
      </c>
      <c r="B476" s="74" t="str">
        <f t="shared" si="166"/>
        <v>#REF!</v>
      </c>
      <c r="C476" s="74" t="str">
        <f t="shared" si="166"/>
        <v>#REF!</v>
      </c>
      <c r="D476" s="171" t="str">
        <f t="shared" si="166"/>
        <v>#REF!</v>
      </c>
      <c r="E476" s="171" t="str">
        <f t="shared" si="166"/>
        <v>#REF!</v>
      </c>
      <c r="F476" s="173" t="str">
        <f t="shared" si="166"/>
        <v>#REF!</v>
      </c>
      <c r="G476" s="184" t="str">
        <f t="shared" si="166"/>
        <v>#REF!</v>
      </c>
      <c r="H476" s="120" t="str">
        <f t="shared" si="166"/>
        <v>#REF!</v>
      </c>
      <c r="I476" s="120" t="str">
        <f t="shared" si="166"/>
        <v>#REF!</v>
      </c>
    </row>
    <row r="477" ht="14.25" customHeight="1">
      <c r="A477" s="171" t="str">
        <f t="shared" ref="A477:I477" si="167">'2.19.'!A43</f>
        <v>#REF!</v>
      </c>
      <c r="B477" s="74" t="str">
        <f t="shared" si="167"/>
        <v>#REF!</v>
      </c>
      <c r="C477" s="74" t="str">
        <f t="shared" si="167"/>
        <v>#REF!</v>
      </c>
      <c r="D477" s="171" t="str">
        <f t="shared" si="167"/>
        <v>#REF!</v>
      </c>
      <c r="E477" s="171" t="str">
        <f t="shared" si="167"/>
        <v>#REF!</v>
      </c>
      <c r="F477" s="173" t="str">
        <f t="shared" si="167"/>
        <v>#REF!</v>
      </c>
      <c r="G477" s="184" t="str">
        <f t="shared" si="167"/>
        <v>#REF!</v>
      </c>
      <c r="H477" s="120" t="str">
        <f t="shared" si="167"/>
        <v>#REF!</v>
      </c>
      <c r="I477" s="120" t="str">
        <f t="shared" si="167"/>
        <v>#REF!</v>
      </c>
    </row>
    <row r="478" ht="14.25" customHeight="1">
      <c r="A478" s="171" t="str">
        <f t="shared" ref="A478:I478" si="168">'2.19.'!A44</f>
        <v>#REF!</v>
      </c>
      <c r="B478" s="74" t="str">
        <f t="shared" si="168"/>
        <v>#REF!</v>
      </c>
      <c r="C478" s="74" t="str">
        <f t="shared" si="168"/>
        <v>#REF!</v>
      </c>
      <c r="D478" s="171" t="str">
        <f t="shared" si="168"/>
        <v>#REF!</v>
      </c>
      <c r="E478" s="171" t="str">
        <f t="shared" si="168"/>
        <v>#REF!</v>
      </c>
      <c r="F478" s="173" t="str">
        <f t="shared" si="168"/>
        <v>#REF!</v>
      </c>
      <c r="G478" s="184" t="str">
        <f t="shared" si="168"/>
        <v>#REF!</v>
      </c>
      <c r="H478" s="120" t="str">
        <f t="shared" si="168"/>
        <v>#REF!</v>
      </c>
      <c r="I478" s="120" t="str">
        <f t="shared" si="168"/>
        <v>#REF!</v>
      </c>
    </row>
    <row r="479" ht="14.25" customHeight="1">
      <c r="A479" s="171" t="str">
        <f t="shared" ref="A479:I479" si="169">'2.19.'!A45</f>
        <v>#REF!</v>
      </c>
      <c r="B479" s="74" t="str">
        <f t="shared" si="169"/>
        <v>#REF!</v>
      </c>
      <c r="C479" s="74" t="str">
        <f t="shared" si="169"/>
        <v>#REF!</v>
      </c>
      <c r="D479" s="171" t="str">
        <f t="shared" si="169"/>
        <v>#REF!</v>
      </c>
      <c r="E479" s="171" t="str">
        <f t="shared" si="169"/>
        <v>#REF!</v>
      </c>
      <c r="F479" s="173" t="str">
        <f t="shared" si="169"/>
        <v>#REF!</v>
      </c>
      <c r="G479" s="184" t="str">
        <f t="shared" si="169"/>
        <v>#REF!</v>
      </c>
      <c r="H479" s="120" t="str">
        <f t="shared" si="169"/>
        <v>#REF!</v>
      </c>
      <c r="I479" s="120" t="str">
        <f t="shared" si="169"/>
        <v>#REF!</v>
      </c>
    </row>
    <row r="480" ht="14.25" customHeight="1">
      <c r="A480" s="171" t="str">
        <f t="shared" ref="A480:I480" si="170">'2.19.'!A46</f>
        <v>#REF!</v>
      </c>
      <c r="B480" s="74" t="str">
        <f t="shared" si="170"/>
        <v>#REF!</v>
      </c>
      <c r="C480" s="74" t="str">
        <f t="shared" si="170"/>
        <v>#REF!</v>
      </c>
      <c r="D480" s="171" t="str">
        <f t="shared" si="170"/>
        <v>#REF!</v>
      </c>
      <c r="E480" s="171" t="str">
        <f t="shared" si="170"/>
        <v>#REF!</v>
      </c>
      <c r="F480" s="173" t="str">
        <f t="shared" si="170"/>
        <v>#REF!</v>
      </c>
      <c r="G480" s="184" t="str">
        <f t="shared" si="170"/>
        <v>#REF!</v>
      </c>
      <c r="H480" s="120" t="str">
        <f t="shared" si="170"/>
        <v>#REF!</v>
      </c>
      <c r="I480" s="120" t="str">
        <f t="shared" si="170"/>
        <v>#REF!</v>
      </c>
    </row>
    <row r="481" ht="14.25" customHeight="1">
      <c r="A481" s="127" t="str">
        <f t="shared" ref="A481:I481" si="171">'2.19.'!A47</f>
        <v>#REF!</v>
      </c>
      <c r="B481" s="127" t="str">
        <f t="shared" si="171"/>
        <v>#REF!</v>
      </c>
      <c r="C481" s="127" t="str">
        <f t="shared" si="171"/>
        <v>#REF!</v>
      </c>
      <c r="D481" s="127" t="str">
        <f t="shared" si="171"/>
        <v>#REF!</v>
      </c>
      <c r="E481" s="127" t="str">
        <f t="shared" si="171"/>
        <v>#REF!</v>
      </c>
      <c r="F481" s="126" t="str">
        <f t="shared" si="171"/>
        <v>#REF!</v>
      </c>
      <c r="G481" s="3" t="str">
        <f t="shared" si="171"/>
        <v>#REF!</v>
      </c>
      <c r="H481" s="120" t="str">
        <f t="shared" si="171"/>
        <v>#REF!</v>
      </c>
      <c r="I481" s="120" t="str">
        <f t="shared" si="171"/>
        <v>#REF!</v>
      </c>
    </row>
    <row r="482" ht="14.25" customHeight="1">
      <c r="A482" s="175" t="str">
        <f t="shared" ref="A482:I482" si="172">'2.19.'!A48</f>
        <v>#REF!</v>
      </c>
      <c r="B482" s="176" t="str">
        <f t="shared" si="172"/>
        <v>#REF!</v>
      </c>
      <c r="C482" s="176" t="str">
        <f t="shared" si="172"/>
        <v>#REF!</v>
      </c>
      <c r="D482" s="176" t="str">
        <f t="shared" si="172"/>
        <v>#REF!</v>
      </c>
      <c r="E482" s="176" t="str">
        <f t="shared" si="172"/>
        <v>#REF!</v>
      </c>
      <c r="F482" s="176" t="str">
        <f t="shared" si="172"/>
        <v>#REF!</v>
      </c>
      <c r="G482" s="177" t="str">
        <f t="shared" si="172"/>
        <v>#REF!</v>
      </c>
      <c r="H482" s="176" t="str">
        <f t="shared" si="172"/>
        <v>#REF!</v>
      </c>
      <c r="I482" s="178" t="str">
        <f t="shared" si="172"/>
        <v>#REF!</v>
      </c>
    </row>
    <row r="483" ht="14.25" customHeight="1">
      <c r="G483" s="3"/>
    </row>
    <row r="484" ht="14.25" customHeight="1">
      <c r="G484" s="3"/>
    </row>
    <row r="485" ht="14.25" customHeight="1">
      <c r="A485" s="168" t="str">
        <f t="shared" ref="A485:I485" si="173">'2.19.'!A67</f>
        <v>#REF!</v>
      </c>
      <c r="B485" s="76" t="str">
        <f t="shared" si="173"/>
        <v>#REF!</v>
      </c>
      <c r="C485" s="76" t="str">
        <f t="shared" si="173"/>
        <v>#REF!</v>
      </c>
      <c r="D485" s="76" t="str">
        <f t="shared" si="173"/>
        <v>#REF!</v>
      </c>
      <c r="E485" s="76" t="str">
        <f t="shared" si="173"/>
        <v>#REF!</v>
      </c>
      <c r="F485" s="76" t="str">
        <f t="shared" si="173"/>
        <v>#REF!</v>
      </c>
      <c r="G485" s="2" t="str">
        <f t="shared" si="173"/>
        <v>#REF!</v>
      </c>
      <c r="H485" s="76" t="str">
        <f t="shared" si="173"/>
        <v>#REF!</v>
      </c>
      <c r="I485" s="76" t="str">
        <f t="shared" si="173"/>
        <v>#REF!</v>
      </c>
    </row>
    <row r="486" ht="14.25" customHeight="1">
      <c r="A486" s="169" t="str">
        <f t="shared" ref="A486:I486" si="174">'2.19.'!A68</f>
        <v>#REF!</v>
      </c>
      <c r="B486" s="169" t="str">
        <f t="shared" si="174"/>
        <v>#REF!</v>
      </c>
      <c r="C486" s="169" t="str">
        <f t="shared" si="174"/>
        <v>#REF!</v>
      </c>
      <c r="D486" s="169" t="str">
        <f t="shared" si="174"/>
        <v>#REF!</v>
      </c>
      <c r="E486" s="169" t="str">
        <f t="shared" si="174"/>
        <v>#REF!</v>
      </c>
      <c r="F486" s="169" t="str">
        <f t="shared" si="174"/>
        <v>#REF!</v>
      </c>
      <c r="G486" s="4" t="str">
        <f t="shared" si="174"/>
        <v>#REF!</v>
      </c>
      <c r="H486" s="169" t="str">
        <f t="shared" si="174"/>
        <v>#REF!</v>
      </c>
      <c r="I486" s="169" t="str">
        <f t="shared" si="174"/>
        <v>#REF!</v>
      </c>
    </row>
    <row r="487" ht="14.25" customHeight="1">
      <c r="A487" s="171" t="str">
        <f t="shared" ref="A487:I487" si="175">'2.19.'!A69</f>
        <v>#REF!</v>
      </c>
      <c r="B487" s="74" t="str">
        <f t="shared" si="175"/>
        <v>#REF!</v>
      </c>
      <c r="C487" s="74" t="str">
        <f t="shared" si="175"/>
        <v>#REF!</v>
      </c>
      <c r="D487" s="171" t="str">
        <f t="shared" si="175"/>
        <v>#REF!</v>
      </c>
      <c r="E487" s="171" t="str">
        <f t="shared" si="175"/>
        <v>#REF!</v>
      </c>
      <c r="F487" s="173" t="str">
        <f t="shared" si="175"/>
        <v>#REF!</v>
      </c>
      <c r="G487" s="174" t="str">
        <f t="shared" si="175"/>
        <v>#REF!</v>
      </c>
      <c r="H487" s="120" t="str">
        <f t="shared" si="175"/>
        <v>#REF!</v>
      </c>
      <c r="I487" s="120" t="str">
        <f t="shared" si="175"/>
        <v>#REF!</v>
      </c>
    </row>
    <row r="488" ht="14.25" customHeight="1">
      <c r="A488" s="171" t="str">
        <f t="shared" ref="A488:I488" si="176">'2.19.'!A70</f>
        <v>#REF!</v>
      </c>
      <c r="B488" s="74" t="str">
        <f t="shared" si="176"/>
        <v>#REF!</v>
      </c>
      <c r="C488" s="74" t="str">
        <f t="shared" si="176"/>
        <v>#REF!</v>
      </c>
      <c r="D488" s="171" t="str">
        <f t="shared" si="176"/>
        <v>#REF!</v>
      </c>
      <c r="E488" s="171" t="str">
        <f t="shared" si="176"/>
        <v>#REF!</v>
      </c>
      <c r="F488" s="173" t="str">
        <f t="shared" si="176"/>
        <v>#REF!</v>
      </c>
      <c r="G488" s="174" t="str">
        <f t="shared" si="176"/>
        <v>#REF!</v>
      </c>
      <c r="H488" s="120" t="str">
        <f t="shared" si="176"/>
        <v>#REF!</v>
      </c>
      <c r="I488" s="120" t="str">
        <f t="shared" si="176"/>
        <v>#REF!</v>
      </c>
    </row>
    <row r="489" ht="14.25" customHeight="1">
      <c r="A489" s="171" t="str">
        <f t="shared" ref="A489:I489" si="177">'2.19.'!A71</f>
        <v>#REF!</v>
      </c>
      <c r="B489" s="74" t="str">
        <f t="shared" si="177"/>
        <v>#REF!</v>
      </c>
      <c r="C489" s="74" t="str">
        <f t="shared" si="177"/>
        <v>#REF!</v>
      </c>
      <c r="D489" s="171" t="str">
        <f t="shared" si="177"/>
        <v>#REF!</v>
      </c>
      <c r="E489" s="171" t="str">
        <f t="shared" si="177"/>
        <v>#REF!</v>
      </c>
      <c r="F489" s="173" t="str">
        <f t="shared" si="177"/>
        <v>#REF!</v>
      </c>
      <c r="G489" s="174" t="str">
        <f t="shared" si="177"/>
        <v>#REF!</v>
      </c>
      <c r="H489" s="120" t="str">
        <f t="shared" si="177"/>
        <v>#REF!</v>
      </c>
      <c r="I489" s="120" t="str">
        <f t="shared" si="177"/>
        <v>#REF!</v>
      </c>
    </row>
    <row r="490" ht="14.25" customHeight="1">
      <c r="A490" s="171" t="str">
        <f t="shared" ref="A490:I490" si="178">'2.19.'!A72</f>
        <v>#REF!</v>
      </c>
      <c r="B490" s="74" t="str">
        <f t="shared" si="178"/>
        <v>#REF!</v>
      </c>
      <c r="C490" s="74" t="str">
        <f t="shared" si="178"/>
        <v>#REF!</v>
      </c>
      <c r="D490" s="171" t="str">
        <f t="shared" si="178"/>
        <v>#REF!</v>
      </c>
      <c r="E490" s="171" t="str">
        <f t="shared" si="178"/>
        <v>#REF!</v>
      </c>
      <c r="F490" s="173" t="str">
        <f t="shared" si="178"/>
        <v>#REF!</v>
      </c>
      <c r="G490" s="174" t="str">
        <f t="shared" si="178"/>
        <v>#REF!</v>
      </c>
      <c r="H490" s="120" t="str">
        <f t="shared" si="178"/>
        <v>#REF!</v>
      </c>
      <c r="I490" s="120" t="str">
        <f t="shared" si="178"/>
        <v>#REF!</v>
      </c>
    </row>
    <row r="491" ht="14.25" customHeight="1">
      <c r="A491" s="171" t="str">
        <f t="shared" ref="A491:I491" si="179">'2.19.'!A73</f>
        <v>#REF!</v>
      </c>
      <c r="B491" s="74" t="str">
        <f t="shared" si="179"/>
        <v>#REF!</v>
      </c>
      <c r="C491" s="74" t="str">
        <f t="shared" si="179"/>
        <v>#REF!</v>
      </c>
      <c r="D491" s="171" t="str">
        <f t="shared" si="179"/>
        <v>#REF!</v>
      </c>
      <c r="E491" s="171" t="str">
        <f t="shared" si="179"/>
        <v>#REF!</v>
      </c>
      <c r="F491" s="173" t="str">
        <f t="shared" si="179"/>
        <v>#REF!</v>
      </c>
      <c r="G491" s="174" t="str">
        <f t="shared" si="179"/>
        <v>#REF!</v>
      </c>
      <c r="H491" s="120" t="str">
        <f t="shared" si="179"/>
        <v>#REF!</v>
      </c>
      <c r="I491" s="120" t="str">
        <f t="shared" si="179"/>
        <v>#REF!</v>
      </c>
    </row>
    <row r="492" ht="14.25" customHeight="1">
      <c r="A492" s="171" t="str">
        <f t="shared" ref="A492:I492" si="180">'2.19.'!A74</f>
        <v>#REF!</v>
      </c>
      <c r="B492" s="74" t="str">
        <f t="shared" si="180"/>
        <v>#REF!</v>
      </c>
      <c r="C492" s="74" t="str">
        <f t="shared" si="180"/>
        <v>#REF!</v>
      </c>
      <c r="D492" s="171" t="str">
        <f t="shared" si="180"/>
        <v>#REF!</v>
      </c>
      <c r="E492" s="171" t="str">
        <f t="shared" si="180"/>
        <v>#REF!</v>
      </c>
      <c r="F492" s="173" t="str">
        <f t="shared" si="180"/>
        <v>#REF!</v>
      </c>
      <c r="G492" s="174" t="str">
        <f t="shared" si="180"/>
        <v>#REF!</v>
      </c>
      <c r="H492" s="120" t="str">
        <f t="shared" si="180"/>
        <v>#REF!</v>
      </c>
      <c r="I492" s="120" t="str">
        <f t="shared" si="180"/>
        <v>#REF!</v>
      </c>
    </row>
    <row r="493" ht="14.25" customHeight="1">
      <c r="A493" s="127" t="str">
        <f t="shared" ref="A493:I493" si="181">'2.19.'!A75</f>
        <v>#REF!</v>
      </c>
      <c r="B493" s="127" t="str">
        <f t="shared" si="181"/>
        <v>#REF!</v>
      </c>
      <c r="C493" s="127" t="str">
        <f t="shared" si="181"/>
        <v>#REF!</v>
      </c>
      <c r="D493" s="127" t="str">
        <f t="shared" si="181"/>
        <v>#REF!</v>
      </c>
      <c r="E493" s="127" t="str">
        <f t="shared" si="181"/>
        <v>#REF!</v>
      </c>
      <c r="F493" s="126" t="str">
        <f t="shared" si="181"/>
        <v>#REF!</v>
      </c>
      <c r="G493" s="3" t="str">
        <f t="shared" si="181"/>
        <v>#REF!</v>
      </c>
      <c r="H493" s="120" t="str">
        <f t="shared" si="181"/>
        <v>#REF!</v>
      </c>
      <c r="I493" s="120" t="str">
        <f t="shared" si="181"/>
        <v>#REF!</v>
      </c>
    </row>
    <row r="494" ht="14.25" customHeight="1">
      <c r="A494" s="175" t="str">
        <f t="shared" ref="A494:I494" si="182">'2.19.'!A76</f>
        <v>#REF!</v>
      </c>
      <c r="B494" s="176" t="str">
        <f t="shared" si="182"/>
        <v>#REF!</v>
      </c>
      <c r="C494" s="176" t="str">
        <f t="shared" si="182"/>
        <v>#REF!</v>
      </c>
      <c r="D494" s="176" t="str">
        <f t="shared" si="182"/>
        <v>#REF!</v>
      </c>
      <c r="E494" s="176" t="str">
        <f t="shared" si="182"/>
        <v>#REF!</v>
      </c>
      <c r="F494" s="176" t="str">
        <f t="shared" si="182"/>
        <v>#REF!</v>
      </c>
      <c r="G494" s="177" t="str">
        <f t="shared" si="182"/>
        <v>#REF!</v>
      </c>
      <c r="H494" s="176" t="str">
        <f t="shared" si="182"/>
        <v>#REF!</v>
      </c>
      <c r="I494" s="178" t="str">
        <f t="shared" si="182"/>
        <v>#REF!</v>
      </c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</sheetData>
  <mergeCells count="21">
    <mergeCell ref="B3:F3"/>
    <mergeCell ref="A5:B5"/>
    <mergeCell ref="A17:B17"/>
    <mergeCell ref="B29:F29"/>
    <mergeCell ref="B55:F55"/>
    <mergeCell ref="B81:F81"/>
    <mergeCell ref="B107:F107"/>
    <mergeCell ref="B315:F315"/>
    <mergeCell ref="B341:F341"/>
    <mergeCell ref="B367:F367"/>
    <mergeCell ref="B393:F393"/>
    <mergeCell ref="B419:F419"/>
    <mergeCell ref="B445:F445"/>
    <mergeCell ref="B471:F471"/>
    <mergeCell ref="B133:F133"/>
    <mergeCell ref="B159:F159"/>
    <mergeCell ref="B185:F185"/>
    <mergeCell ref="B211:F211"/>
    <mergeCell ref="B237:F237"/>
    <mergeCell ref="B263:F263"/>
    <mergeCell ref="B289:F289"/>
  </mergeCells>
  <printOptions/>
  <pageMargins bottom="0.75" footer="0.0" header="0.0" left="0.7" right="0.7" top="0.75"/>
  <pageSetup orientation="portrait"/>
  <drawing r:id="rId1"/>
</worksheet>
</file>