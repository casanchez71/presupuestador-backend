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Mat" sheetId="1" r:id="rId4"/>
    <sheet state="visible" name="00_MO" sheetId="2" r:id="rId5"/>
    <sheet state="visible" name="00_Eq" sheetId="3" r:id="rId6"/>
    <sheet state="visible" name="00_Sub" sheetId="4" r:id="rId7"/>
    <sheet state="visible" name="00_JEF + ESTR" sheetId="5" r:id="rId8"/>
    <sheet state="visible" name="01_C&amp;P" sheetId="6" r:id="rId9"/>
    <sheet state="visible" name="01_VENTA" sheetId="7" r:id="rId10"/>
    <sheet state="visible" name="01_RESUMEN VENTA" sheetId="8" r:id="rId11"/>
    <sheet state="visible" name="01_RESUMEN MAT." sheetId="9" r:id="rId12"/>
    <sheet state="visible" name="01_RESUMEN MAT M.O." sheetId="10" r:id="rId13"/>
    <sheet state="visible" name="01_RESUMEN SERV. M.O." sheetId="11" r:id="rId14"/>
    <sheet state="visible" name="ESTRUCTURA" sheetId="12" r:id="rId15"/>
    <sheet state="visible" name="0.9" sheetId="13" r:id="rId16"/>
    <sheet state="visible" name="0.10" sheetId="14" r:id="rId17"/>
    <sheet state="visible" name="0.11" sheetId="15" r:id="rId18"/>
    <sheet state="visible" name="0.12" sheetId="16" r:id="rId19"/>
    <sheet state="visible" name="0.13" sheetId="17" r:id="rId20"/>
    <sheet state="visible" name="0.14" sheetId="18" r:id="rId21"/>
    <sheet state="visible" name="0.15" sheetId="19" r:id="rId22"/>
    <sheet state="visible" name="1.1" sheetId="20" r:id="rId23"/>
    <sheet state="visible" name="1.2" sheetId="21" r:id="rId24"/>
    <sheet state="visible" name="1.3" sheetId="22" r:id="rId25"/>
    <sheet state="visible" name="1.31" sheetId="23" r:id="rId26"/>
    <sheet state="visible" name="1.32" sheetId="24" r:id="rId27"/>
    <sheet state="visible" name="1.4" sheetId="25" r:id="rId28"/>
    <sheet state="visible" name="1.5" sheetId="26" r:id="rId29"/>
    <sheet state="visible" name="1.6" sheetId="27" r:id="rId30"/>
    <sheet state="visible" name="1.7" sheetId="28" r:id="rId31"/>
    <sheet state="visible" name="1.8" sheetId="29" r:id="rId32"/>
    <sheet state="visible" name="2.1." sheetId="30" r:id="rId33"/>
    <sheet state="visible" name="2.2." sheetId="31" r:id="rId34"/>
    <sheet state="visible" name="2.3" sheetId="32" r:id="rId35"/>
    <sheet state="visible" name="2.4" sheetId="33" r:id="rId36"/>
    <sheet state="visible" name="2.5" sheetId="34" r:id="rId37"/>
    <sheet state="visible" name="2.51" sheetId="35" r:id="rId38"/>
    <sheet state="visible" name="2.6" sheetId="36" r:id="rId39"/>
    <sheet state="visible" name="2.7" sheetId="37" r:id="rId40"/>
    <sheet state="visible" name="2.7 (YESO)" sheetId="38" r:id="rId41"/>
    <sheet state="visible" name="2.8" sheetId="39" r:id="rId42"/>
    <sheet state="visible" name="3.1" sheetId="40" r:id="rId43"/>
    <sheet state="visible" name="3.2" sheetId="41" r:id="rId44"/>
    <sheet state="visible" name="3.3" sheetId="42" r:id="rId45"/>
    <sheet state="visible" name="3.4" sheetId="43" r:id="rId46"/>
    <sheet state="visible" name="3.5" sheetId="44" r:id="rId47"/>
    <sheet state="visible" name="3.6" sheetId="45" r:id="rId48"/>
    <sheet state="visible" name="3.7" sheetId="46" r:id="rId49"/>
    <sheet state="visible" name="3.8" sheetId="47" r:id="rId50"/>
    <sheet state="visible" name="4.1" sheetId="48" r:id="rId51"/>
    <sheet state="visible" name="4.2" sheetId="49" r:id="rId52"/>
    <sheet state="visible" name="4.3" sheetId="50" r:id="rId53"/>
    <sheet state="visible" name="4.4" sheetId="51" r:id="rId54"/>
    <sheet state="visible" name="4.5" sheetId="52" r:id="rId55"/>
    <sheet state="visible" name="4.6" sheetId="53" r:id="rId56"/>
    <sheet state="visible" name="4.7" sheetId="54" r:id="rId57"/>
    <sheet state="visible" name="4.8" sheetId="55" r:id="rId58"/>
  </sheets>
  <definedNames/>
  <calcPr/>
  <extLst>
    <ext uri="GoogleSheetsCustomDataVersion2">
      <go:sheetsCustomData xmlns:go="http://customooxmlschemas.google.com/" r:id="rId59" roundtripDataChecksum="FIzSqKbkeb/Ic0iqRvqWKRsEy9Z6O9cPvkYOsXf+jZ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5">
      <text>
        <t xml:space="preserve">INCLUYE RECUADROS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7">
      <text>
        <t xml:space="preserve">SE LLENA VIGAS+LOSA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7">
      <text>
        <t xml:space="preserve">SE LLENA VIGAS+LOSA+ESCALERA
======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1">
      <text>
        <t xml:space="preserve">
======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7">
      <text>
        <t xml:space="preserve">SE LLENA VIGAS+LOSA+ESCALERA
======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7">
      <text>
        <t xml:space="preserve">SE LLENA VIGAS+LOSA+ESCALERA
======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7">
      <text>
        <t xml:space="preserve">50% + POR EL RECUADRO DE VANOS
======</t>
      </text>
    </comment>
    <comment authorId="0" ref="F27">
      <text>
        <t xml:space="preserve">SUBE EL DESPERDICIO POR QUE HAY QUE SUBIR LAS BOLSAS
======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7">
      <text>
        <t xml:space="preserve">DESPERDICIO POR SUBIR BOLSAS 
======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7">
      <text>
        <t xml:space="preserve">SUBE EL DESPERDICIO POR QUE HAY QUE SUBIR LAS BOLSAS
======</t>
      </text>
    </comment>
  </commentList>
</comments>
</file>

<file path=xl/sharedStrings.xml><?xml version="1.0" encoding="utf-8"?>
<sst xmlns="http://schemas.openxmlformats.org/spreadsheetml/2006/main" count="5227" uniqueCount="1076">
  <si>
    <t>MATERIALES</t>
  </si>
  <si>
    <t>CODIGO</t>
  </si>
  <si>
    <t>MATERIALES CORRALON</t>
  </si>
  <si>
    <t>UNIDAD</t>
  </si>
  <si>
    <t>PRECIO CON IVA</t>
  </si>
  <si>
    <t>PRECIO SIN IVA</t>
  </si>
  <si>
    <t>DESCUENTO</t>
  </si>
  <si>
    <t>PRECIO CON DESCUENTO</t>
  </si>
  <si>
    <t>ARG</t>
  </si>
  <si>
    <t xml:space="preserve">Arena a granel (1m3) </t>
  </si>
  <si>
    <t>m3</t>
  </si>
  <si>
    <t>AR</t>
  </si>
  <si>
    <t xml:space="preserve">Bolson de Arena (1m3) </t>
  </si>
  <si>
    <t>PIEG</t>
  </si>
  <si>
    <t>Piedra a granel (1m3)</t>
  </si>
  <si>
    <t>PIEP</t>
  </si>
  <si>
    <t>Bolson de Piedra partida (1m3)</t>
  </si>
  <si>
    <t>PIE</t>
  </si>
  <si>
    <t>Bolson de Piedra (1m3)</t>
  </si>
  <si>
    <t>CEM</t>
  </si>
  <si>
    <t>Bolsa Cemento "Loma Negra" 25 k (u)</t>
  </si>
  <si>
    <t>u</t>
  </si>
  <si>
    <t>ML</t>
  </si>
  <si>
    <t>CEM-GROUT</t>
  </si>
  <si>
    <t>Sika Grout 25k (u)</t>
  </si>
  <si>
    <t>CAL</t>
  </si>
  <si>
    <t>Bolsa Cal "Cacique" 25 k (u)</t>
  </si>
  <si>
    <t>PLASTICOR</t>
  </si>
  <si>
    <t>Bolsa Plasticor 40k (u)</t>
  </si>
  <si>
    <t>CER</t>
  </si>
  <si>
    <t>Ceresita 20 k (u)</t>
  </si>
  <si>
    <t>LP18</t>
  </si>
  <si>
    <t>Ladrillo Portante 18 (u)</t>
  </si>
  <si>
    <t>LP12</t>
  </si>
  <si>
    <t>Ladrillo Portante 12 (u)</t>
  </si>
  <si>
    <t>LH18</t>
  </si>
  <si>
    <t>Ladrillo Hueco 18 (u)</t>
  </si>
  <si>
    <t>LH12</t>
  </si>
  <si>
    <t>Ladrillo Hueco 12 (u)</t>
  </si>
  <si>
    <t>LH8</t>
  </si>
  <si>
    <t>Ladrillo Hueco 8 (u)</t>
  </si>
  <si>
    <t>Su Corralon</t>
  </si>
  <si>
    <t>LCOM</t>
  </si>
  <si>
    <t xml:space="preserve">Ladrillo Comun </t>
  </si>
  <si>
    <t>LCOMVIST</t>
  </si>
  <si>
    <t>Ladrillo Comun Vista</t>
  </si>
  <si>
    <t>LPINT</t>
  </si>
  <si>
    <t>Pavimento Intertrabado</t>
  </si>
  <si>
    <t>m2</t>
  </si>
  <si>
    <t>LGB</t>
  </si>
  <si>
    <t>Garden Block 38x38x8cm (1m2)</t>
  </si>
  <si>
    <t>ml</t>
  </si>
  <si>
    <t>LDC</t>
  </si>
  <si>
    <t>Deck Liston Hormigon Cemento Piso Durmiente 100 X 12 Cms (1m2)</t>
  </si>
  <si>
    <t>YES</t>
  </si>
  <si>
    <t>Bolsa Yeso Tuyango 30 k (u)</t>
  </si>
  <si>
    <t>YES-P</t>
  </si>
  <si>
    <t>Bolsa Yeso Proyectado Tuyango 30 k (u)</t>
  </si>
  <si>
    <t>ES</t>
  </si>
  <si>
    <t>Cascote / Escombro (m3)</t>
  </si>
  <si>
    <t>TOS</t>
  </si>
  <si>
    <t>Tosca Compactada</t>
  </si>
  <si>
    <t>Pablo</t>
  </si>
  <si>
    <t>TN</t>
  </si>
  <si>
    <t>BOLSON Tierra negra</t>
  </si>
  <si>
    <t>TNF</t>
  </si>
  <si>
    <t>BOLSON Tierra negra fertil 10% compost</t>
  </si>
  <si>
    <t>TRA</t>
  </si>
  <si>
    <t>BOLSON Tierra negra abonada 40% compost</t>
  </si>
  <si>
    <t>TNFI</t>
  </si>
  <si>
    <t>TIERRA NEGRA FINA</t>
  </si>
  <si>
    <t>TNRL</t>
  </si>
  <si>
    <t>TIERRA NEGRA DE RELLENO LIMPIO</t>
  </si>
  <si>
    <t>TNR</t>
  </si>
  <si>
    <t xml:space="preserve">TIERRA NEGRA DE RELLENO </t>
  </si>
  <si>
    <t>CL2</t>
  </si>
  <si>
    <t>Clavos 2" punta paris (k)</t>
  </si>
  <si>
    <t>k</t>
  </si>
  <si>
    <t>urquiza</t>
  </si>
  <si>
    <t>CL2.5</t>
  </si>
  <si>
    <t>Clavos 2,5" punta paris (k)</t>
  </si>
  <si>
    <t>AL-50k</t>
  </si>
  <si>
    <t>Alambre Fardo (50 k)</t>
  </si>
  <si>
    <t>ES24</t>
  </si>
  <si>
    <t>Cascote / Escombro cada 24 m3 (m3)</t>
  </si>
  <si>
    <t>DISCO PORC</t>
  </si>
  <si>
    <t>Disco Amoladora para porcelanato. marca aliafor</t>
  </si>
  <si>
    <t>DISCO</t>
  </si>
  <si>
    <t>Disco Ascerradora</t>
  </si>
  <si>
    <t>DIS</t>
  </si>
  <si>
    <t>Disco corte</t>
  </si>
  <si>
    <t>VI7</t>
  </si>
  <si>
    <t>Vigueta pretensada de hormigon 7m</t>
  </si>
  <si>
    <t>VI6</t>
  </si>
  <si>
    <t>Vigueta pretensada de hormigon 6m</t>
  </si>
  <si>
    <t>VI4</t>
  </si>
  <si>
    <t>Vigueta pretensada de hormigon 4m</t>
  </si>
  <si>
    <t>$  26.000,00</t>
  </si>
  <si>
    <t>VI-EPS</t>
  </si>
  <si>
    <t>Ladrillos Telgopor 10cm</t>
  </si>
  <si>
    <t>P-pro</t>
  </si>
  <si>
    <t>Protex 215 x 1kg</t>
  </si>
  <si>
    <t>z-sell</t>
  </si>
  <si>
    <t>Adhesivo Zocalos Sellador Rellenador Atrim 420gr</t>
  </si>
  <si>
    <t>ME</t>
  </si>
  <si>
    <t>MECHA ROTOPERCUTORA</t>
  </si>
  <si>
    <t>EPS</t>
  </si>
  <si>
    <t>EPS aislante para techos 1x1 30mm 15 Kg Pack 5u</t>
  </si>
  <si>
    <t>GRO</t>
  </si>
  <si>
    <t>Sika Grout 22kg</t>
  </si>
  <si>
    <t>$  43.000,00</t>
  </si>
  <si>
    <t>MATERIALES ACERO</t>
  </si>
  <si>
    <t>M3,5</t>
  </si>
  <si>
    <t>Malla Φ 3,5 (2 m x 5 m) (hierros cada 0,18 x 0,18 m) - menos de 50 u (u)</t>
  </si>
  <si>
    <t>M5</t>
  </si>
  <si>
    <t>Malla Φ 5 (2 m x 5 m) (hierros cada 0,18 x 0,18 m) - menos de 50 u (u)</t>
  </si>
  <si>
    <t>Malla Φ 5,5 (2 m x 5 m) (hierros cada 0,18 x 0,18 m) - menos de 50 u (u)</t>
  </si>
  <si>
    <t>M3,5M</t>
  </si>
  <si>
    <t>Malla Φ 3,5 (2 m x 5 m) (hierros cada 0,18 x 0,18 m) - mas de 50 u (u)</t>
  </si>
  <si>
    <t>M5M</t>
  </si>
  <si>
    <t>Malla Φ 5  (2 m x 5 m) (hierros cada 0,18 x 0,18 m) - mas de 50 u (u)</t>
  </si>
  <si>
    <t>M5,5</t>
  </si>
  <si>
    <t xml:space="preserve">Malla Φ 5,5  (2 m x 5 m) (hierros cada 0,18 x 0,18 m) </t>
  </si>
  <si>
    <t>M6</t>
  </si>
  <si>
    <t xml:space="preserve">Malla Φ 6  (2 m x 5 m) (hierros cada 0,15 x 0,15 m) </t>
  </si>
  <si>
    <t>M8</t>
  </si>
  <si>
    <t xml:space="preserve">Malla Φ 8  (2 m x 5 m) (hierros cada 0,15 x 0,15 m) </t>
  </si>
  <si>
    <t>M8-Q335</t>
  </si>
  <si>
    <t>Malla Φ 8  Q335 (2,4 m x 6 m) (hierros cada 0,15 x 0,15 m)</t>
  </si>
  <si>
    <t>M-ELEC</t>
  </si>
  <si>
    <t>Malla electrosada (1x1) 250</t>
  </si>
  <si>
    <t>$  30.000,00</t>
  </si>
  <si>
    <t>HADN6</t>
  </si>
  <si>
    <t xml:space="preserve">Hierros ADN 420 Φ 6 </t>
  </si>
  <si>
    <t>HADN8</t>
  </si>
  <si>
    <t>Hierros ADN 420 Φ 8</t>
  </si>
  <si>
    <t>HADN10</t>
  </si>
  <si>
    <t>Hierros ADN 420Φ 10</t>
  </si>
  <si>
    <t>HADN12</t>
  </si>
  <si>
    <t>Hierros ADN 420 Φ 12</t>
  </si>
  <si>
    <t>HADN16</t>
  </si>
  <si>
    <t>Hierros ADN 420 Φ 16</t>
  </si>
  <si>
    <t>HADN20</t>
  </si>
  <si>
    <t>Hierros ADN 420 Φ 20</t>
  </si>
  <si>
    <t>U</t>
  </si>
  <si>
    <t>-</t>
  </si>
  <si>
    <t>HADN25</t>
  </si>
  <si>
    <t>Hierros ADN 420 Φ 25</t>
  </si>
  <si>
    <t>HADN6K</t>
  </si>
  <si>
    <t>Hierros ADN 420 Φ 6 (k)</t>
  </si>
  <si>
    <t>HADN8K</t>
  </si>
  <si>
    <t>Hierros ADN 420 Φ 8 (k)</t>
  </si>
  <si>
    <t>HADN10K</t>
  </si>
  <si>
    <t>Hierros ADN 420Φ 10 (k)</t>
  </si>
  <si>
    <t>HADN12K</t>
  </si>
  <si>
    <t>Hierros ADN 420 Φ 12 (k)</t>
  </si>
  <si>
    <t>HADN16K</t>
  </si>
  <si>
    <t>Hierros ADN 420 Φ 16 (k)</t>
  </si>
  <si>
    <t>HADN20K</t>
  </si>
  <si>
    <t>Hierros ADN 420 Φ 20 (k)</t>
  </si>
  <si>
    <t>HADN25K</t>
  </si>
  <si>
    <t>Hierros ADN 420 Φ 25 (k)</t>
  </si>
  <si>
    <t>HL16</t>
  </si>
  <si>
    <t>Hierros Liso Φ 16 - l=6 m</t>
  </si>
  <si>
    <t>m</t>
  </si>
  <si>
    <t>C.E. 40X60</t>
  </si>
  <si>
    <t>Cano estructural 40x60x1.6 (6mts)</t>
  </si>
  <si>
    <t>$  60.000,00</t>
  </si>
  <si>
    <t>MATERIALES PLOMERIA</t>
  </si>
  <si>
    <t>LAVAT</t>
  </si>
  <si>
    <t>Lavatorio DECA (SOBRE MESADA)</t>
  </si>
  <si>
    <t>https://www.mercadolibre.com.ar/bacha-deca-l1304017-rectangular-de-40-x-30-cm-color-blanco/p/MLA20245981?pdp_filters=item_id:MLA1883663480#is_advertising=true&amp;searchVariation=MLA20245981&amp;backend_model=search-backend&amp;position=3&amp;search_layout=grid&amp;type=pad&amp;tracking_id=802222b0-99c8-4b26-94f0-68151ba2ecc9&amp;ad_domain=VQCATCORE_LST&amp;ad_position=3&amp;ad_click_id=ZWY3NTI1ZjUtZTQwMS00MTBiLWI0OWYtNmFkYzdmYTNjOTFi</t>
  </si>
  <si>
    <t>BACH</t>
  </si>
  <si>
    <t>Bacha cocina</t>
  </si>
  <si>
    <t>https://www.mercadolibre.com.ar/bacha-de-cocina-doble-johnson-acero-cc-2818/p/MLA22290000?has_official_store=false&amp;highlight=false&amp;headerTopBrand=false#polycard_client=search-nordic&amp;search_layout=grid&amp;position=13&amp;type=product&amp;tracking_id=36b18fd0-fd18-4ef7-8e53-da437711f856&amp;wid=MLA2194314818&amp;sid=search</t>
  </si>
  <si>
    <t>INOD</t>
  </si>
  <si>
    <t>Inodoro FERRUM</t>
  </si>
  <si>
    <t>BID</t>
  </si>
  <si>
    <t>Bidet Ferrum Veneto BTA3J-B Blanco 3 Ag</t>
  </si>
  <si>
    <t>https://www.mercadolibre.com.ar/ferrum-veneto-bidet-bta3j-b-blanco-3-ag/p/MLA28829954?has_official_store=false&amp;highlight=true&amp;headerTopBrand=false#polycard_client=search-nordic&amp;search_layout=grid&amp;position=2&amp;type=product&amp;tracking_id=fdc3d4b8-b24b-44f2-9682-547aac02c148&amp;wid=MLA1932861148&amp;sid=search</t>
  </si>
  <si>
    <t>INOD-BID</t>
  </si>
  <si>
    <t>Indoro y Bidet completos FERRUM</t>
  </si>
  <si>
    <t>https://articulo.mercadolibre.com.ar/MLA-660250308-inodoro-largo-tapa-amort-dep-y-bide-ferrum-veneto-_JM?has_official_store=false&amp;highlight=false&amp;searchVariation=25060632050&amp;headerTopBrand=true#polycard_client=search-nordic&amp;searchVariation=25060632050&amp;search_layout=grid&amp;position=38&amp;type=item&amp;tracking_id=b8012c01-662c-4429-bff6-2065056dc6d5</t>
  </si>
  <si>
    <t>GRIF-TOT</t>
  </si>
  <si>
    <t>Set de Griferias bano completo</t>
  </si>
  <si>
    <t>https://www.mercadolibre.com.ar/griferia-set-lavatorio-bidet-ducha-bano-peirano-adra-90-166-pack-combo-color-cromo-acabado-cromado-juego-duchon-vanitory/p/MLA34176290?has_official_store=false&amp;highlight=true&amp;headerTopBrand=true#polycard_client=search-nordic&amp;search_layout=grid&amp;position=5&amp;type=product&amp;tracking_id=c3b8f1c0-4b46-4813-952d-325c5131e3bd&amp;wid=MLA1484865149&amp;sid=search</t>
  </si>
  <si>
    <t>PDP</t>
  </si>
  <si>
    <t>Pileta de patio AWADUCT</t>
  </si>
  <si>
    <t>GRIF-TOI</t>
  </si>
  <si>
    <t>Grfieria Lavatorio FV</t>
  </si>
  <si>
    <t>GRIF-COC</t>
  </si>
  <si>
    <t>Griferia mocomando cocina movible FV</t>
  </si>
  <si>
    <t>https://www.mercadolibre.com.ar/canilla-cocina-monocomando-griferia-extensible-krumm-cromo-acabado-satinado-color-niquel/p/MLA26043589?pdp_filters=item_id:MLA1479119202#is_advertising=true&amp;searchVariation=MLA26043589&amp;backend_model=search-backend&amp;position=2&amp;search_layout=grid&amp;type=pad&amp;tracking_id=70e1d787-528b-4799-97f7-034afec552a7&amp;ad_domain=VQCATCORE_LST&amp;ad_position=2&amp;ad_click_id=OGE0MThiODItODJiNi00NTU5LTkwNWQtNjdmZmU0ZjdiMWU2</t>
  </si>
  <si>
    <t>GRIF-CS</t>
  </si>
  <si>
    <t>Griferia CANILLA DE SERVICIO</t>
  </si>
  <si>
    <t>GRIF-DUCHA</t>
  </si>
  <si>
    <t>Grfieria Ducha FV</t>
  </si>
  <si>
    <t>GRIF-BID</t>
  </si>
  <si>
    <t>Grfieria Bide FV</t>
  </si>
  <si>
    <t>PDP-REJ</t>
  </si>
  <si>
    <t>Rejilla ATRIM Pileta Patio Reversible 12x12 Cuadrada Acero I</t>
  </si>
  <si>
    <t>INOD-DEP</t>
  </si>
  <si>
    <t>Deposito Capea Italiana Apoyo</t>
  </si>
  <si>
    <t xml:space="preserve">Inodoro Capea Italiana Largo </t>
  </si>
  <si>
    <t>PL-E</t>
  </si>
  <si>
    <t xml:space="preserve">Embudo Pluvial 110 "Awaduct" </t>
  </si>
  <si>
    <t>PL-TRI</t>
  </si>
  <si>
    <t>Tritubo 40 mm (3 mm espesor)</t>
  </si>
  <si>
    <t>PL-FAJA</t>
  </si>
  <si>
    <t>Faja Advertencia Blanca</t>
  </si>
  <si>
    <t>PL-CAM30</t>
  </si>
  <si>
    <t>Tapa y Marco Hormigon para Camara Inspeccion 0,6 x 0,6 m</t>
  </si>
  <si>
    <t>PL-CAM60</t>
  </si>
  <si>
    <t>H-CAM60</t>
  </si>
  <si>
    <t>Tapa y Marco SEMILLA DE MELON para Camara Inspeccion 0,6 x 0,6 m</t>
  </si>
  <si>
    <t>AF-TAN2000</t>
  </si>
  <si>
    <t>Tanque De Agua Waterplast Vertical Tricapa 2000l</t>
  </si>
  <si>
    <t>CL-PPN40</t>
  </si>
  <si>
    <t>Caño PVC 40 mm - long= 4 m AWADUCT</t>
  </si>
  <si>
    <t>CL-PPN63</t>
  </si>
  <si>
    <t>Caño PVC 63 mm - long= 4 m AWADUCT</t>
  </si>
  <si>
    <t>CL-PPN110</t>
  </si>
  <si>
    <t>Caño PVC 110 mm - long= 4 m AWADUCT</t>
  </si>
  <si>
    <t>PL-PVC110</t>
  </si>
  <si>
    <t>PL-PVC110-3.2</t>
  </si>
  <si>
    <t>Caño PVC 110 mm - long= 4 m (espesor 3,2mm)</t>
  </si>
  <si>
    <t>PL-PVC160</t>
  </si>
  <si>
    <t>Caño PVC 160 mm - long= 4 m</t>
  </si>
  <si>
    <t>PL-PVC400</t>
  </si>
  <si>
    <t>Caño PVC 400 mm - long= 6 m</t>
  </si>
  <si>
    <t>PL-PVC600</t>
  </si>
  <si>
    <t>Caño PVC 600 mm - por metro</t>
  </si>
  <si>
    <t>PL-HA400</t>
  </si>
  <si>
    <t>Caño Hormigon Armado 400 mm</t>
  </si>
  <si>
    <t>PL-HA500</t>
  </si>
  <si>
    <t>Caño Hormigon Armado 500 mm</t>
  </si>
  <si>
    <t>PL-CN1/2</t>
  </si>
  <si>
    <t>Caño Riego Negro 1/2" - rollo 100 m</t>
  </si>
  <si>
    <t>PL-CN1</t>
  </si>
  <si>
    <t>Caño Riego Negro 1 1/2" - rollo 50 m</t>
  </si>
  <si>
    <t>PL-CN2</t>
  </si>
  <si>
    <t>Caño Riego Negro 2" - rollo 100 m</t>
  </si>
  <si>
    <t>PL-SAL1</t>
  </si>
  <si>
    <t>Caño Saladillo 1"</t>
  </si>
  <si>
    <t>PL-SAL2</t>
  </si>
  <si>
    <t>Caño Saladillo 2"</t>
  </si>
  <si>
    <t>MN</t>
  </si>
  <si>
    <t>Manguera Negra Polietileno Agua Riego 3/4 Pulgada K4 100m</t>
  </si>
  <si>
    <t>C-400Lts</t>
  </si>
  <si>
    <t>Tanque Cisterna Single Waterplast 400L dim 88 h 82</t>
  </si>
  <si>
    <t>C-600Lts</t>
  </si>
  <si>
    <t>Tanque Cisterna Single Waterplast 600L dim 92 h 109</t>
  </si>
  <si>
    <t>C-1000Lts</t>
  </si>
  <si>
    <t>Tanque Cisterna Single Waterplast 1000L</t>
  </si>
  <si>
    <t>https://www.mercadolibre.com.ar/tanque-de-agua-waterplast-tricapa-dual-plus-1000-lts-color-beige/p/MLA37059069#polycard_client=search_best-seller&amp;tracking_id=046d4ae3-7aab-4ee9-b927-e000dde398a1&amp;wid=MLA1886342808&amp;sid=search</t>
  </si>
  <si>
    <t>TERM.EL.80</t>
  </si>
  <si>
    <t>Termotanque Electrico 80L</t>
  </si>
  <si>
    <t>https://www.mercadolibre.com.ar/termotanque-electrico-senorial-zafiro-teszp-95-80-litros-color-blanco/p/MLA15585574?has_official_store=false&amp;highlight=true&amp;headerTopBrand=true#polycard_client=search-nordic&amp;search_layout=stack&amp;position=1&amp;type=product&amp;tracking_id=7173e1e7-ad94-4d1f-9246-18eae3c753e6&amp;wid=MLA923364357&amp;sid=search</t>
  </si>
  <si>
    <t>MATERIALES MOBILIARIO Y MESADAS</t>
  </si>
  <si>
    <t>MES-TOI</t>
  </si>
  <si>
    <t>Mesada de granito para toilet (40x100 aprox)</t>
  </si>
  <si>
    <t>MES-COC</t>
  </si>
  <si>
    <t>Mesada de granito para COCINA (60x300 aprox)</t>
  </si>
  <si>
    <t>PUER</t>
  </si>
  <si>
    <t>Puerta Placa Oblak Practika Blanco Marco De Aluminio Der. 70 Color Blanco</t>
  </si>
  <si>
    <t>https://www.mercadolibre.com.ar/puerta-placa-oblak-practika-blanco-marco-de-aluminio-der-70-color-blanco/p/MLA24089978?has_official_store=false&amp;highlight=true&amp;headerTopBrand=true#polycard_client=search-nordic&amp;search_layout=grid&amp;position=29&amp;type=product&amp;tracking_id=b5809188-653c-43e5-b4d0-e0c1f5cc9678&amp;wid=MLA1479680588&amp;sid=search</t>
  </si>
  <si>
    <t>PICAP</t>
  </si>
  <si>
    <t>Picaporte Acero Inox.</t>
  </si>
  <si>
    <t>https://www.mercadolibre.com.ar/manijas-picaportes-dobles-acero-inoxidable-satinado-con-retroceso-para-puertas-de-30-a-60mm-de-espesor-apto-interior-y-exterior/p/MLA40931977?has_official_store=false&amp;highlight=true&amp;headerTopBrand=true#polycard_client=search-nordic&amp;search_layout=grid&amp;position=2&amp;type=product&amp;tracking_id=e0aa031c-f318-4836-a3ea-71f894ab6851&amp;wid=MLA1912988222&amp;sid=search</t>
  </si>
  <si>
    <t>MATERIALES AISLACION E IMPERMEABILIZACION</t>
  </si>
  <si>
    <t>A-MEAS45</t>
  </si>
  <si>
    <t>Membrana Asfaltica Maxiplas MAXI450 x 40 kg</t>
  </si>
  <si>
    <t>kg</t>
  </si>
  <si>
    <t>A-EMAS</t>
  </si>
  <si>
    <t>Emulsion Asfaltica Ormiflex 7 x 200 l</t>
  </si>
  <si>
    <t>l</t>
  </si>
  <si>
    <t>A-MLA</t>
  </si>
  <si>
    <t>Membrana Liquida Acrilica "Protex" 20 kg (u)</t>
  </si>
  <si>
    <t>A-MLP</t>
  </si>
  <si>
    <t>Membrana Liquida Poliuretanica "Protex" 20 kg (u)</t>
  </si>
  <si>
    <t>A-NY200100m2</t>
  </si>
  <si>
    <t>Nylon 200 Micrones (100 m2 x rollo)</t>
  </si>
  <si>
    <t>A-NY20050m2</t>
  </si>
  <si>
    <t>Nylon 200 Micrones (50 m2 x rollo)</t>
  </si>
  <si>
    <t>A-SELLPU40</t>
  </si>
  <si>
    <t>Sellador Protex PU40 600 cc</t>
  </si>
  <si>
    <t>PROTEX</t>
  </si>
  <si>
    <t>PROTEX 20 kg x caja</t>
  </si>
  <si>
    <t>ME-ASF</t>
  </si>
  <si>
    <t>INERTOLTECH caja 18 lts Imprimación Membranas Base Asfáltica</t>
  </si>
  <si>
    <t>ME-LIQ</t>
  </si>
  <si>
    <t>Protex Techos Acrilico Blanco X 20 Kgs Membrana Liquida Blanco Mate</t>
  </si>
  <si>
    <t>A-MEAS36</t>
  </si>
  <si>
    <t>Membrana Asfaltica Maxiplas MAXI450 x 36 kg</t>
  </si>
  <si>
    <t>PI-ASF</t>
  </si>
  <si>
    <t>Pintura Impermeabilizante Asfáltica Secado Rápido X 18 Lts</t>
  </si>
  <si>
    <t>rinde 0,5lts/m2</t>
  </si>
  <si>
    <t>AGEO</t>
  </si>
  <si>
    <t>Manto Geotextil 75gr Sinteplast 26,25 m2</t>
  </si>
  <si>
    <t>MATERIALES FENOLICOS</t>
  </si>
  <si>
    <t>F-MIR</t>
  </si>
  <si>
    <t>Fenolico 18mm Miraluz 125 GR con film</t>
  </si>
  <si>
    <t>ASERRADERO ROMANO</t>
  </si>
  <si>
    <t>F-GR2</t>
  </si>
  <si>
    <t>Fenolico 18mm Grandis 2 Buenas cal 3/3</t>
  </si>
  <si>
    <t>F-GR1</t>
  </si>
  <si>
    <t>Fenolico 18mm Grandis 1 Buena cal 3/3</t>
  </si>
  <si>
    <t>F-IND</t>
  </si>
  <si>
    <t>Fenolico 18mm Industrial</t>
  </si>
  <si>
    <t>F-PI</t>
  </si>
  <si>
    <t>Fenolico scarp 18mm Pino cic</t>
  </si>
  <si>
    <t>F-T</t>
  </si>
  <si>
    <t xml:space="preserve">Tabla 1 x 4 x 3,66 m </t>
  </si>
  <si>
    <t>F-P</t>
  </si>
  <si>
    <t>Puntal 3 x 3 x 3,66 m tirante saligna</t>
  </si>
  <si>
    <t>PUN</t>
  </si>
  <si>
    <t>Puntal</t>
  </si>
  <si>
    <t>F-TSAL</t>
  </si>
  <si>
    <t>Tabla saligna 1"x5" 3m</t>
  </si>
  <si>
    <t>MATERIALES DURLOCK</t>
  </si>
  <si>
    <t>D-PL9.5</t>
  </si>
  <si>
    <t>Placa Durlock 9,5 mm 1,20 x 2,40 m (u)</t>
  </si>
  <si>
    <t>$13.500,00</t>
  </si>
  <si>
    <t>$  10.665,00</t>
  </si>
  <si>
    <t>Siderplac</t>
  </si>
  <si>
    <t>D-PL12.5</t>
  </si>
  <si>
    <t>Placa Durlock 12,5 mm 1,20 x 2,40 m (u)</t>
  </si>
  <si>
    <t>D-S35</t>
  </si>
  <si>
    <t>Solera 35 x 30 x 2600 mm x 0,5 mm (u)</t>
  </si>
  <si>
    <t>$2.900,00</t>
  </si>
  <si>
    <t>$  2.291,00</t>
  </si>
  <si>
    <t>D-S70</t>
  </si>
  <si>
    <t>Solera 70 x 30 x 2600 mm x 0,5 mm (u)</t>
  </si>
  <si>
    <t>D-M34</t>
  </si>
  <si>
    <t>Montante 34 x 30 x 2600 mm x 0,5 mm (u)</t>
  </si>
  <si>
    <t>$3.800,00</t>
  </si>
  <si>
    <t>$  3.002,00</t>
  </si>
  <si>
    <t>D-M69</t>
  </si>
  <si>
    <t>Montante 69 x 30 x 2600 mm x 0,5 mm (u)</t>
  </si>
  <si>
    <t>D-POM</t>
  </si>
  <si>
    <t>Perfil Omega</t>
  </si>
  <si>
    <t>D-T1</t>
  </si>
  <si>
    <t>Tornillo T1 Mecha 8 x 9/16" (u)</t>
  </si>
  <si>
    <t>$  45,00</t>
  </si>
  <si>
    <t>D-T2</t>
  </si>
  <si>
    <t>Tornillo T2 Aguja 6 x 1" (u)</t>
  </si>
  <si>
    <t>$  16,00</t>
  </si>
  <si>
    <t>D-MAS</t>
  </si>
  <si>
    <t>Masilla "Anclaflex Plus" x 32 k (u)</t>
  </si>
  <si>
    <t>$  35.500,00</t>
  </si>
  <si>
    <t>D-CIN</t>
  </si>
  <si>
    <t>Cinta Papel Microperforada 150 m (u)</t>
  </si>
  <si>
    <t>$  10.500,00</t>
  </si>
  <si>
    <t>D-END</t>
  </si>
  <si>
    <t>Enduido Interior "Encove" x 25 k (u)</t>
  </si>
  <si>
    <t>$  25.974,02</t>
  </si>
  <si>
    <t>D-FIJ</t>
  </si>
  <si>
    <t>Fijacion del 8 (Tornillo y Tarugo)</t>
  </si>
  <si>
    <t>$  85,12</t>
  </si>
  <si>
    <t>D-BUN</t>
  </si>
  <si>
    <t>Buña Z Perimetral 0,36 mm x 2600 mm</t>
  </si>
  <si>
    <t>YE</t>
  </si>
  <si>
    <t>Yeso "Tuyango" x 30 k (u)</t>
  </si>
  <si>
    <t>D-PL60</t>
  </si>
  <si>
    <t>Placa Deco Clasic Texturada Clasica 0,060 m x 0,060 m</t>
  </si>
  <si>
    <t>D-PER</t>
  </si>
  <si>
    <t>Perimetrales</t>
  </si>
  <si>
    <t>D-LAR</t>
  </si>
  <si>
    <t>Largueros</t>
  </si>
  <si>
    <t>D-TRA</t>
  </si>
  <si>
    <t>Travesaños 0,61 m</t>
  </si>
  <si>
    <t>D-AL14</t>
  </si>
  <si>
    <t>Alambre Galvanizado Nro 14</t>
  </si>
  <si>
    <t>Fijaciones</t>
  </si>
  <si>
    <t>D-SELL</t>
  </si>
  <si>
    <t xml:space="preserve">Sellador Indifugo Promat </t>
  </si>
  <si>
    <t>D-MATA</t>
  </si>
  <si>
    <t>Mat Aislante</t>
  </si>
  <si>
    <t>MATERIALES STEEL FRAME</t>
  </si>
  <si>
    <t>SF-PGC200</t>
  </si>
  <si>
    <t>Pefil PGC 200 (2,54mm) 200 x 80 x 6000</t>
  </si>
  <si>
    <t>SF-PGU150</t>
  </si>
  <si>
    <t>Perfil PGU 150 (2,54 mm) 150 x 40 x 6000</t>
  </si>
  <si>
    <t>SF-PGC150</t>
  </si>
  <si>
    <t>Perfil PGC 150 (2,54 mm) 150 x 40 x 6000</t>
  </si>
  <si>
    <t>SF-PGU70</t>
  </si>
  <si>
    <t>Perfil PGU 70 (0,94mm) 70 x 35 x 6000</t>
  </si>
  <si>
    <t>SF-PGC70</t>
  </si>
  <si>
    <t>Perfil PGC 70 (0,94 mm) 70 x 40 x 6000</t>
  </si>
  <si>
    <t>SF-OSB</t>
  </si>
  <si>
    <t>Placa OSB (18,3 mm) 1,22 x 2,44</t>
  </si>
  <si>
    <t>SF-POME</t>
  </si>
  <si>
    <t>Perfil PGO 22 (0,94 mm) x 3,00 m</t>
  </si>
  <si>
    <t>SF-TYBEK</t>
  </si>
  <si>
    <t>Barrera de Agua y Viento TYBEK 1,5 x 20 m (30 m2)</t>
  </si>
  <si>
    <t>MATERIALES PINTURA</t>
  </si>
  <si>
    <t>RENDIMIENTO</t>
  </si>
  <si>
    <t>RE-PLI20</t>
  </si>
  <si>
    <t>Pintura Latex Interior Blanco Mate "Loxon" 20 l (u)</t>
  </si>
  <si>
    <t>12M2 X LITRO</t>
  </si>
  <si>
    <t>RE-PLI1</t>
  </si>
  <si>
    <t>Pintura Latex Interior Blanco Mate "AlbaLatex" 1 l (u)</t>
  </si>
  <si>
    <t>RE-END15</t>
  </si>
  <si>
    <t>Enduido Plastico Interior 15 l (u)</t>
  </si>
  <si>
    <t>RE-END20</t>
  </si>
  <si>
    <t>Enduido Interior Exterior Talento - Polacrin 20 l (u)</t>
  </si>
  <si>
    <t>3M2 X LITRO</t>
  </si>
  <si>
    <t>RE-PLIC</t>
  </si>
  <si>
    <t>Latex Cielorraso Loxon-Sherwin Williams 20 l (u)</t>
  </si>
  <si>
    <t>RE-PINC25</t>
  </si>
  <si>
    <t>Pincel Nro 25</t>
  </si>
  <si>
    <t>RE-PINC15</t>
  </si>
  <si>
    <t>Pincel Nro 15</t>
  </si>
  <si>
    <t>RE-ROD</t>
  </si>
  <si>
    <t>Rodillo</t>
  </si>
  <si>
    <t>RE-LIJ220</t>
  </si>
  <si>
    <t>Lija al Agua Nro 220</t>
  </si>
  <si>
    <t>RE-LIJ150</t>
  </si>
  <si>
    <t>Lija al Agua Nro 150</t>
  </si>
  <si>
    <t>RE-CAR</t>
  </si>
  <si>
    <t>Rollo Carton Corrugado</t>
  </si>
  <si>
    <t>RE-CIN</t>
  </si>
  <si>
    <t>Cinta de Papel Azul nro 36</t>
  </si>
  <si>
    <t>RE-FIJ</t>
  </si>
  <si>
    <t>Fijador Sellador - Sellaplast Sinteplast Al Agua 10 Litros Color Incoloro</t>
  </si>
  <si>
    <t>100M2 X UNIDAD</t>
  </si>
  <si>
    <t>RE-CONVO</t>
  </si>
  <si>
    <t xml:space="preserve">Convertidor de Oxido </t>
  </si>
  <si>
    <t>RE-SINSAT</t>
  </si>
  <si>
    <t>Sintetico Satinado Blanco 1 l</t>
  </si>
  <si>
    <t>RE-TBASE</t>
  </si>
  <si>
    <t>Base Para Revestimiento Plástico- Quimtex Cuarzo Base - 18lt</t>
  </si>
  <si>
    <t>8M2 X LITRO</t>
  </si>
  <si>
    <t>RE-TARQ</t>
  </si>
  <si>
    <t>Quimtex Vallarta - Revestimiento Plastico A Rodillo - 27(k)</t>
  </si>
  <si>
    <t>1KG X M2</t>
  </si>
  <si>
    <t>Latex Frente "Albion" 20 l (u)</t>
  </si>
  <si>
    <t>RE-ANTIOX</t>
  </si>
  <si>
    <t>Antioxido Blanco 4 l (u)</t>
  </si>
  <si>
    <t>S-TABLA</t>
  </si>
  <si>
    <t>ETERNIT Siding Cedral Natural de 8mm x 3,60m x 20cm (Placa cementicia)</t>
  </si>
  <si>
    <t>S-TORN</t>
  </si>
  <si>
    <t>Tornillo TORO T2 P. MECHA C/ALAS #8x1 1/4"</t>
  </si>
  <si>
    <t>S-PGO</t>
  </si>
  <si>
    <t>PGO OMEGA GALERA 0.90 |28| 3m IMECON</t>
  </si>
  <si>
    <t>S-T+T</t>
  </si>
  <si>
    <t>Tornillo TORO FIX Z AMARILLO 5 X 45 UNIDAD + Tarugo - SOBRE TACO COMUN C/TOPE N 8 X 1</t>
  </si>
  <si>
    <t>MATERIALES REVESTIMIENTO PISOS</t>
  </si>
  <si>
    <t>RP-PORC</t>
  </si>
  <si>
    <t>PORCELANATO VILLAGRES 82X141,5 CATHEDRAL CEMENT (2,32m2 x caja)</t>
  </si>
  <si>
    <t>RP-CER</t>
  </si>
  <si>
    <t>CERAMICA 74X74 CER METROPOLE PUL ( 3,24m2 x caja)</t>
  </si>
  <si>
    <t>PR-PASC1</t>
  </si>
  <si>
    <t>Pastina Klaukol para Ceramica x 1kg</t>
  </si>
  <si>
    <t>PR-PASP1</t>
  </si>
  <si>
    <t>Pastina Klaukol para Porcelanato x 1kg</t>
  </si>
  <si>
    <t>RP-KP</t>
  </si>
  <si>
    <t>Klaukol Porcellanato 25 k</t>
  </si>
  <si>
    <t>RP-KC</t>
  </si>
  <si>
    <t>Klaukol Ceramica 25 k</t>
  </si>
  <si>
    <t>RP-NIVPORC</t>
  </si>
  <si>
    <t>Tornillos Niveladores Porcelanato 750u + 80 Tuercas</t>
  </si>
  <si>
    <t>RP-NIVCER</t>
  </si>
  <si>
    <t>Niveladores Ceramicos - Cuna 150u y Arcos 150u</t>
  </si>
  <si>
    <t>MATERIALES ELECTRICIDAD</t>
  </si>
  <si>
    <t>IE-CC1.5</t>
  </si>
  <si>
    <t>Caño Corrugado Blanco 1 1/2" - 38 mm (rollo 25m)</t>
  </si>
  <si>
    <t>IE-TAB</t>
  </si>
  <si>
    <t xml:space="preserve">Tablero con todo. </t>
  </si>
  <si>
    <t>IE-ART</t>
  </si>
  <si>
    <t>Artefacto de luz.</t>
  </si>
  <si>
    <t>IE-BOCA</t>
  </si>
  <si>
    <t>Boca Cambre (caja, cable, modulo)</t>
  </si>
  <si>
    <t>IE-CU2,5</t>
  </si>
  <si>
    <t>CABLE UNIPOLAR 2,5 ROJO + AZUL + VERDE X6M</t>
  </si>
  <si>
    <t>AA-CP</t>
  </si>
  <si>
    <t>Caja Pre-instalacion Para Aire Acondicionado Pared 43x11 Cm</t>
  </si>
  <si>
    <t>IE-TRIT</t>
  </si>
  <si>
    <t>Caño Tritubo Cano Rollo De 100 Metros Polietileno 40 Mm X 3</t>
  </si>
  <si>
    <t>\</t>
  </si>
  <si>
    <t>MATERIALES EDTRUCTURA DE HIERRO</t>
  </si>
  <si>
    <t>CH-GSINUS28</t>
  </si>
  <si>
    <t>Chapa Galvanizada Sinus N27 Color Zinc</t>
  </si>
  <si>
    <t>CH-GSINUS25</t>
  </si>
  <si>
    <t>Chapa Galvanizada Sinus N25 Color Zinc</t>
  </si>
  <si>
    <t>CH-GT10125</t>
  </si>
  <si>
    <t>Chapa Galvanizada T101 N25 Color Zinc</t>
  </si>
  <si>
    <t>CH-CSINUS27</t>
  </si>
  <si>
    <t>Chapa Cincalum Sinus N27 Color Aluminizada</t>
  </si>
  <si>
    <t>CH-CSINUS25</t>
  </si>
  <si>
    <t>Chapa Cincalum Sinus N25 Color Aluminizada</t>
  </si>
  <si>
    <t>CH-CT10127</t>
  </si>
  <si>
    <t>Chapa Cincalum T101 N27 Color Aluminizada</t>
  </si>
  <si>
    <t>CH-CT10125</t>
  </si>
  <si>
    <t>Chapa Cincalum T101 N25 Color Aluminizada</t>
  </si>
  <si>
    <t>CH-PPSINUS25</t>
  </si>
  <si>
    <t>Chapa Prepintada Sinus N25</t>
  </si>
  <si>
    <t>CH-PPT10125</t>
  </si>
  <si>
    <t>Chapa Prepintada T101N25</t>
  </si>
  <si>
    <t>TE-30x50x2</t>
  </si>
  <si>
    <t>Tubo Estructural 30 x 50 x 2,0 mm - 6 m largo</t>
  </si>
  <si>
    <t>TE-40X40X1.6</t>
  </si>
  <si>
    <t xml:space="preserve">Tubo Estructural 40 x 40 x 1,6 mm </t>
  </si>
  <si>
    <t>TE-40X40X2</t>
  </si>
  <si>
    <t xml:space="preserve">Tubo Estructural 40 x 40 x 2,0 mm </t>
  </si>
  <si>
    <t>TE-100X50X2</t>
  </si>
  <si>
    <t>Tubo Estructural 100 x 50 x 2,0 mm - 6 m largo</t>
  </si>
  <si>
    <t>TE-150x50</t>
  </si>
  <si>
    <t>Tubo Estructural 150 x 50 x 2,0 mm</t>
  </si>
  <si>
    <t>TE-200x100</t>
  </si>
  <si>
    <t>Tubo Estructural 200 x 100 x 3,2 mm</t>
  </si>
  <si>
    <t>TE-300x150</t>
  </si>
  <si>
    <t>Tubo Estructural 300 x 150</t>
  </si>
  <si>
    <t>TE-160x3,2</t>
  </si>
  <si>
    <t>Tubo Estructural 160 mm diametro x 3,2 mm - 6 m largo</t>
  </si>
  <si>
    <t>TE-152x2</t>
  </si>
  <si>
    <t>Tubo Estructural 152 mm diametro x 2,0 mm - 6 m largo</t>
  </si>
  <si>
    <t>PC-100x45x2</t>
  </si>
  <si>
    <t xml:space="preserve"> Perfil C 100 x 45  (2,0mm) - 12 m largo</t>
  </si>
  <si>
    <t>PC-140X60X2</t>
  </si>
  <si>
    <t xml:space="preserve"> Perfil C 140 x 60 (2,0mm) - 12 m largo</t>
  </si>
  <si>
    <t>PU-160</t>
  </si>
  <si>
    <t>Perfiol U 160 (2,0mm) - 12 m largo</t>
  </si>
  <si>
    <t>PC</t>
  </si>
  <si>
    <t>Perfil C Acero</t>
  </si>
  <si>
    <t>CH-TAM2</t>
  </si>
  <si>
    <t>Tornillo Autoperforante 2" (bolsa 100 u)</t>
  </si>
  <si>
    <t>CH-C22</t>
  </si>
  <si>
    <t>Chapa Calibre 22 (1,00 x 2,00 m)</t>
  </si>
  <si>
    <t>CH-C25</t>
  </si>
  <si>
    <t>Chapa Calibre 25 (1,22 x 2,44m)</t>
  </si>
  <si>
    <t>ZINGUERIA</t>
  </si>
  <si>
    <t>Z-CAN</t>
  </si>
  <si>
    <t>Canaleta de Zinc</t>
  </si>
  <si>
    <t>Z-BOR</t>
  </si>
  <si>
    <t>Borde Cubierta</t>
  </si>
  <si>
    <t>Z-BL</t>
  </si>
  <si>
    <t>Banda L</t>
  </si>
  <si>
    <t>GAS</t>
  </si>
  <si>
    <t>GAS-E1"</t>
  </si>
  <si>
    <t>Caño Epoxi 1 Pulgada X 6.4 Mts Aprobado</t>
  </si>
  <si>
    <t>SISTEMA DE CLIMATIZACION</t>
  </si>
  <si>
    <t>CALDERA</t>
  </si>
  <si>
    <t>CALDERA (hasta 9 radiadores)</t>
  </si>
  <si>
    <t>$  1.300.000,00</t>
  </si>
  <si>
    <t>RAD</t>
  </si>
  <si>
    <t>RADIADOR 4 SECCIONES. Incluye valvulas y demas accesorios.</t>
  </si>
  <si>
    <t>$200.000,00</t>
  </si>
  <si>
    <t>HORMIGON</t>
  </si>
  <si>
    <t>H8</t>
  </si>
  <si>
    <t>Hormigon H8</t>
  </si>
  <si>
    <t>HBA</t>
  </si>
  <si>
    <t>H13</t>
  </si>
  <si>
    <t>Hormigon H13</t>
  </si>
  <si>
    <t>H17</t>
  </si>
  <si>
    <t>Hormigon H17</t>
  </si>
  <si>
    <t>H21</t>
  </si>
  <si>
    <t>Hormigon H21</t>
  </si>
  <si>
    <t>H25</t>
  </si>
  <si>
    <t>Hormigon H25</t>
  </si>
  <si>
    <t>H30</t>
  </si>
  <si>
    <t>Hormigon H30</t>
  </si>
  <si>
    <t>H35</t>
  </si>
  <si>
    <t>Hormigon H35</t>
  </si>
  <si>
    <t>H38</t>
  </si>
  <si>
    <t>Hormigon H38</t>
  </si>
  <si>
    <t>H40</t>
  </si>
  <si>
    <t>Hormigon H40</t>
  </si>
  <si>
    <t>H42</t>
  </si>
  <si>
    <t>Hormigon H42</t>
  </si>
  <si>
    <t>H47</t>
  </si>
  <si>
    <t>Hormigon H47</t>
  </si>
  <si>
    <t>H25P</t>
  </si>
  <si>
    <t>Hormigon H25 Pavimento</t>
  </si>
  <si>
    <t>H30P</t>
  </si>
  <si>
    <t>Hormigon H30 Pavimento</t>
  </si>
  <si>
    <t>H21PI</t>
  </si>
  <si>
    <t>Hormigon H21 Piso</t>
  </si>
  <si>
    <t>H30PI</t>
  </si>
  <si>
    <t>Hormigon H30 Piso</t>
  </si>
  <si>
    <t>HF-T</t>
  </si>
  <si>
    <t>FAST-TRACK</t>
  </si>
  <si>
    <t>H30V</t>
  </si>
  <si>
    <t>Hormigon H30 VISTO</t>
  </si>
  <si>
    <t>H40V</t>
  </si>
  <si>
    <t>Hormigon H40 VISTO</t>
  </si>
  <si>
    <t>H30G</t>
  </si>
  <si>
    <t>Hormigon H30 Gunitado</t>
  </si>
  <si>
    <t>H38G</t>
  </si>
  <si>
    <t>Hormigon H38 Gunitado</t>
  </si>
  <si>
    <t>H40G</t>
  </si>
  <si>
    <t>Hormigon H40 Gunitado</t>
  </si>
  <si>
    <t>RDC100</t>
  </si>
  <si>
    <t>RDC 100</t>
  </si>
  <si>
    <t>RDC150</t>
  </si>
  <si>
    <t>RDC 150</t>
  </si>
  <si>
    <t>RDC200</t>
  </si>
  <si>
    <t>RDC 200</t>
  </si>
  <si>
    <t>RDCB</t>
  </si>
  <si>
    <t>RDC 350 Bombeable</t>
  </si>
  <si>
    <t>SC</t>
  </si>
  <si>
    <t>Suelo Cemento</t>
  </si>
  <si>
    <t>H-PL-TI</t>
  </si>
  <si>
    <t>Bomba Pluma Traslado e Instalacion</t>
  </si>
  <si>
    <t>H-PL-m</t>
  </si>
  <si>
    <t>Bomba Pluma m3 bombeable</t>
  </si>
  <si>
    <t>H-E-TI</t>
  </si>
  <si>
    <t>Bomba Estacionaria Traslado e Instalacion</t>
  </si>
  <si>
    <t>H-E-m</t>
  </si>
  <si>
    <t>Bomba Estacionaria m3 bombeable</t>
  </si>
  <si>
    <t>MADERA</t>
  </si>
  <si>
    <t>M-QC200</t>
  </si>
  <si>
    <t>Tabla De Quebracho Colorado 1" X 20 CM. X 2.00 M.</t>
  </si>
  <si>
    <t>M-QC250</t>
  </si>
  <si>
    <t>Tabla De Quebracho Colorado 1" X 20 CM. X 2.50 M.</t>
  </si>
  <si>
    <t>M-P-CETOL</t>
  </si>
  <si>
    <t>Cetol Duración Extrema Satinado Secado Rápido 4 L Madera Mm Color Natural</t>
  </si>
  <si>
    <t>M-QP180</t>
  </si>
  <si>
    <t>PUNTAL DE QUEBRACHO 2X3 X 180m</t>
  </si>
  <si>
    <t>MANO DE OBRA</t>
  </si>
  <si>
    <t>FECHA</t>
  </si>
  <si>
    <t>MO-CA</t>
  </si>
  <si>
    <t>Capataz</t>
  </si>
  <si>
    <t>MO-PU</t>
  </si>
  <si>
    <t>Puntero</t>
  </si>
  <si>
    <t>MO-OF</t>
  </si>
  <si>
    <t>Oficial</t>
  </si>
  <si>
    <t>MO-AY</t>
  </si>
  <si>
    <t>Ayudante</t>
  </si>
  <si>
    <t>EQUIPOS</t>
  </si>
  <si>
    <t>REFERENCIA</t>
  </si>
  <si>
    <t>E-MC</t>
  </si>
  <si>
    <t>Mini Cargadora</t>
  </si>
  <si>
    <t>JP VIAL</t>
  </si>
  <si>
    <t>CON MAQUINISTA Y GASOIL</t>
  </si>
  <si>
    <t>E-MCM</t>
  </si>
  <si>
    <t>Mini Cargadora con martillo</t>
  </si>
  <si>
    <t>E-ME</t>
  </si>
  <si>
    <t>Mini Excavadora</t>
  </si>
  <si>
    <t>E-MP</t>
  </si>
  <si>
    <t>Motopison</t>
  </si>
  <si>
    <t>E-RP</t>
  </si>
  <si>
    <t>Retropala</t>
  </si>
  <si>
    <t>E-VC</t>
  </si>
  <si>
    <t>Vibrocompactador</t>
  </si>
  <si>
    <t>E-MN</t>
  </si>
  <si>
    <t>Motoniveladora</t>
  </si>
  <si>
    <t>E-CAMCH</t>
  </si>
  <si>
    <t>Camion Chasis</t>
  </si>
  <si>
    <t>E-REG</t>
  </si>
  <si>
    <t>Regador</t>
  </si>
  <si>
    <t>E-MAR</t>
  </si>
  <si>
    <t>Martillete</t>
  </si>
  <si>
    <t>allquifer</t>
  </si>
  <si>
    <t>E-ASC</t>
  </si>
  <si>
    <t>Ascerradora</t>
  </si>
  <si>
    <t>E-RET</t>
  </si>
  <si>
    <t>Retiro x camion</t>
  </si>
  <si>
    <t>Nico</t>
  </si>
  <si>
    <t>E-MR</t>
  </si>
  <si>
    <t>Mini Retro</t>
  </si>
  <si>
    <t>MS-TM3</t>
  </si>
  <si>
    <t>TOSCA x M3</t>
  </si>
  <si>
    <t>MS-TCA</t>
  </si>
  <si>
    <t>TOSCA X EQUIPO</t>
  </si>
  <si>
    <t>MS-ER</t>
  </si>
  <si>
    <t>EXCAVACION Y RETIRO</t>
  </si>
  <si>
    <t>precio a chekear</t>
  </si>
  <si>
    <t>MS-TC</t>
  </si>
  <si>
    <t>TOSCA COMPACTADA</t>
  </si>
  <si>
    <t>MS-ARBOL</t>
  </si>
  <si>
    <t>RETIRO DE ARBOL</t>
  </si>
  <si>
    <t>E-CAM</t>
  </si>
  <si>
    <t>Camioneta</t>
  </si>
  <si>
    <t>E-TRAS</t>
  </si>
  <si>
    <t>TRASLADO DE MAQUINARIA</t>
  </si>
  <si>
    <t>E-VOL</t>
  </si>
  <si>
    <t>Volquete</t>
  </si>
  <si>
    <t>E-EXC</t>
  </si>
  <si>
    <t>Excavadora 22TN</t>
  </si>
  <si>
    <t>E-TOP</t>
  </si>
  <si>
    <t>Topadora</t>
  </si>
  <si>
    <t>E-PALA</t>
  </si>
  <si>
    <t>Pala frontal</t>
  </si>
  <si>
    <t>SUBCONTRATOS</t>
  </si>
  <si>
    <t>PINTURA</t>
  </si>
  <si>
    <t>SUB-PI</t>
  </si>
  <si>
    <t>Pintura Interior: 1Mano Enduido + Yeso, 1 Mano Enduido, 2 a 3 Manos de Pintura</t>
  </si>
  <si>
    <t>CHIZO</t>
  </si>
  <si>
    <t>SUB-PIC</t>
  </si>
  <si>
    <t>Pintura Interior Cielorraso con una mano de enduido</t>
  </si>
  <si>
    <t>SUB-PET</t>
  </si>
  <si>
    <t>Pintura Exterior Tarquini</t>
  </si>
  <si>
    <t>SUB-PE</t>
  </si>
  <si>
    <t>Pintura Exterior</t>
  </si>
  <si>
    <t>SUB-PIY</t>
  </si>
  <si>
    <t>Pintura interior sobre yeso con una mano de enduido, lijado, fijado y pintado</t>
  </si>
  <si>
    <t xml:space="preserve">Pintura Interior </t>
  </si>
  <si>
    <t>SUB-END</t>
  </si>
  <si>
    <t>Enduido</t>
  </si>
  <si>
    <t>SUB-PPS</t>
  </si>
  <si>
    <t>Pintura Puerta Simple Hoja</t>
  </si>
  <si>
    <t>SUB-PPD</t>
  </si>
  <si>
    <t>Pintura Puerta Doble Hoja</t>
  </si>
  <si>
    <t>DURLOCK</t>
  </si>
  <si>
    <t>SUB-CIE</t>
  </si>
  <si>
    <t xml:space="preserve">Instalacion de Cielorraso Durlock. Incluye Materiales. </t>
  </si>
  <si>
    <t>CLAUDIO</t>
  </si>
  <si>
    <t>SUB-CIEDES</t>
  </si>
  <si>
    <t xml:space="preserve">Instalacion de Cielorraso Desmontable. Incluye Materiales. </t>
  </si>
  <si>
    <t>SUB-CIECO</t>
  </si>
  <si>
    <t xml:space="preserve">Instalacion de Cielorraso Durlock Cortineros.  Incluye Materiales. </t>
  </si>
  <si>
    <t>SUB-CIECA</t>
  </si>
  <si>
    <t xml:space="preserve">Instalacion de Cajon Durlock.  Incluye Materiales. </t>
  </si>
  <si>
    <t>SUB-CIEGL</t>
  </si>
  <si>
    <t xml:space="preserve">Instalacion de Cielorraso Durlock Garganta Led.   Incluye Materiales. </t>
  </si>
  <si>
    <t>SUB-TAB</t>
  </si>
  <si>
    <t xml:space="preserve">Instalacion de Tabique Durlock.  Incluye Materiales. </t>
  </si>
  <si>
    <t>SUB-BZ</t>
  </si>
  <si>
    <t xml:space="preserve">Instlacion Buña Z.  Incluye Materiales. </t>
  </si>
  <si>
    <t>SUB-CAN</t>
  </si>
  <si>
    <t xml:space="preserve">Instalacion Cantonera.  Incluye Materiales. </t>
  </si>
  <si>
    <t>ELECTRICIDAD</t>
  </si>
  <si>
    <t>SUB-E-BOC</t>
  </si>
  <si>
    <t>Boca. Mano de obra y Materiales.</t>
  </si>
  <si>
    <t>boca</t>
  </si>
  <si>
    <t>CABEZA</t>
  </si>
  <si>
    <t>SUB-E-COL</t>
  </si>
  <si>
    <t>Colocacion de artefatcos</t>
  </si>
  <si>
    <t>SUB-E-AAC</t>
  </si>
  <si>
    <t>Alimentacion aire acondicionado con split. (Mo y mat)</t>
  </si>
  <si>
    <t>SUB-E-TAB</t>
  </si>
  <si>
    <t>Instalacion de Tablero para 100 bocas (casa chica). Incluye alimentacion desde el pilar.</t>
  </si>
  <si>
    <t>SUB-ELE-B</t>
  </si>
  <si>
    <t>Boca mano de obra</t>
  </si>
  <si>
    <t>PISERO</t>
  </si>
  <si>
    <t>SUB-PIS</t>
  </si>
  <si>
    <t>PISO</t>
  </si>
  <si>
    <r>
      <rPr>
        <rFont val="Calibri"/>
        <color theme="1"/>
        <sz val="11.0"/>
      </rPr>
      <t>m</t>
    </r>
    <r>
      <rPr>
        <rFont val="Calibri"/>
        <color theme="1"/>
        <sz val="11.0"/>
      </rPr>
      <t>²</t>
    </r>
  </si>
  <si>
    <t>CESAR</t>
  </si>
  <si>
    <t>SUB-COR</t>
  </si>
  <si>
    <t>CORDON</t>
  </si>
  <si>
    <t>CEFERINO</t>
  </si>
  <si>
    <t>SUB-CONT</t>
  </si>
  <si>
    <t>BOMBEO HORMIGON CELULAR. Incluye mano de obra y bomba.</t>
  </si>
  <si>
    <r>
      <rPr>
        <rFont val="Calibri"/>
        <color theme="1"/>
        <sz val="11.0"/>
      </rPr>
      <t>m</t>
    </r>
    <r>
      <rPr>
        <rFont val="Calibri"/>
        <color theme="1"/>
        <sz val="11.0"/>
      </rPr>
      <t>²</t>
    </r>
  </si>
  <si>
    <t>ISMAEL</t>
  </si>
  <si>
    <t>REVESTIMIENTOS</t>
  </si>
  <si>
    <t>SUB-SIDING</t>
  </si>
  <si>
    <t>Colocion de siding en pared</t>
  </si>
  <si>
    <t>SUB-REV-CH</t>
  </si>
  <si>
    <t>Revestimiento de chapa</t>
  </si>
  <si>
    <t>Hugo</t>
  </si>
  <si>
    <t>SUB-YP</t>
  </si>
  <si>
    <t>Ejecucion de yeso proyectado en Pared</t>
  </si>
  <si>
    <t>SUB-YAC</t>
  </si>
  <si>
    <t>Ejecucion de yeso proyectado aristas y cantonera</t>
  </si>
  <si>
    <t>unidad</t>
  </si>
  <si>
    <t>MOVIMIENTO DE SUELOS</t>
  </si>
  <si>
    <t>MS-MC</t>
  </si>
  <si>
    <t xml:space="preserve">MINICARGADORA </t>
  </si>
  <si>
    <t>PABLO</t>
  </si>
  <si>
    <t>MS-MCM</t>
  </si>
  <si>
    <t>MINICARGADORA CON MARTILLO</t>
  </si>
  <si>
    <t>MS-MR</t>
  </si>
  <si>
    <t>MINIRETRO EXCAVADORA</t>
  </si>
  <si>
    <t>MS-T</t>
  </si>
  <si>
    <t>MS-RV</t>
  </si>
  <si>
    <t>RETIRO X VIAJE</t>
  </si>
  <si>
    <t>MS-RVL</t>
  </si>
  <si>
    <t>RETIRO X m la Lucila - sobre camion</t>
  </si>
  <si>
    <t>NICO</t>
  </si>
  <si>
    <t>MS-TM3L</t>
  </si>
  <si>
    <t>TOSCA x M3 la Lucila - Compactada</t>
  </si>
  <si>
    <t xml:space="preserve">TOSCA X CAMION </t>
  </si>
  <si>
    <t>INSTALACIONES</t>
  </si>
  <si>
    <t>Perfracion</t>
  </si>
  <si>
    <t>Perforacion  para bobas de 7.5 HP de 17m3/h materiales y mo</t>
  </si>
  <si>
    <t>GAS-B</t>
  </si>
  <si>
    <t>BOCA</t>
  </si>
  <si>
    <t>AGUSTIN</t>
  </si>
  <si>
    <t>GAS-20M</t>
  </si>
  <si>
    <t>INSTALACION 20 M CAÑERIA</t>
  </si>
  <si>
    <t>GAS-CAL</t>
  </si>
  <si>
    <t>INSTALACION CALDERA SOLO GAS</t>
  </si>
  <si>
    <t>GAS-ANA</t>
  </si>
  <si>
    <t>INSTALACION ANAFE</t>
  </si>
  <si>
    <t>ZINGUERO</t>
  </si>
  <si>
    <t>SUB-ZING</t>
  </si>
  <si>
    <t>Zinguero</t>
  </si>
  <si>
    <t>SERVICIOS</t>
  </si>
  <si>
    <t>BQ</t>
  </si>
  <si>
    <t>BAÑO QUIMICO</t>
  </si>
  <si>
    <t>RENTAPLAST</t>
  </si>
  <si>
    <t>OBR</t>
  </si>
  <si>
    <t>OBRADOR</t>
  </si>
  <si>
    <t>TCOM</t>
  </si>
  <si>
    <t>YESERO (EVER hermano de Jorge)</t>
  </si>
  <si>
    <t>SUB-YES-PARED</t>
  </si>
  <si>
    <t>YESO APLICADO EN PARED</t>
  </si>
  <si>
    <t>EVER</t>
  </si>
  <si>
    <t>3m2 de rendimiento x bolsa de yeso (30kg)</t>
  </si>
  <si>
    <t>SUB-YES-CIEL</t>
  </si>
  <si>
    <t>YESO APLICADO EN CIELORRASO</t>
  </si>
  <si>
    <t>SUB-YES-CIEL-ARM</t>
  </si>
  <si>
    <t>YESO APLICADO EN CIELORRASO ARMADO</t>
  </si>
  <si>
    <t>SUB-YES-BUNA</t>
  </si>
  <si>
    <t>YESO APLICADO - BUNA (x metro lineal)</t>
  </si>
  <si>
    <t>SUB-YES-ARISTA</t>
  </si>
  <si>
    <t>YESO APLICADO - ARISTA Y CANTONERA (x metro lineal)</t>
  </si>
  <si>
    <t>SILLETERO</t>
  </si>
  <si>
    <t>SILL- PE</t>
  </si>
  <si>
    <t>PINTURA EXTERIOR CON SILLETA</t>
  </si>
  <si>
    <t>oscar benitez</t>
  </si>
  <si>
    <t>SILL-RE</t>
  </si>
  <si>
    <t>REVOQUE EXTERIOR CON SILLETA. (con ceresita)</t>
  </si>
  <si>
    <t>JEFATURA DE OBRA (mes)</t>
  </si>
  <si>
    <t>Jefatura de Obra</t>
  </si>
  <si>
    <t>Jorge</t>
  </si>
  <si>
    <t>Jefe de Obra</t>
  </si>
  <si>
    <t>Gastos Estructura</t>
  </si>
  <si>
    <t>Nafta Jefe de Obra</t>
  </si>
  <si>
    <t>Nafta Jorge</t>
  </si>
  <si>
    <t>Guille</t>
  </si>
  <si>
    <t>Herramientas</t>
  </si>
  <si>
    <t>MESES</t>
  </si>
  <si>
    <t>G.E. + J.d. O TOTAL</t>
  </si>
  <si>
    <t>EDIFICIO LAS HERAS</t>
  </si>
  <si>
    <t xml:space="preserve">PLANILLA COMPUTO Y PRESPUPUESTO </t>
  </si>
  <si>
    <t>ITEM</t>
  </si>
  <si>
    <t xml:space="preserve">DESCRIPCIÓN </t>
  </si>
  <si>
    <t>CANTIDAD</t>
  </si>
  <si>
    <t>SUBTOTAL 01: GASTOS DIRECTOS</t>
  </si>
  <si>
    <t>SUBTOTAL 02: GASTOS INDIRECTOS</t>
  </si>
  <si>
    <t>SUBTOTAL 03: BENEFICIOS</t>
  </si>
  <si>
    <t>TOTAL (NETO)</t>
  </si>
  <si>
    <t>V.UNITARIO</t>
  </si>
  <si>
    <t>V.GENERAL</t>
  </si>
  <si>
    <t>V. GENERAL</t>
  </si>
  <si>
    <t>V. UNITARIO</t>
  </si>
  <si>
    <t>MAT.</t>
  </si>
  <si>
    <t>M.O.: JORNALES</t>
  </si>
  <si>
    <t>M.O.: EQUIPOS</t>
  </si>
  <si>
    <t>M.O.: MATERIALES</t>
  </si>
  <si>
    <t>M.O.: SUBCONTRATOS</t>
  </si>
  <si>
    <t>M.O.</t>
  </si>
  <si>
    <t>GENERAL</t>
  </si>
  <si>
    <t>M.O</t>
  </si>
  <si>
    <t>1- TAREAS PRELIMINARES</t>
  </si>
  <si>
    <t>0.1</t>
  </si>
  <si>
    <t>mes</t>
  </si>
  <si>
    <t>0.2</t>
  </si>
  <si>
    <t>BANOS QUIMICOS (2)</t>
  </si>
  <si>
    <t>0.3</t>
  </si>
  <si>
    <t>INSTALACIONES PROVISORIAS</t>
  </si>
  <si>
    <t>gl</t>
  </si>
  <si>
    <t>0.4</t>
  </si>
  <si>
    <t>LIMPIEZA PERIODICA DE OBRA</t>
  </si>
  <si>
    <t>0.5</t>
  </si>
  <si>
    <t>ACARREO DE MATERIALES</t>
  </si>
  <si>
    <t>0.6</t>
  </si>
  <si>
    <t>AYUDA DE GREMIOS</t>
  </si>
  <si>
    <t>0.7</t>
  </si>
  <si>
    <t>LIMPIEZA FINAL</t>
  </si>
  <si>
    <t>0.8</t>
  </si>
  <si>
    <t>ESTRUCTURA DE ENCOFRADO Y APUNTALAMIENTO PROVISORIO</t>
  </si>
  <si>
    <t>EXCAVACION</t>
  </si>
  <si>
    <t>0.9</t>
  </si>
  <si>
    <t>EXCAVACION BASES Y TRONCOS</t>
  </si>
  <si>
    <t>m³</t>
  </si>
  <si>
    <t>0.10</t>
  </si>
  <si>
    <t>EXCAVACION TENSORES</t>
  </si>
  <si>
    <t>0.11</t>
  </si>
  <si>
    <t>EXCAVACION TRONERAS</t>
  </si>
  <si>
    <t>OBRA GRIS - FUNDACIONES</t>
  </si>
  <si>
    <t>0.12</t>
  </si>
  <si>
    <t>BASES</t>
  </si>
  <si>
    <t>0.13</t>
  </si>
  <si>
    <t>TRONCOS</t>
  </si>
  <si>
    <t>0.14</t>
  </si>
  <si>
    <t>TENSORES</t>
  </si>
  <si>
    <t>0.15</t>
  </si>
  <si>
    <t>TABIQUES DE SUBMURACION</t>
  </si>
  <si>
    <t>OBRA GRIS - SOBRE SUBSUELO</t>
  </si>
  <si>
    <t>COLUMNAS Y TABIQUES</t>
  </si>
  <si>
    <t xml:space="preserve">VIGAS </t>
  </si>
  <si>
    <t>LOSA</t>
  </si>
  <si>
    <t>1.31</t>
  </si>
  <si>
    <t>LOSA DE SUPRESION SOBRE SUELO COMPACTADO. e=10cm.</t>
  </si>
  <si>
    <t>1.32</t>
  </si>
  <si>
    <t>PAVIMENTO ALISADO EN ESTACIONAMIENTO. e=10cm</t>
  </si>
  <si>
    <t>m²</t>
  </si>
  <si>
    <t>MAMPOSTERIA.</t>
  </si>
  <si>
    <t>CONTRAPISO . e=12cm</t>
  </si>
  <si>
    <t>CARPETA . e=3cm</t>
  </si>
  <si>
    <t>REVOQUE INTERIOR. (GRUESO FRATAZADO)</t>
  </si>
  <si>
    <t>REVOQUE INTERTIOR HIDROFUGO.</t>
  </si>
  <si>
    <t>OBRA GRIS - SOBRE PLANTA BAJA</t>
  </si>
  <si>
    <t>n</t>
  </si>
  <si>
    <t>CONTRAPISO INTERIOR . e=12cm</t>
  </si>
  <si>
    <t>2.51</t>
  </si>
  <si>
    <t>CARPETA INTERIOR. e=3cm</t>
  </si>
  <si>
    <t>REVOQUE EXTERIOR (GRUESO FRATAZADO) CON HIDROFUGO.</t>
  </si>
  <si>
    <t>OBRA GRIS - SOBRE PRIMER PISO</t>
  </si>
  <si>
    <t>OBRA GRIS - SOBRE SEGUNDO PISO</t>
  </si>
  <si>
    <t>OBRA GRIS - SOBRE TERCER PISO</t>
  </si>
  <si>
    <t>OBRA GRIS - SOBRE CUARTO PISO</t>
  </si>
  <si>
    <t>OBRA GRIS - SOBRE QUINTO PISO</t>
  </si>
  <si>
    <t>OBRA GRIS - SOBRE SEXTO PISO</t>
  </si>
  <si>
    <t>OBRA GRIS - SOBRE SEPTIMO PISO</t>
  </si>
  <si>
    <t>OBRA GRIS - SOBRE OCTAVO PISO</t>
  </si>
  <si>
    <t xml:space="preserve">OBRA GRIS - SOBRE AZOTEA </t>
  </si>
  <si>
    <t>CONTRAPISO . e=12cm (Terraza Accesible)</t>
  </si>
  <si>
    <t>CARPETA . e=3cm (Terraza Accesible)</t>
  </si>
  <si>
    <t>CONTRAPISO . e=12cm (Terraza Inaccesible)</t>
  </si>
  <si>
    <t>CARPETA . e=3cm (Terraza Inaccesible)</t>
  </si>
  <si>
    <t>SUBTOTAL 01 - COSTOS DIRECTOS</t>
  </si>
  <si>
    <t>IMPREVISTOS</t>
  </si>
  <si>
    <t>GASTOS ESTRUCTURA</t>
  </si>
  <si>
    <t>JEFATURA DE OBRA</t>
  </si>
  <si>
    <t>SUBTOTAL 02 - COSTOS INDIRECTOS</t>
  </si>
  <si>
    <t>BENEFICIO ANTES DE IMPUESTOS</t>
  </si>
  <si>
    <t>GASATOS FINANCIEROS</t>
  </si>
  <si>
    <t>SUBTOTAL 03 - BENEFICIOS</t>
  </si>
  <si>
    <t>INGRESOS BRUTOS</t>
  </si>
  <si>
    <t>IMPUESTO AL CHEQUE</t>
  </si>
  <si>
    <t>IVA</t>
  </si>
  <si>
    <t>TOTAL (FINAL)</t>
  </si>
  <si>
    <t>materiales</t>
  </si>
  <si>
    <t>DIAS (con desperdicio)</t>
  </si>
  <si>
    <t>FUNDACIONES</t>
  </si>
  <si>
    <t>SB</t>
  </si>
  <si>
    <t>PB</t>
  </si>
  <si>
    <t>P1</t>
  </si>
  <si>
    <t>P2</t>
  </si>
  <si>
    <t>P3</t>
  </si>
  <si>
    <t>P4</t>
  </si>
  <si>
    <t>P5</t>
  </si>
  <si>
    <t>P6</t>
  </si>
  <si>
    <t>P7</t>
  </si>
  <si>
    <t>P8</t>
  </si>
  <si>
    <t>AZOTEA</t>
  </si>
  <si>
    <t>SUBTOTAL DIAS</t>
  </si>
  <si>
    <t xml:space="preserve">MESES </t>
  </si>
  <si>
    <t>CUENTA AL AIRE</t>
  </si>
  <si>
    <t>SUBTOTAL MESES</t>
  </si>
  <si>
    <t xml:space="preserve">mes </t>
  </si>
  <si>
    <t xml:space="preserve">estructura </t>
  </si>
  <si>
    <t>albanileria</t>
  </si>
  <si>
    <t>sub</t>
  </si>
  <si>
    <t>s/pb</t>
  </si>
  <si>
    <t>s/p1</t>
  </si>
  <si>
    <t>s/p2</t>
  </si>
  <si>
    <t>s/p3</t>
  </si>
  <si>
    <t>s/p4</t>
  </si>
  <si>
    <t>s/p5</t>
  </si>
  <si>
    <t>s/p6</t>
  </si>
  <si>
    <t>s/p7</t>
  </si>
  <si>
    <t>s/p8</t>
  </si>
  <si>
    <t>azotea</t>
  </si>
  <si>
    <t>s/p8 + azotea</t>
  </si>
  <si>
    <t>Pilar, 04 de Marzo de 2026.</t>
  </si>
  <si>
    <t>hierro</t>
  </si>
  <si>
    <t>hormigon (m3)</t>
  </si>
  <si>
    <t xml:space="preserve">NOTAS: </t>
  </si>
  <si>
    <t xml:space="preserve">* Todos los valores aqui expresados son mas IVA. </t>
  </si>
  <si>
    <t>* La forma: Adelanto = A coordinar - certificaciones quincenales contra avance ajustables por el indice general de la construcción de la CAC. Mes base a corrdinar.</t>
  </si>
  <si>
    <t xml:space="preserve">* Validez del presupeusto: 10 dias. </t>
  </si>
  <si>
    <t>* Inicio de tareas a coordinar.</t>
  </si>
  <si>
    <t>*Duración de trabajos: A COORDINAR.</t>
  </si>
  <si>
    <t>Sin más saludo muy atentamente.</t>
  </si>
  <si>
    <t>Ing. Nicolás Patalano.</t>
  </si>
  <si>
    <t>M2</t>
  </si>
  <si>
    <t>MAT</t>
  </si>
  <si>
    <t>MO</t>
  </si>
  <si>
    <t>MAT + MO</t>
  </si>
  <si>
    <t>CUBIERTO</t>
  </si>
  <si>
    <t>S/CUBIERTO</t>
  </si>
  <si>
    <t>DESCUBIERTO</t>
  </si>
  <si>
    <t>TOTAL PESOS</t>
  </si>
  <si>
    <t>TOTAL USD</t>
  </si>
  <si>
    <t>SUBSUELO</t>
  </si>
  <si>
    <t>USD X M2</t>
  </si>
  <si>
    <t>PLANTA BAJA</t>
  </si>
  <si>
    <t>AZOTEA ACC.</t>
  </si>
  <si>
    <t>AZOTEA INACC.</t>
  </si>
  <si>
    <t>SUBTOTAL</t>
  </si>
  <si>
    <t>TOTAL</t>
  </si>
  <si>
    <t>Código</t>
  </si>
  <si>
    <t>Descripción</t>
  </si>
  <si>
    <t>Unidad</t>
  </si>
  <si>
    <t>Cantidad</t>
  </si>
  <si>
    <t>Desperdicio</t>
  </si>
  <si>
    <t>Cantidad + Desperdicio</t>
  </si>
  <si>
    <t>Precio Unitario</t>
  </si>
  <si>
    <t>Subtotal</t>
  </si>
  <si>
    <t>TOTAL MATERIALES</t>
  </si>
  <si>
    <t xml:space="preserve">TOTAL x </t>
  </si>
  <si>
    <t>MANO DE OBRA - PERSONAS</t>
  </si>
  <si>
    <t>Dias</t>
  </si>
  <si>
    <t>MANO DE OBRA - EQUIPOS</t>
  </si>
  <si>
    <t>tirante 3x3</t>
  </si>
  <si>
    <t>COMPRANDOLOS</t>
  </si>
  <si>
    <t>tabla 1x4</t>
  </si>
  <si>
    <t>ALQUILER PUNTALES</t>
  </si>
  <si>
    <t/>
  </si>
  <si>
    <t>PUNTALES</t>
  </si>
  <si>
    <t>COMPRA PERIS</t>
  </si>
  <si>
    <t>PERIS</t>
  </si>
  <si>
    <t xml:space="preserve">80 x losa </t>
  </si>
  <si>
    <t>MANO DE OBRA - MATERIALES</t>
  </si>
  <si>
    <t>1kg x 4col</t>
  </si>
  <si>
    <t>aprox son 30 col</t>
  </si>
  <si>
    <t>clavos</t>
  </si>
  <si>
    <t>ALQUILANDOLOS</t>
  </si>
  <si>
    <t>10.000 X MES C/U</t>
  </si>
  <si>
    <t>OBRA DE 9 MESES</t>
  </si>
  <si>
    <t>https://www.mercadolibre.com.ar/viga-h20-alma-fenolico-p-encofrado-maderwil-500mtsx20cm-im/up/MLAU3006820611#polycard_client=search-desktop&amp;search_layout=grid&amp;position=37&amp;type=product&amp;tracking_id=96ec5412-75db-4875-9959-a13636106fa9&amp;wid=MLA2012431448&amp;sid=search</t>
  </si>
  <si>
    <t>COL</t>
  </si>
  <si>
    <t>PARA TRES 3 PISOS</t>
  </si>
  <si>
    <t>PARA 9 PISOS</t>
  </si>
  <si>
    <t>TIRANTES (2 x col)</t>
  </si>
  <si>
    <t>TABLAS (6 x col)</t>
  </si>
  <si>
    <t>VIGAS</t>
  </si>
  <si>
    <t>TIRANTES</t>
  </si>
  <si>
    <t>MANO DE OBRA - SUBCONTRATOS</t>
  </si>
  <si>
    <t>TABLAS</t>
  </si>
  <si>
    <t>son 40 columnas + tabqiues</t>
  </si>
  <si>
    <t>HIERROS</t>
  </si>
  <si>
    <t>FENOLICOS VISTOS</t>
  </si>
  <si>
    <t xml:space="preserve">FENOLICOS </t>
  </si>
  <si>
    <t>BOMBA</t>
  </si>
  <si>
    <t>ADICIONAL X BOMBEO</t>
  </si>
  <si>
    <t>alambre</t>
  </si>
  <si>
    <t>SE LLENAN LOS TRONCOS JUNTOS CN LAS BASES</t>
  </si>
  <si>
    <t xml:space="preserve">Ismael- GUNITADO </t>
  </si>
  <si>
    <t>1 PALO X DIA - SON DOS ETAPAS - POR ENDE DOS DIAS</t>
  </si>
  <si>
    <t>270M2 DE LOSA</t>
  </si>
  <si>
    <t>HORMIGON ESCALERA</t>
  </si>
  <si>
    <t>HIERROS ESCALERAS</t>
  </si>
  <si>
    <t>FEN. ESCALERAS</t>
  </si>
  <si>
    <t>AREA</t>
  </si>
  <si>
    <t>ESPESOR (M)</t>
  </si>
  <si>
    <t>AREA (M2)</t>
  </si>
  <si>
    <t>m5,5</t>
  </si>
  <si>
    <t>BOMBEO</t>
  </si>
  <si>
    <t>PARA TIRAR NIVELES</t>
  </si>
  <si>
    <t>XM2</t>
  </si>
  <si>
    <t>1 DIA PARA TIRAR LOS NIVELES</t>
  </si>
  <si>
    <t>ALTURA (M)</t>
  </si>
  <si>
    <t>M LINEALES DE MAMPOSTERIA DEL 12</t>
  </si>
  <si>
    <t>15M2 X DIA ENTRE 1 OFICIAL Y 1 AYUDANTE</t>
  </si>
  <si>
    <t>60M2 X DIA ENTRE 4 PAREJAS</t>
  </si>
  <si>
    <t>dis</t>
  </si>
  <si>
    <t>ar</t>
  </si>
  <si>
    <t>cem</t>
  </si>
  <si>
    <t>2 dias de marcar niveles con ladrillos</t>
  </si>
  <si>
    <t xml:space="preserve">M3 </t>
  </si>
  <si>
    <t>12KG DE CEMENTO X M2 DE CARPETA (3CM)</t>
  </si>
  <si>
    <t>50% MAS X RECUADRO DE VANOS</t>
  </si>
  <si>
    <t>SE REVOCAN APROX 15M2 X DIA (1 OF Y 1 AY)</t>
  </si>
  <si>
    <t>M2 X DIA (8 PERSONAS)</t>
  </si>
  <si>
    <t>DIAS: 50% MAS X RECUADRO DE VANOS</t>
  </si>
  <si>
    <t>400 GR/M2 (REVOQUE DE 2CM)</t>
  </si>
  <si>
    <t>son 30 columnas + tabqiues</t>
  </si>
  <si>
    <t>dos semanas de laburo</t>
  </si>
  <si>
    <t>SON 170 M DE VIGAS</t>
  </si>
  <si>
    <t>M3</t>
  </si>
  <si>
    <t>1 dia para tirar los niveles</t>
  </si>
  <si>
    <t>desperdicio del 50% pq el precio es re en negro</t>
  </si>
  <si>
    <t>SON 189 M DE VIGAS</t>
  </si>
  <si>
    <t>M LINEALES DE MAMPOSTERIA</t>
  </si>
  <si>
    <t>1 dia para poner los niveles cn ladrillo comun</t>
  </si>
  <si>
    <t>sub-cont</t>
  </si>
  <si>
    <t>aprox son 10 col</t>
  </si>
  <si>
    <t>MAS CARO PQ CARGA MAS POR LAS PENDIENTES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</si>
</sst>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-[$$-2C0A]\ * #,##0.00_-;\-[$$-2C0A]\ * #,##0.00_-;_-[$$-2C0A]\ * &quot;-&quot;??_-;_-@"/>
    <numFmt numFmtId="165" formatCode="d/m/yyyy"/>
    <numFmt numFmtId="166" formatCode="[$usd]#,##0.00"/>
    <numFmt numFmtId="167" formatCode="_-[$$-409]* #,##0.00_ ;_-[$$-409]* \-#,##0.00\ ;_-[$$-409]* &quot;-&quot;??_ ;_-@_ "/>
    <numFmt numFmtId="168" formatCode="dd/mm/yy"/>
    <numFmt numFmtId="169" formatCode="[$ $]#,##0.00"/>
    <numFmt numFmtId="170" formatCode="d.m"/>
    <numFmt numFmtId="171" formatCode="[$u$u]#,##0.00"/>
  </numFmts>
  <fonts count="25">
    <font>
      <sz val="11.0"/>
      <color theme="1"/>
      <name val="Calibri"/>
      <scheme val="minor"/>
    </font>
    <font>
      <b/>
      <sz val="22.0"/>
      <color rgb="FFFFFFFF"/>
      <name val="Calibri"/>
    </font>
    <font>
      <sz val="11.0"/>
      <color theme="1"/>
      <name val="Calibri"/>
    </font>
    <font>
      <sz val="11.0"/>
      <color rgb="FFFFFFFF"/>
      <name val="Calibri"/>
    </font>
    <font>
      <b/>
      <sz val="11.0"/>
      <color theme="1"/>
      <name val="Calibri"/>
    </font>
    <font>
      <sz val="11.0"/>
      <color rgb="FF999999"/>
      <name val="Calibri"/>
    </font>
    <font>
      <sz val="11.0"/>
      <color theme="1"/>
      <name val="Arial"/>
    </font>
    <font>
      <u/>
      <sz val="11.0"/>
      <color rgb="FF0563C1"/>
      <name val="Arial"/>
    </font>
    <font>
      <b/>
      <sz val="11.0"/>
      <color rgb="FF757070"/>
      <name val="Calibri"/>
    </font>
    <font>
      <sz val="11.0"/>
      <color rgb="FFA5A5A5"/>
      <name val="Calibri"/>
    </font>
    <font>
      <sz val="11.0"/>
      <color rgb="FF757070"/>
      <name val="Calibri"/>
    </font>
    <font>
      <sz val="11.0"/>
      <color rgb="FFBFBFBF"/>
      <name val="Calibri"/>
    </font>
    <font>
      <color theme="1"/>
      <name val="Calibri"/>
      <scheme val="minor"/>
    </font>
    <font>
      <b/>
      <color theme="1"/>
      <name val="Calibri"/>
      <scheme val="minor"/>
    </font>
    <font/>
    <font>
      <sz val="11.0"/>
      <color theme="0"/>
      <name val="Calibri"/>
    </font>
    <font>
      <sz val="11.0"/>
      <color rgb="FFFF0000"/>
      <name val="Calibri"/>
    </font>
    <font>
      <b/>
      <sz val="20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8.0"/>
      <color rgb="FFBDD6EE"/>
      <name val="Calibri"/>
    </font>
    <font>
      <b/>
      <sz val="8.0"/>
      <color rgb="FFFFFFFF"/>
      <name val="Calibri"/>
    </font>
    <font>
      <b/>
      <sz val="11.0"/>
      <color rgb="FFFFFFFF"/>
      <name val="Calibri"/>
    </font>
    <font>
      <color theme="1"/>
      <name val="Calibri"/>
    </font>
    <font>
      <u/>
      <color rgb="FF0000FF"/>
    </font>
  </fonts>
  <fills count="1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AF9F9"/>
        <bgColor rgb="FFFAF9F9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9E2F3"/>
        <bgColor rgb="FFD9E2F3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40">
    <border/>
    <border>
      <left/>
      <right/>
      <top/>
      <bottom/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/>
      <top/>
      <bottom/>
    </border>
    <border>
      <top/>
      <bottom/>
    </border>
    <border>
      <left/>
      <right/>
      <top/>
    </border>
  </borders>
  <cellStyleXfs count="1">
    <xf borderId="0" fillId="0" fontId="0" numFmtId="0" applyAlignment="1" applyFont="1"/>
  </cellStyleXfs>
  <cellXfs count="2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2" fontId="3" numFmtId="0" xfId="0" applyAlignment="1" applyFont="1">
      <alignment horizontal="center"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horizontal="center" vertical="bottom"/>
    </xf>
    <xf borderId="0" fillId="3" fontId="2" numFmtId="164" xfId="0" applyAlignment="1" applyFont="1" applyNumberFormat="1">
      <alignment horizontal="right" vertical="bottom"/>
    </xf>
    <xf borderId="0" fillId="3" fontId="4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2" numFmtId="0" xfId="0" applyAlignment="1" applyFont="1">
      <alignment horizontal="center" vertical="bottom"/>
    </xf>
    <xf borderId="0" fillId="0" fontId="4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4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165" xfId="0" applyAlignment="1" applyFont="1" applyNumberForma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165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0" fillId="4" fontId="2" numFmtId="0" xfId="0" applyAlignment="1" applyFill="1" applyFont="1">
      <alignment vertical="bottom"/>
    </xf>
    <xf borderId="0" fillId="4" fontId="2" numFmtId="0" xfId="0" applyAlignment="1" applyFont="1">
      <alignment horizontal="center" vertical="bottom"/>
    </xf>
    <xf borderId="0" fillId="2" fontId="3" numFmtId="164" xfId="0" applyAlignment="1" applyFont="1" applyNumberFormat="1">
      <alignment vertical="bottom"/>
    </xf>
    <xf borderId="0" fillId="2" fontId="2" numFmtId="164" xfId="0" applyAlignment="1" applyFont="1" applyNumberFormat="1">
      <alignment vertical="bottom"/>
    </xf>
    <xf borderId="0" fillId="2" fontId="2" numFmtId="165" xfId="0" applyAlignment="1" applyFont="1" applyNumberFormat="1">
      <alignment vertical="bottom"/>
    </xf>
    <xf borderId="0" fillId="0" fontId="2" numFmtId="166" xfId="0" applyAlignment="1" applyFont="1" applyNumberFormat="1">
      <alignment vertical="bottom"/>
    </xf>
    <xf borderId="0" fillId="0" fontId="2" numFmtId="0" xfId="0" applyAlignment="1" applyFont="1">
      <alignment horizontal="center" readingOrder="0" vertical="bottom"/>
    </xf>
    <xf borderId="0" fillId="3" fontId="2" numFmtId="0" xfId="0" applyAlignment="1" applyFont="1">
      <alignment readingOrder="0" vertical="bottom"/>
    </xf>
    <xf borderId="0" fillId="3" fontId="2" numFmtId="16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0" fontId="2" numFmtId="167" xfId="0" applyAlignment="1" applyFont="1" applyNumberFormat="1">
      <alignment vertical="bottom"/>
    </xf>
    <xf borderId="0" fillId="0" fontId="6" numFmtId="168" xfId="0" applyAlignment="1" applyFont="1" applyNumberFormat="1">
      <alignment horizontal="right" vertical="bottom"/>
    </xf>
    <xf borderId="0" fillId="0" fontId="7" numFmtId="0" xfId="0" applyAlignment="1" applyFont="1">
      <alignment vertical="bottom"/>
    </xf>
    <xf borderId="0" fillId="3" fontId="2" numFmtId="167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  <xf borderId="0" fillId="0" fontId="2" numFmtId="169" xfId="0" applyAlignment="1" applyFont="1" applyNumberFormat="1">
      <alignment vertical="bottom"/>
    </xf>
    <xf borderId="0" fillId="0" fontId="6" numFmtId="164" xfId="0" applyAlignment="1" applyFont="1" applyNumberFormat="1">
      <alignment horizontal="right" vertical="bottom"/>
    </xf>
    <xf borderId="0" fillId="2" fontId="3" numFmtId="169" xfId="0" applyAlignment="1" applyFont="1" applyNumberFormat="1">
      <alignment vertical="bottom"/>
    </xf>
    <xf borderId="0" fillId="3" fontId="2" numFmtId="169" xfId="0" applyAlignment="1" applyFont="1" applyNumberFormat="1">
      <alignment vertical="bottom"/>
    </xf>
    <xf borderId="0" fillId="2" fontId="2" numFmtId="9" xfId="0" applyAlignment="1" applyFont="1" applyNumberFormat="1">
      <alignment vertical="bottom"/>
    </xf>
    <xf borderId="0" fillId="0" fontId="5" numFmtId="164" xfId="0" applyAlignment="1" applyFont="1" applyNumberFormat="1">
      <alignment vertical="bottom"/>
    </xf>
    <xf borderId="0" fillId="0" fontId="2" numFmtId="9" xfId="0" applyAlignment="1" applyFont="1" applyNumberFormat="1">
      <alignment vertical="bottom"/>
    </xf>
    <xf borderId="0" fillId="2" fontId="3" numFmtId="164" xfId="0" applyAlignment="1" applyFont="1" applyNumberForma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0" fontId="4" numFmtId="169" xfId="0" applyAlignment="1" applyFont="1" applyNumberFormat="1">
      <alignment horizontal="right" vertical="bottom"/>
    </xf>
    <xf borderId="0" fillId="3" fontId="4" numFmtId="169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3" fontId="2" numFmtId="0" xfId="0" applyAlignment="1" applyFont="1">
      <alignment horizontal="right" vertical="bottom"/>
    </xf>
    <xf borderId="0" fillId="5" fontId="2" numFmtId="0" xfId="0" applyAlignment="1" applyFill="1" applyFont="1">
      <alignment vertical="bottom"/>
    </xf>
    <xf borderId="0" fillId="0" fontId="2" numFmtId="169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6" fontId="4" numFmtId="169" xfId="0" applyAlignment="1" applyFill="1" applyFont="1" applyNumberFormat="1">
      <alignment horizontal="right" readingOrder="0" vertical="bottom"/>
    </xf>
    <xf borderId="0" fillId="0" fontId="5" numFmtId="9" xfId="0" applyAlignment="1" applyFont="1" applyNumberFormat="1">
      <alignment vertical="bottom"/>
    </xf>
    <xf borderId="0" fillId="0" fontId="4" numFmtId="169" xfId="0" applyAlignment="1" applyFont="1" applyNumberFormat="1">
      <alignment horizontal="right" readingOrder="0" vertical="bottom"/>
    </xf>
    <xf borderId="0" fillId="5" fontId="2" numFmtId="169" xfId="0" applyAlignment="1" applyFont="1" applyNumberFormat="1">
      <alignment vertical="bottom"/>
    </xf>
    <xf borderId="0" fillId="5" fontId="2" numFmtId="165" xfId="0" applyAlignment="1" applyFont="1" applyNumberFormat="1">
      <alignment vertical="bottom"/>
    </xf>
    <xf borderId="0" fillId="5" fontId="2" numFmtId="0" xfId="0" applyAlignment="1" applyFont="1">
      <alignment horizontal="center" vertical="bottom"/>
    </xf>
    <xf borderId="1" fillId="2" fontId="1" numFmtId="0" xfId="0" applyAlignment="1" applyBorder="1" applyFont="1">
      <alignment vertical="bottom"/>
    </xf>
    <xf borderId="1" fillId="2" fontId="2" numFmtId="0" xfId="0" applyAlignment="1" applyBorder="1" applyFont="1">
      <alignment vertical="bottom"/>
    </xf>
    <xf borderId="1" fillId="2" fontId="3" numFmtId="0" xfId="0" applyAlignment="1" applyBorder="1" applyFont="1">
      <alignment vertical="bottom"/>
    </xf>
    <xf borderId="1" fillId="4" fontId="2" numFmtId="0" xfId="0" applyAlignment="1" applyBorder="1" applyFont="1">
      <alignment vertical="bottom"/>
    </xf>
    <xf borderId="0" fillId="6" fontId="2" numFmtId="0" xfId="0" applyAlignment="1" applyFont="1">
      <alignment vertical="bottom"/>
    </xf>
    <xf borderId="0" fillId="6" fontId="2" numFmtId="0" xfId="0" applyAlignment="1" applyFont="1">
      <alignment horizontal="center" vertical="bottom"/>
    </xf>
    <xf borderId="0" fillId="6" fontId="4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165" xfId="0" applyAlignment="1" applyFont="1" applyNumberFormat="1">
      <alignment horizontal="center" vertical="bottom"/>
    </xf>
    <xf borderId="0" fillId="7" fontId="4" numFmtId="164" xfId="0" applyAlignment="1" applyFill="1" applyFont="1" applyNumberFormat="1">
      <alignment horizontal="right" readingOrder="0" vertical="bottom"/>
    </xf>
    <xf borderId="0" fillId="7" fontId="2" numFmtId="0" xfId="0" applyAlignment="1" applyFont="1">
      <alignment readingOrder="0" vertical="bottom"/>
    </xf>
    <xf borderId="0" fillId="0" fontId="5" numFmtId="0" xfId="0" applyAlignment="1" applyFont="1">
      <alignment horizontal="center" readingOrder="0" vertical="bottom"/>
    </xf>
    <xf borderId="0" fillId="0" fontId="5" numFmtId="165" xfId="0" applyAlignment="1" applyFont="1" applyNumberFormat="1">
      <alignment horizontal="center" readingOrder="0" vertical="bottom"/>
    </xf>
    <xf borderId="0" fillId="2" fontId="3" numFmtId="165" xfId="0" applyAlignment="1" applyFont="1" applyNumberFormat="1">
      <alignment vertical="bottom"/>
    </xf>
    <xf borderId="0" fillId="2" fontId="3" numFmtId="0" xfId="0" applyAlignment="1" applyFont="1">
      <alignment readingOrder="0" vertical="bottom"/>
    </xf>
    <xf borderId="0" fillId="4" fontId="2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2" fillId="0" fontId="2" numFmtId="0" xfId="0" applyAlignment="1" applyBorder="1" applyFont="1">
      <alignment vertical="bottom"/>
    </xf>
    <xf borderId="3" fillId="0" fontId="8" numFmtId="0" xfId="0" applyAlignment="1" applyBorder="1" applyFont="1">
      <alignment vertical="bottom"/>
    </xf>
    <xf borderId="4" fillId="0" fontId="8" numFmtId="164" xfId="0" applyAlignment="1" applyBorder="1" applyFont="1" applyNumberFormat="1">
      <alignment horizontal="right" vertical="bottom"/>
    </xf>
    <xf borderId="3" fillId="0" fontId="9" numFmtId="0" xfId="0" applyAlignment="1" applyBorder="1" applyFont="1">
      <alignment vertical="bottom"/>
    </xf>
    <xf borderId="4" fillId="0" fontId="10" numFmtId="164" xfId="0" applyAlignment="1" applyBorder="1" applyFont="1" applyNumberFormat="1">
      <alignment horizontal="right" readingOrder="0" vertical="bottom"/>
    </xf>
    <xf borderId="3" fillId="0" fontId="11" numFmtId="0" xfId="0" applyAlignment="1" applyBorder="1" applyFont="1">
      <alignment vertical="bottom"/>
    </xf>
    <xf borderId="4" fillId="0" fontId="11" numFmtId="164" xfId="0" applyAlignment="1" applyBorder="1" applyFont="1" applyNumberFormat="1">
      <alignment horizontal="right" readingOrder="0" vertical="bottom"/>
    </xf>
    <xf borderId="5" fillId="0" fontId="11" numFmtId="0" xfId="0" applyAlignment="1" applyBorder="1" applyFont="1">
      <alignment vertical="bottom"/>
    </xf>
    <xf borderId="6" fillId="0" fontId="11" numFmtId="164" xfId="0" applyAlignment="1" applyBorder="1" applyFont="1" applyNumberFormat="1">
      <alignment horizontal="right" readingOrder="0" vertical="bottom"/>
    </xf>
    <xf borderId="0" fillId="7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7" fillId="0" fontId="2" numFmtId="0" xfId="0" applyAlignment="1" applyBorder="1" applyFont="1">
      <alignment vertical="bottom"/>
    </xf>
    <xf borderId="6" fillId="0" fontId="4" numFmtId="164" xfId="0" applyAlignment="1" applyBorder="1" applyFont="1" applyNumberFormat="1">
      <alignment horizontal="right" vertical="bottom"/>
    </xf>
    <xf borderId="0" fillId="7" fontId="12" numFmtId="1" xfId="0" applyAlignment="1" applyFont="1" applyNumberFormat="1">
      <alignment readingOrder="0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0" fillId="0" fontId="2" numFmtId="0" xfId="0" applyFont="1"/>
    <xf borderId="1" fillId="2" fontId="1" numFmtId="0" xfId="0" applyBorder="1" applyFont="1"/>
    <xf borderId="1" fillId="2" fontId="3" numFmtId="0" xfId="0" applyBorder="1" applyFont="1"/>
    <xf borderId="8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shrinkToFit="0" vertical="center" wrapText="1"/>
    </xf>
    <xf borderId="9" fillId="0" fontId="2" numFmtId="2" xfId="0" applyAlignment="1" applyBorder="1" applyFont="1" applyNumberFormat="1">
      <alignment horizontal="center" vertical="center"/>
    </xf>
    <xf borderId="10" fillId="8" fontId="2" numFmtId="0" xfId="0" applyAlignment="1" applyBorder="1" applyFill="1" applyFont="1">
      <alignment horizontal="center"/>
    </xf>
    <xf borderId="11" fillId="0" fontId="14" numFmtId="0" xfId="0" applyBorder="1" applyFont="1"/>
    <xf borderId="12" fillId="0" fontId="14" numFmtId="0" xfId="0" applyBorder="1" applyFont="1"/>
    <xf borderId="13" fillId="0" fontId="2" numFmtId="0" xfId="0" applyAlignment="1" applyBorder="1" applyFont="1">
      <alignment horizontal="center" vertical="center"/>
    </xf>
    <xf borderId="14" fillId="0" fontId="14" numFmtId="0" xfId="0" applyBorder="1" applyFont="1"/>
    <xf borderId="15" fillId="0" fontId="14" numFmtId="0" xfId="0" applyBorder="1" applyFont="1"/>
    <xf borderId="16" fillId="0" fontId="14" numFmtId="0" xfId="0" applyBorder="1" applyFont="1"/>
    <xf borderId="17" fillId="0" fontId="2" numFmtId="0" xfId="0" applyAlignment="1" applyBorder="1" applyFont="1">
      <alignment horizontal="center"/>
    </xf>
    <xf borderId="18" fillId="0" fontId="14" numFmtId="0" xfId="0" applyBorder="1" applyFont="1"/>
    <xf borderId="19" fillId="0" fontId="14" numFmtId="0" xfId="0" applyBorder="1" applyFont="1"/>
    <xf borderId="20" fillId="0" fontId="2" numFmtId="0" xfId="0" applyAlignment="1" applyBorder="1" applyFont="1">
      <alignment horizontal="center" shrinkToFit="0" wrapText="1"/>
    </xf>
    <xf borderId="21" fillId="0" fontId="14" numFmtId="0" xfId="0" applyBorder="1" applyFont="1"/>
    <xf borderId="22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shrinkToFit="0" vertical="center" wrapText="1"/>
    </xf>
    <xf borderId="23" fillId="0" fontId="14" numFmtId="0" xfId="0" applyBorder="1" applyFont="1"/>
    <xf borderId="24" fillId="0" fontId="14" numFmtId="0" xfId="0" applyBorder="1" applyFont="1"/>
    <xf borderId="25" fillId="0" fontId="14" numFmtId="0" xfId="0" applyBorder="1" applyFont="1"/>
    <xf borderId="26" fillId="0" fontId="2" numFmtId="0" xfId="0" applyAlignment="1" applyBorder="1" applyFont="1">
      <alignment horizontal="center"/>
    </xf>
    <xf borderId="27" fillId="0" fontId="2" numFmtId="0" xfId="0" applyAlignment="1" applyBorder="1" applyFont="1">
      <alignment horizontal="center"/>
    </xf>
    <xf borderId="28" fillId="0" fontId="2" numFmtId="0" xfId="0" applyAlignment="1" applyBorder="1" applyFont="1">
      <alignment horizontal="center"/>
    </xf>
    <xf borderId="29" fillId="0" fontId="2" numFmtId="0" xfId="0" applyAlignment="1" applyBorder="1" applyFont="1">
      <alignment horizontal="center" vertical="center"/>
    </xf>
    <xf borderId="27" fillId="0" fontId="2" numFmtId="0" xfId="0" applyAlignment="1" applyBorder="1" applyFont="1">
      <alignment horizontal="center" vertical="center"/>
    </xf>
    <xf borderId="28" fillId="0" fontId="2" numFmtId="0" xfId="0" applyAlignment="1" applyBorder="1" applyFont="1">
      <alignment horizontal="center" vertical="center"/>
    </xf>
    <xf borderId="30" fillId="0" fontId="2" numFmtId="0" xfId="0" applyAlignment="1" applyBorder="1" applyFont="1">
      <alignment horizontal="center" vertical="center"/>
    </xf>
    <xf borderId="27" fillId="9" fontId="15" numFmtId="0" xfId="0" applyAlignment="1" applyBorder="1" applyFill="1" applyFont="1">
      <alignment horizontal="left" vertical="center"/>
    </xf>
    <xf borderId="27" fillId="9" fontId="15" numFmtId="0" xfId="0" applyAlignment="1" applyBorder="1" applyFont="1">
      <alignment horizontal="center" shrinkToFit="0" vertical="center" wrapText="1"/>
    </xf>
    <xf borderId="27" fillId="9" fontId="15" numFmtId="0" xfId="0" applyAlignment="1" applyBorder="1" applyFont="1">
      <alignment horizontal="center" vertical="center"/>
    </xf>
    <xf borderId="27" fillId="9" fontId="15" numFmtId="2" xfId="0" applyAlignment="1" applyBorder="1" applyFont="1" applyNumberFormat="1">
      <alignment horizontal="center" vertical="center"/>
    </xf>
    <xf borderId="27" fillId="0" fontId="2" numFmtId="0" xfId="0" applyAlignment="1" applyBorder="1" applyFont="1">
      <alignment horizontal="center" readingOrder="0" vertical="center"/>
    </xf>
    <xf borderId="27" fillId="0" fontId="2" numFmtId="0" xfId="0" applyAlignment="1" applyBorder="1" applyFont="1">
      <alignment horizontal="left" readingOrder="0" shrinkToFit="0" vertical="center" wrapText="1"/>
    </xf>
    <xf borderId="27" fillId="7" fontId="2" numFmtId="1" xfId="0" applyAlignment="1" applyBorder="1" applyFont="1" applyNumberFormat="1">
      <alignment horizontal="center" readingOrder="0" vertical="center"/>
    </xf>
    <xf borderId="27" fillId="10" fontId="2" numFmtId="164" xfId="0" applyBorder="1" applyFill="1" applyFont="1" applyNumberFormat="1"/>
    <xf borderId="27" fillId="10" fontId="2" numFmtId="164" xfId="0" applyAlignment="1" applyBorder="1" applyFont="1" applyNumberFormat="1">
      <alignment horizontal="right" readingOrder="0" vertical="bottom"/>
    </xf>
    <xf borderId="27" fillId="0" fontId="2" numFmtId="164" xfId="0" applyBorder="1" applyFont="1" applyNumberFormat="1"/>
    <xf borderId="27" fillId="10" fontId="2" numFmtId="164" xfId="0" applyAlignment="1" applyBorder="1" applyFont="1" applyNumberFormat="1">
      <alignment horizontal="right" vertical="bottom"/>
    </xf>
    <xf borderId="27" fillId="0" fontId="2" numFmtId="2" xfId="0" applyAlignment="1" applyBorder="1" applyFont="1" applyNumberFormat="1">
      <alignment horizontal="center" readingOrder="0" vertical="center"/>
    </xf>
    <xf borderId="27" fillId="11" fontId="2" numFmtId="164" xfId="0" applyBorder="1" applyFill="1" applyFont="1" applyNumberFormat="1"/>
    <xf borderId="27" fillId="9" fontId="3" numFmtId="0" xfId="0" applyAlignment="1" applyBorder="1" applyFont="1">
      <alignment horizontal="left" readingOrder="0" vertical="center"/>
    </xf>
    <xf borderId="27" fillId="0" fontId="2" numFmtId="0" xfId="0" applyAlignment="1" applyBorder="1" applyFont="1">
      <alignment horizontal="center" readingOrder="0"/>
    </xf>
    <xf borderId="27" fillId="0" fontId="2" numFmtId="170" xfId="0" applyAlignment="1" applyBorder="1" applyFont="1" applyNumberFormat="1">
      <alignment horizontal="center" readingOrder="0" vertical="center"/>
    </xf>
    <xf borderId="27" fillId="0" fontId="2" numFmtId="2" xfId="0" applyAlignment="1" applyBorder="1" applyFont="1" applyNumberFormat="1">
      <alignment horizontal="center" vertical="center"/>
    </xf>
    <xf borderId="27" fillId="0" fontId="2" numFmtId="170" xfId="0" applyAlignment="1" applyBorder="1" applyFont="1" applyNumberFormat="1">
      <alignment horizontal="center" vertical="center"/>
    </xf>
    <xf borderId="0" fillId="0" fontId="16" numFmtId="0" xfId="0" applyAlignment="1" applyFont="1">
      <alignment shrinkToFit="0" vertical="center" wrapText="1"/>
    </xf>
    <xf borderId="0" fillId="0" fontId="16" numFmtId="0" xfId="0" applyAlignment="1" applyFont="1">
      <alignment shrinkToFit="0" wrapText="1"/>
    </xf>
    <xf borderId="31" fillId="12" fontId="2" numFmtId="164" xfId="0" applyBorder="1" applyFill="1" applyFont="1" applyNumberFormat="1"/>
    <xf borderId="0" fillId="0" fontId="2" numFmtId="164" xfId="0" applyFont="1" applyNumberFormat="1"/>
    <xf borderId="31" fillId="0" fontId="2" numFmtId="164" xfId="0" applyBorder="1" applyFont="1" applyNumberFormat="1"/>
    <xf borderId="1" fillId="13" fontId="2" numFmtId="0" xfId="0" applyBorder="1" applyFill="1" applyFont="1"/>
    <xf borderId="1" fillId="13" fontId="2" numFmtId="164" xfId="0" applyBorder="1" applyFont="1" applyNumberFormat="1"/>
    <xf borderId="0" fillId="0" fontId="12" numFmtId="171" xfId="0" applyFont="1" applyNumberFormat="1"/>
    <xf borderId="0" fillId="0" fontId="2" numFmtId="10" xfId="0" applyFont="1" applyNumberFormat="1"/>
    <xf borderId="0" fillId="0" fontId="12" numFmtId="169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12" numFmtId="169" xfId="0" applyFont="1" applyNumberFormat="1"/>
    <xf borderId="1" fillId="13" fontId="2" numFmtId="10" xfId="0" applyBorder="1" applyFont="1" applyNumberFormat="1"/>
    <xf borderId="0" fillId="0" fontId="12" numFmtId="0" xfId="0" applyAlignment="1" applyFont="1">
      <alignment readingOrder="0"/>
    </xf>
    <xf borderId="0" fillId="0" fontId="12" numFmtId="164" xfId="0" applyFont="1" applyNumberFormat="1"/>
    <xf borderId="27" fillId="0" fontId="12" numFmtId="0" xfId="0" applyAlignment="1" applyBorder="1" applyFont="1">
      <alignment horizontal="center"/>
    </xf>
    <xf borderId="27" fillId="0" fontId="12" numFmtId="0" xfId="0" applyAlignment="1" applyBorder="1" applyFont="1">
      <alignment horizontal="center" readingOrder="0"/>
    </xf>
    <xf borderId="0" fillId="0" fontId="13" numFmtId="0" xfId="0" applyFont="1"/>
    <xf borderId="27" fillId="0" fontId="12" numFmtId="1" xfId="0" applyAlignment="1" applyBorder="1" applyFont="1" applyNumberFormat="1">
      <alignment horizontal="center" readingOrder="0"/>
    </xf>
    <xf borderId="0" fillId="0" fontId="12" numFmtId="0" xfId="0" applyAlignment="1" applyFont="1">
      <alignment horizontal="center" readingOrder="0"/>
    </xf>
    <xf borderId="0" fillId="0" fontId="17" numFmtId="0" xfId="0" applyAlignment="1" applyFont="1">
      <alignment readingOrder="0" vertical="center"/>
    </xf>
    <xf borderId="0" fillId="0" fontId="18" numFmtId="0" xfId="0" applyAlignment="1" applyFont="1">
      <alignment vertical="bottom"/>
    </xf>
    <xf borderId="0" fillId="0" fontId="19" numFmtId="0" xfId="0" applyAlignment="1" applyFont="1">
      <alignment readingOrder="0" vertical="bottom"/>
    </xf>
    <xf borderId="27" fillId="0" fontId="2" numFmtId="0" xfId="0" applyAlignment="1" applyBorder="1" applyFont="1">
      <alignment horizontal="left"/>
    </xf>
    <xf borderId="27" fillId="0" fontId="2" numFmtId="1" xfId="0" applyAlignment="1" applyBorder="1" applyFont="1" applyNumberFormat="1">
      <alignment horizontal="center"/>
    </xf>
    <xf borderId="27" fillId="0" fontId="2" numFmtId="2" xfId="0" applyAlignment="1" applyBorder="1" applyFont="1" applyNumberFormat="1">
      <alignment horizontal="center"/>
    </xf>
    <xf borderId="27" fillId="9" fontId="3" numFmtId="2" xfId="0" applyAlignment="1" applyBorder="1" applyFont="1" applyNumberFormat="1">
      <alignment horizontal="left" readingOrder="0" vertical="center"/>
    </xf>
    <xf borderId="27" fillId="0" fontId="2" numFmtId="170" xfId="0" applyAlignment="1" applyBorder="1" applyFont="1" applyNumberFormat="1">
      <alignment horizontal="left"/>
    </xf>
    <xf borderId="27" fillId="0" fontId="2" numFmtId="170" xfId="0" applyAlignment="1" applyBorder="1" applyFont="1" applyNumberFormat="1">
      <alignment horizontal="center"/>
    </xf>
    <xf borderId="0" fillId="0" fontId="2" numFmtId="170" xfId="0" applyAlignment="1" applyFont="1" applyNumberFormat="1">
      <alignment horizontal="center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/>
    </xf>
    <xf borderId="0" fillId="0" fontId="2" numFmtId="2" xfId="0" applyAlignment="1" applyFont="1" applyNumberFormat="1">
      <alignment horizontal="center" readingOrder="0" vertical="center"/>
    </xf>
    <xf borderId="31" fillId="12" fontId="4" numFmtId="164" xfId="0" applyBorder="1" applyFont="1" applyNumberFormat="1"/>
    <xf borderId="31" fillId="8" fontId="4" numFmtId="164" xfId="0" applyBorder="1" applyFont="1" applyNumberFormat="1"/>
    <xf borderId="0" fillId="0" fontId="2" numFmtId="0" xfId="0" applyAlignment="1" applyFont="1">
      <alignment readingOrder="0"/>
    </xf>
    <xf borderId="0" fillId="0" fontId="12" numFmtId="2" xfId="0" applyFont="1" applyNumberFormat="1"/>
    <xf borderId="0" fillId="0" fontId="13" numFmtId="0" xfId="0" applyAlignment="1" applyFont="1">
      <alignment horizontal="center" readingOrder="0"/>
    </xf>
    <xf borderId="0" fillId="0" fontId="13" numFmtId="171" xfId="0" applyAlignment="1" applyFont="1" applyNumberFormat="1">
      <alignment horizontal="center"/>
    </xf>
    <xf borderId="32" fillId="0" fontId="4" numFmtId="0" xfId="0" applyAlignment="1" applyBorder="1" applyFont="1">
      <alignment vertical="bottom"/>
    </xf>
    <xf borderId="33" fillId="0" fontId="2" numFmtId="0" xfId="0" applyAlignment="1" applyBorder="1" applyFont="1">
      <alignment vertical="bottom"/>
    </xf>
    <xf borderId="34" fillId="0" fontId="2" numFmtId="0" xfId="0" applyAlignment="1" applyBorder="1" applyFont="1">
      <alignment vertical="bottom"/>
    </xf>
    <xf borderId="35" fillId="0" fontId="2" numFmtId="0" xfId="0" applyAlignment="1" applyBorder="1" applyFont="1">
      <alignment vertical="bottom"/>
    </xf>
    <xf borderId="36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0" fillId="0" fontId="4" numFmtId="0" xfId="0" applyAlignment="1" applyFont="1">
      <alignment horizontal="right" vertical="bottom"/>
    </xf>
    <xf borderId="20" fillId="0" fontId="12" numFmtId="0" xfId="0" applyAlignment="1" applyBorder="1" applyFont="1">
      <alignment horizontal="center" readingOrder="0"/>
    </xf>
    <xf borderId="27" fillId="0" fontId="12" numFmtId="0" xfId="0" applyBorder="1" applyFont="1"/>
    <xf borderId="27" fillId="0" fontId="13" numFmtId="0" xfId="0" applyAlignment="1" applyBorder="1" applyFont="1">
      <alignment horizontal="center" readingOrder="0"/>
    </xf>
    <xf borderId="0" fillId="0" fontId="12" numFmtId="0" xfId="0" applyAlignment="1" applyFont="1">
      <alignment horizontal="center"/>
    </xf>
    <xf borderId="27" fillId="0" fontId="13" numFmtId="0" xfId="0" applyAlignment="1" applyBorder="1" applyFont="1">
      <alignment readingOrder="0"/>
    </xf>
    <xf borderId="27" fillId="0" fontId="12" numFmtId="164" xfId="0" applyAlignment="1" applyBorder="1" applyFont="1" applyNumberFormat="1">
      <alignment horizontal="center"/>
    </xf>
    <xf borderId="27" fillId="0" fontId="12" numFmtId="9" xfId="0" applyAlignment="1" applyBorder="1" applyFont="1" applyNumberFormat="1">
      <alignment horizontal="center" readingOrder="0"/>
    </xf>
    <xf borderId="27" fillId="0" fontId="13" numFmtId="164" xfId="0" applyAlignment="1" applyBorder="1" applyFont="1" applyNumberFormat="1">
      <alignment horizontal="center"/>
    </xf>
    <xf borderId="0" fillId="0" fontId="12" numFmtId="0" xfId="0" applyFont="1"/>
    <xf borderId="1" fillId="2" fontId="20" numFmtId="170" xfId="0" applyAlignment="1" applyBorder="1" applyFont="1" applyNumberFormat="1">
      <alignment horizontal="left" vertical="center"/>
    </xf>
    <xf borderId="37" fillId="2" fontId="21" numFmtId="0" xfId="0" applyAlignment="1" applyBorder="1" applyFont="1">
      <alignment horizontal="left" shrinkToFit="0" vertical="center" wrapText="1"/>
    </xf>
    <xf borderId="38" fillId="0" fontId="14" numFmtId="0" xfId="0" applyBorder="1" applyFont="1"/>
    <xf borderId="0" fillId="2" fontId="2" numFmtId="0" xfId="0" applyFont="1"/>
    <xf borderId="1" fillId="2" fontId="21" numFmtId="2" xfId="0" applyAlignment="1" applyBorder="1" applyFont="1" applyNumberFormat="1">
      <alignment shrinkToFit="0" vertical="center" wrapText="1"/>
    </xf>
    <xf borderId="1" fillId="2" fontId="21" numFmtId="0" xfId="0" applyAlignment="1" applyBorder="1" applyFont="1">
      <alignment horizontal="left" shrinkToFit="0" vertical="center" wrapText="1"/>
    </xf>
    <xf borderId="1" fillId="2" fontId="22" numFmtId="0" xfId="0" applyBorder="1" applyFont="1"/>
    <xf borderId="1" fillId="2" fontId="3" numFmtId="0" xfId="0" applyAlignment="1" applyBorder="1" applyFont="1">
      <alignment horizontal="left"/>
    </xf>
    <xf borderId="37" fillId="2" fontId="3" numFmtId="0" xfId="0" applyAlignment="1" applyBorder="1" applyFont="1">
      <alignment horizontal="center"/>
    </xf>
    <xf borderId="1" fillId="10" fontId="2" numFmtId="0" xfId="0" applyBorder="1" applyFont="1"/>
    <xf borderId="1" fillId="10" fontId="2" numFmtId="2" xfId="0" applyBorder="1" applyFont="1" applyNumberFormat="1"/>
    <xf borderId="1" fillId="10" fontId="2" numFmtId="9" xfId="0" applyBorder="1" applyFont="1" applyNumberFormat="1"/>
    <xf borderId="0" fillId="0" fontId="2" numFmtId="2" xfId="0" applyFont="1" applyNumberFormat="1"/>
    <xf borderId="0" fillId="0" fontId="2" numFmtId="9" xfId="0" applyFont="1" applyNumberFormat="1"/>
    <xf borderId="39" fillId="14" fontId="4" numFmtId="0" xfId="0" applyBorder="1" applyFill="1" applyFont="1"/>
    <xf borderId="39" fillId="14" fontId="2" numFmtId="0" xfId="0" applyBorder="1" applyFont="1"/>
    <xf borderId="0" fillId="14" fontId="2" numFmtId="0" xfId="0" applyAlignment="1" applyFont="1">
      <alignment vertical="bottom"/>
    </xf>
    <xf borderId="39" fillId="14" fontId="4" numFmtId="164" xfId="0" applyBorder="1" applyFont="1" applyNumberFormat="1"/>
    <xf borderId="0" fillId="0" fontId="4" numFmtId="0" xfId="0" applyFont="1"/>
    <xf borderId="0" fillId="0" fontId="4" numFmtId="0" xfId="0" applyAlignment="1" applyFont="1">
      <alignment horizontal="right"/>
    </xf>
    <xf borderId="0" fillId="0" fontId="4" numFmtId="164" xfId="0" applyFont="1" applyNumberFormat="1"/>
    <xf borderId="0" fillId="0" fontId="23" numFmtId="0" xfId="0" applyFont="1"/>
    <xf borderId="0" fillId="0" fontId="2" numFmtId="1" xfId="0" applyAlignment="1" applyFont="1" applyNumberFormat="1">
      <alignment horizontal="right" vertical="bottom"/>
    </xf>
    <xf borderId="0" fillId="0" fontId="22" numFmtId="0" xfId="0" applyFont="1"/>
    <xf borderId="0" fillId="0" fontId="3" numFmtId="0" xfId="0" applyFont="1"/>
    <xf borderId="37" fillId="2" fontId="22" numFmtId="0" xfId="0" applyBorder="1" applyFont="1"/>
    <xf borderId="0" fillId="0" fontId="2" numFmtId="2" xfId="0" applyAlignment="1" applyFont="1" applyNumberFormat="1">
      <alignment horizontal="right" vertical="bottom"/>
    </xf>
    <xf borderId="1" fillId="14" fontId="4" numFmtId="0" xfId="0" applyBorder="1" applyFont="1"/>
    <xf borderId="1" fillId="14" fontId="2" numFmtId="0" xfId="0" applyBorder="1" applyFont="1"/>
    <xf borderId="1" fillId="14" fontId="4" numFmtId="164" xfId="0" applyBorder="1" applyFont="1" applyNumberFormat="1"/>
    <xf borderId="0" fillId="0" fontId="3" numFmtId="164" xfId="0" applyFont="1" applyNumberFormat="1"/>
    <xf borderId="0" fillId="2" fontId="2" numFmtId="2" xfId="0" applyFont="1" applyNumberFormat="1"/>
    <xf borderId="1" fillId="2" fontId="21" numFmtId="164" xfId="0" applyAlignment="1" applyBorder="1" applyFont="1" applyNumberFormat="1">
      <alignment horizontal="left" shrinkToFit="0" vertical="center" wrapText="1"/>
    </xf>
    <xf borderId="0" fillId="2" fontId="2" numFmtId="1" xfId="0" applyFont="1" applyNumberFormat="1"/>
    <xf borderId="1" fillId="10" fontId="2" numFmtId="0" xfId="0" applyAlignment="1" applyBorder="1" applyFont="1">
      <alignment readingOrder="0"/>
    </xf>
    <xf borderId="1" fillId="10" fontId="2" numFmtId="2" xfId="0" applyAlignment="1" applyBorder="1" applyFont="1" applyNumberFormat="1">
      <alignment readingOrder="0"/>
    </xf>
    <xf borderId="0" fillId="0" fontId="2" numFmtId="164" xfId="0" applyAlignment="1" applyFont="1" applyNumberFormat="1">
      <alignment readingOrder="0"/>
    </xf>
    <xf borderId="1" fillId="4" fontId="4" numFmtId="0" xfId="0" applyBorder="1" applyFont="1"/>
    <xf borderId="1" fillId="4" fontId="2" numFmtId="0" xfId="0" applyBorder="1" applyFont="1"/>
    <xf borderId="1" fillId="4" fontId="4" numFmtId="0" xfId="0" applyAlignment="1" applyBorder="1" applyFont="1">
      <alignment horizontal="right"/>
    </xf>
    <xf borderId="1" fillId="4" fontId="4" numFmtId="164" xfId="0" applyBorder="1" applyFont="1" applyNumberFormat="1"/>
    <xf borderId="1" fillId="10" fontId="2" numFmtId="9" xfId="0" applyAlignment="1" applyBorder="1" applyFont="1" applyNumberFormat="1">
      <alignment readingOrder="0"/>
    </xf>
    <xf borderId="0" fillId="0" fontId="2" numFmtId="0" xfId="0" applyAlignment="1" applyFont="1">
      <alignment vertical="bottom"/>
    </xf>
    <xf borderId="0" fillId="6" fontId="12" numFmtId="0" xfId="0" applyAlignment="1" applyFont="1">
      <alignment horizontal="center" readingOrder="0" vertical="center"/>
    </xf>
    <xf borderId="0" fillId="3" fontId="12" numFmtId="0" xfId="0" applyAlignment="1" applyFont="1">
      <alignment horizontal="center" readingOrder="0"/>
    </xf>
    <xf borderId="0" fillId="7" fontId="2" numFmtId="164" xfId="0" applyFont="1" applyNumberFormat="1"/>
    <xf borderId="0" fillId="0" fontId="24" numFmtId="0" xfId="0" applyAlignment="1" applyFont="1">
      <alignment readingOrder="0"/>
    </xf>
    <xf borderId="0" fillId="15" fontId="13" numFmtId="0" xfId="0" applyAlignment="1" applyFill="1" applyFont="1">
      <alignment readingOrder="0"/>
    </xf>
    <xf borderId="0" fillId="0" fontId="12" numFmtId="1" xfId="0" applyFont="1" applyNumberFormat="1"/>
    <xf borderId="0" fillId="16" fontId="13" numFmtId="0" xfId="0" applyAlignment="1" applyFill="1" applyFont="1">
      <alignment readingOrder="0"/>
    </xf>
    <xf borderId="0" fillId="16" fontId="13" numFmtId="1" xfId="0" applyAlignment="1" applyFont="1" applyNumberFormat="1">
      <alignment readingOrder="0"/>
    </xf>
    <xf borderId="0" fillId="7" fontId="13" numFmtId="0" xfId="0" applyAlignment="1" applyFont="1">
      <alignment readingOrder="0"/>
    </xf>
    <xf borderId="0" fillId="0" fontId="3" numFmtId="9" xfId="0" applyFont="1" applyNumberFormat="1"/>
    <xf borderId="1" fillId="0" fontId="2" numFmtId="0" xfId="0" applyAlignment="1" applyBorder="1" applyFont="1">
      <alignment readingOrder="0"/>
    </xf>
    <xf borderId="1" fillId="10" fontId="2" numFmtId="0" xfId="0" applyAlignment="1" applyBorder="1" applyFont="1">
      <alignment readingOrder="0" vertical="bottom"/>
    </xf>
    <xf borderId="1" fillId="10" fontId="2" numFmtId="2" xfId="0" applyAlignment="1" applyBorder="1" applyFont="1" applyNumberFormat="1">
      <alignment horizontal="right" vertical="bottom"/>
    </xf>
    <xf borderId="0" fillId="0" fontId="12" numFmtId="2" xfId="0" applyAlignment="1" applyFont="1" applyNumberFormat="1">
      <alignment readingOrder="0"/>
    </xf>
    <xf borderId="1" fillId="10" fontId="2" numFmtId="0" xfId="0" applyAlignment="1" applyBorder="1" applyFont="1">
      <alignment vertical="bottom"/>
    </xf>
    <xf borderId="1" fillId="10" fontId="2" numFmtId="0" xfId="0" applyAlignment="1" applyBorder="1" applyFont="1">
      <alignment horizontal="right" readingOrder="0" vertical="bottom"/>
    </xf>
    <xf borderId="1" fillId="10" fontId="2" numFmtId="0" xfId="0" applyAlignment="1" applyBorder="1" applyFont="1">
      <alignment vertical="bottom"/>
    </xf>
    <xf borderId="1" fillId="10" fontId="2" numFmtId="0" xfId="0" applyAlignment="1" applyBorder="1" applyFont="1">
      <alignment horizontal="right" vertical="bottom"/>
    </xf>
    <xf borderId="1" fillId="10" fontId="2" numFmtId="0" xfId="0" applyAlignment="1" applyBorder="1" applyFont="1">
      <alignment horizontal="right" vertical="bottom"/>
    </xf>
    <xf borderId="1" fillId="10" fontId="2" numFmtId="9" xfId="0" applyAlignment="1" applyBorder="1" applyFont="1" applyNumberFormat="1">
      <alignment horizontal="right" readingOrder="0" vertical="bottom"/>
    </xf>
    <xf borderId="0" fillId="7" fontId="12" numFmtId="0" xfId="0" applyFont="1"/>
    <xf borderId="1" fillId="10" fontId="2" numFmtId="9" xfId="0" applyAlignment="1" applyBorder="1" applyFont="1" applyNumberForma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customschemas.google.com/relationships/workbookmetadata" Target="metadata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0</xdr:colOff>
      <xdr:row>0</xdr:row>
      <xdr:rowOff>0</xdr:rowOff>
    </xdr:from>
    <xdr:ext cx="561975" cy="428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1266825</xdr:colOff>
      <xdr:row>0</xdr:row>
      <xdr:rowOff>47625</xdr:rowOff>
    </xdr:from>
    <xdr:ext cx="1419225" cy="4953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781050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781050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781050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781050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781050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781050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781050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828675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819150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847725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781050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781050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781050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781050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781050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828675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819150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819150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847725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781050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781050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781050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781050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828675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819150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847725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781050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800100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781050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781050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828675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819150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847725</xdr:colOff>
      <xdr:row>0</xdr:row>
      <xdr:rowOff>0</xdr:rowOff>
    </xdr:from>
    <xdr:ext cx="129540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ercadolibre.com.ar/bacha-deca-l1304017-rectangular-de-40-x-30-cm-color-blanco/p/MLA20245981?pdp_filters=item_id:MLA1883663480" TargetMode="External"/><Relationship Id="rId2" Type="http://schemas.openxmlformats.org/officeDocument/2006/relationships/hyperlink" Target="https://www.mercadolibre.com.ar/bacha-de-cocina-doble-johnson-acero-cc-2818/p/MLA22290000?has_official_store=false&amp;highlight=false&amp;headerTopBrand=false" TargetMode="External"/><Relationship Id="rId3" Type="http://schemas.openxmlformats.org/officeDocument/2006/relationships/hyperlink" Target="https://www.mercadolibre.com.ar/ferrum-veneto-bidet-bta3j-b-blanco-3-ag/p/MLA28829954?has_official_store=false&amp;highlight=true&amp;headerTopBrand=false" TargetMode="External"/><Relationship Id="rId4" Type="http://schemas.openxmlformats.org/officeDocument/2006/relationships/hyperlink" Target="https://articulo.mercadolibre.com.ar/MLA-660250308-inodoro-largo-tapa-amort-dep-y-bide-ferrum-veneto-_JM?has_official_store=false&amp;highlight=false&amp;searchVariation=25060632050&amp;headerTopBrand=true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mercadolibre.com.ar/manijas-picaportes-dobles-acero-inoxidable-satinado-con-retroceso-para-puertas-de-30-a-60mm-de-espesor-apto-interior-y-exterior/p/MLA40931977?has_official_store=false&amp;highlight=true&amp;headerTopBrand=true" TargetMode="External"/><Relationship Id="rId9" Type="http://schemas.openxmlformats.org/officeDocument/2006/relationships/hyperlink" Target="https://www.mercadolibre.com.ar/puerta-placa-oblak-practika-blanco-marco-de-aluminio-der-70-color-blanco/p/MLA24089978?has_official_store=false&amp;highlight=true&amp;headerTopBrand=true" TargetMode="External"/><Relationship Id="rId5" Type="http://schemas.openxmlformats.org/officeDocument/2006/relationships/hyperlink" Target="https://www.mercadolibre.com.ar/griferia-set-lavatorio-bidet-ducha-bano-peirano-adra-90-166-pack-combo-color-cromo-acabado-cromado-juego-duchon-vanitory/p/MLA34176290?has_official_store=false&amp;highlight=true&amp;headerTopBrand=true" TargetMode="External"/><Relationship Id="rId6" Type="http://schemas.openxmlformats.org/officeDocument/2006/relationships/hyperlink" Target="https://www.mercadolibre.com.ar/canilla-cocina-monocomando-griferia-extensible-krumm-cromo-acabado-satinado-color-niquel/p/MLA26043589?pdp_filters=item_id:MLA1479119202" TargetMode="External"/><Relationship Id="rId7" Type="http://schemas.openxmlformats.org/officeDocument/2006/relationships/hyperlink" Target="https://www.mercadolibre.com.ar/tanque-de-agua-waterplast-tricapa-dual-plus-1000-lts-color-beige/p/MLA37059069" TargetMode="External"/><Relationship Id="rId8" Type="http://schemas.openxmlformats.org/officeDocument/2006/relationships/hyperlink" Target="https://www.mercadolibre.com.ar/termotanque-electrico-senorial-zafiro-teszp-95-80-litros-color-blanco/p/MLA15585574?has_official_store=false&amp;highlight=true&amp;headerTopBrand=tru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mercadolibre.com.ar/viga-h20-alma-fenolico-p-encofrado-maderwil-500mtsx20cm-im/up/MLAU3006820611" TargetMode="External"/><Relationship Id="rId3" Type="http://schemas.openxmlformats.org/officeDocument/2006/relationships/drawing" Target="../drawings/drawing12.xml"/><Relationship Id="rId4" Type="http://schemas.openxmlformats.org/officeDocument/2006/relationships/vmlDrawing" Target="../drawings/vmlDrawing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3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4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32.xml"/><Relationship Id="rId3" Type="http://schemas.openxmlformats.org/officeDocument/2006/relationships/vmlDrawing" Target="../drawings/vmlDrawing5.v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42.xml"/><Relationship Id="rId3" Type="http://schemas.openxmlformats.org/officeDocument/2006/relationships/vmlDrawing" Target="../drawings/vmlDrawing6.v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46.xml"/><Relationship Id="rId3" Type="http://schemas.openxmlformats.org/officeDocument/2006/relationships/vmlDrawing" Target="../drawings/vmlDrawing7.v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53.xml"/><Relationship Id="rId3" Type="http://schemas.openxmlformats.org/officeDocument/2006/relationships/vmlDrawing" Target="../drawings/vmlDrawing8.v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54.xml"/><Relationship Id="rId3" Type="http://schemas.openxmlformats.org/officeDocument/2006/relationships/vmlDrawing" Target="../drawings/vmlDrawing9.v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EFD9"/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32.86"/>
    <col customWidth="1" min="3" max="3" width="13.29"/>
    <col customWidth="1" min="4" max="4" width="14.71"/>
    <col customWidth="1" min="5" max="5" width="13.71"/>
    <col customWidth="1" min="6" max="6" width="8.71"/>
    <col customWidth="1" min="7" max="7" width="22.29"/>
    <col customWidth="1" min="8" max="8" width="8.71"/>
    <col customWidth="1" min="9" max="9" width="16.43"/>
    <col customWidth="1" min="10" max="10" width="10.57"/>
    <col customWidth="1" min="11" max="11" width="18.71"/>
    <col customWidth="1" min="12" max="13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4" t="s">
        <v>1</v>
      </c>
      <c r="B3" s="4" t="s">
        <v>2</v>
      </c>
      <c r="C3" s="5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2"/>
      <c r="I3" s="2"/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6" t="s">
        <v>8</v>
      </c>
      <c r="B4" s="6" t="s">
        <v>9</v>
      </c>
      <c r="C4" s="7" t="s">
        <v>10</v>
      </c>
      <c r="D4" s="8">
        <v>29403.0</v>
      </c>
      <c r="E4" s="9">
        <f>D4/1.21</f>
        <v>24300</v>
      </c>
      <c r="F4" s="10"/>
      <c r="G4" s="10"/>
      <c r="H4" s="3"/>
      <c r="I4" s="3"/>
      <c r="J4" s="11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 t="s">
        <v>11</v>
      </c>
      <c r="B5" s="3" t="s">
        <v>12</v>
      </c>
      <c r="C5" s="12" t="s">
        <v>10</v>
      </c>
      <c r="D5" s="10"/>
      <c r="E5" s="13">
        <v>33470.0</v>
      </c>
      <c r="F5" s="10"/>
      <c r="G5" s="10"/>
      <c r="H5" s="3"/>
      <c r="I5" s="3"/>
      <c r="J5" s="11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6" t="s">
        <v>13</v>
      </c>
      <c r="B6" s="6" t="s">
        <v>14</v>
      </c>
      <c r="C6" s="7" t="s">
        <v>10</v>
      </c>
      <c r="D6" s="8">
        <v>58995.0</v>
      </c>
      <c r="E6" s="9">
        <f>D6/1.21</f>
        <v>48756.19835</v>
      </c>
      <c r="F6" s="10"/>
      <c r="G6" s="10"/>
      <c r="H6" s="3"/>
      <c r="I6" s="3"/>
      <c r="J6" s="11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 t="s">
        <v>15</v>
      </c>
      <c r="B7" s="3" t="s">
        <v>16</v>
      </c>
      <c r="C7" s="12" t="s">
        <v>10</v>
      </c>
      <c r="D7" s="10"/>
      <c r="E7" s="13">
        <v>74566.0</v>
      </c>
      <c r="F7" s="10"/>
      <c r="G7" s="10"/>
      <c r="H7" s="3"/>
      <c r="I7" s="3"/>
      <c r="J7" s="11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 t="s">
        <v>17</v>
      </c>
      <c r="B8" s="3" t="s">
        <v>18</v>
      </c>
      <c r="C8" s="12" t="s">
        <v>10</v>
      </c>
      <c r="D8" s="14">
        <v>60000.0</v>
      </c>
      <c r="E8" s="13">
        <v>61700.0</v>
      </c>
      <c r="F8" s="10"/>
      <c r="G8" s="10"/>
      <c r="H8" s="3"/>
      <c r="I8" s="3"/>
      <c r="J8" s="11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 t="s">
        <v>19</v>
      </c>
      <c r="B9" s="3" t="s">
        <v>20</v>
      </c>
      <c r="C9" s="12" t="s">
        <v>21</v>
      </c>
      <c r="D9" s="10"/>
      <c r="E9" s="15">
        <v>7000.0</v>
      </c>
      <c r="F9" s="10"/>
      <c r="G9" s="10"/>
      <c r="H9" s="3"/>
      <c r="I9" s="16" t="s">
        <v>22</v>
      </c>
      <c r="J9" s="17">
        <v>46081.0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 t="s">
        <v>23</v>
      </c>
      <c r="B10" s="3" t="s">
        <v>24</v>
      </c>
      <c r="C10" s="12" t="s">
        <v>21</v>
      </c>
      <c r="D10" s="10"/>
      <c r="E10" s="13">
        <v>31900.0</v>
      </c>
      <c r="F10" s="10"/>
      <c r="G10" s="10"/>
      <c r="H10" s="3"/>
      <c r="I10" s="3"/>
      <c r="J10" s="11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 t="s">
        <v>25</v>
      </c>
      <c r="B11" s="3" t="s">
        <v>26</v>
      </c>
      <c r="C11" s="12" t="s">
        <v>21</v>
      </c>
      <c r="D11" s="14">
        <v>6500.0</v>
      </c>
      <c r="E11" s="13">
        <f t="shared" ref="E11:E13" si="1">D11/1.21</f>
        <v>5371.900826</v>
      </c>
      <c r="F11" s="10"/>
      <c r="G11" s="10"/>
      <c r="H11" s="3"/>
      <c r="I11" s="3"/>
      <c r="J11" s="11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 t="s">
        <v>27</v>
      </c>
      <c r="B12" s="3" t="s">
        <v>28</v>
      </c>
      <c r="C12" s="12" t="s">
        <v>21</v>
      </c>
      <c r="D12" s="14">
        <v>8500.0</v>
      </c>
      <c r="E12" s="13">
        <f t="shared" si="1"/>
        <v>7024.793388</v>
      </c>
      <c r="F12" s="10"/>
      <c r="G12" s="10"/>
      <c r="H12" s="3"/>
      <c r="I12" s="3"/>
      <c r="J12" s="11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 t="s">
        <v>29</v>
      </c>
      <c r="B13" s="3" t="s">
        <v>30</v>
      </c>
      <c r="C13" s="12" t="s">
        <v>21</v>
      </c>
      <c r="D13" s="14">
        <v>45000.0</v>
      </c>
      <c r="E13" s="13">
        <f t="shared" si="1"/>
        <v>37190.08264</v>
      </c>
      <c r="F13" s="10"/>
      <c r="G13" s="10"/>
      <c r="H13" s="3"/>
      <c r="I13" s="3"/>
      <c r="J13" s="11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 t="s">
        <v>31</v>
      </c>
      <c r="B14" s="3" t="s">
        <v>32</v>
      </c>
      <c r="C14" s="12" t="s">
        <v>21</v>
      </c>
      <c r="D14" s="10"/>
      <c r="E14" s="13">
        <v>1377.0</v>
      </c>
      <c r="F14" s="10"/>
      <c r="G14" s="10"/>
      <c r="H14" s="3"/>
      <c r="I14" s="3"/>
      <c r="J14" s="11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 t="s">
        <v>33</v>
      </c>
      <c r="B15" s="3" t="s">
        <v>34</v>
      </c>
      <c r="C15" s="12" t="s">
        <v>21</v>
      </c>
      <c r="D15" s="10"/>
      <c r="E15" s="13">
        <v>1110.2</v>
      </c>
      <c r="F15" s="10"/>
      <c r="G15" s="10"/>
      <c r="H15" s="3"/>
      <c r="I15" s="3"/>
      <c r="J15" s="11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 t="s">
        <v>35</v>
      </c>
      <c r="B16" s="3" t="s">
        <v>36</v>
      </c>
      <c r="C16" s="12" t="s">
        <v>21</v>
      </c>
      <c r="D16" s="10"/>
      <c r="E16" s="13">
        <v>837.0</v>
      </c>
      <c r="F16" s="10"/>
      <c r="G16" s="10"/>
      <c r="H16" s="3"/>
      <c r="I16" s="3"/>
      <c r="J16" s="11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 t="s">
        <v>37</v>
      </c>
      <c r="B17" s="3" t="s">
        <v>38</v>
      </c>
      <c r="C17" s="12" t="s">
        <v>21</v>
      </c>
      <c r="D17" s="10"/>
      <c r="E17" s="13">
        <v>726.0</v>
      </c>
      <c r="F17" s="10"/>
      <c r="G17" s="10"/>
      <c r="H17" s="3"/>
      <c r="I17" s="3"/>
      <c r="J17" s="11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 t="s">
        <v>39</v>
      </c>
      <c r="B18" s="3" t="s">
        <v>40</v>
      </c>
      <c r="C18" s="12" t="s">
        <v>21</v>
      </c>
      <c r="D18" s="10"/>
      <c r="E18" s="13">
        <v>568.7</v>
      </c>
      <c r="F18" s="10"/>
      <c r="G18" s="10"/>
      <c r="H18" s="3"/>
      <c r="I18" s="18" t="s">
        <v>41</v>
      </c>
      <c r="J18" s="19">
        <v>45824.0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 t="s">
        <v>42</v>
      </c>
      <c r="B19" s="3" t="s">
        <v>43</v>
      </c>
      <c r="C19" s="12" t="s">
        <v>21</v>
      </c>
      <c r="D19" s="10"/>
      <c r="E19" s="13">
        <v>190.61</v>
      </c>
      <c r="F19" s="10"/>
      <c r="G19" s="10"/>
      <c r="H19" s="3"/>
      <c r="I19" s="18" t="s">
        <v>41</v>
      </c>
      <c r="J19" s="19">
        <v>45824.0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 t="s">
        <v>44</v>
      </c>
      <c r="B20" s="3" t="s">
        <v>45</v>
      </c>
      <c r="C20" s="12" t="s">
        <v>21</v>
      </c>
      <c r="D20" s="14">
        <v>240.0</v>
      </c>
      <c r="E20" s="13">
        <f>D20/1.21</f>
        <v>198.3471074</v>
      </c>
      <c r="F20" s="10"/>
      <c r="G20" s="10"/>
      <c r="H20" s="3"/>
      <c r="I20" s="18" t="s">
        <v>41</v>
      </c>
      <c r="J20" s="19">
        <v>45771.0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 t="s">
        <v>46</v>
      </c>
      <c r="B21" s="3" t="s">
        <v>47</v>
      </c>
      <c r="C21" s="12" t="s">
        <v>48</v>
      </c>
      <c r="D21" s="10"/>
      <c r="E21" s="13">
        <v>37600.0</v>
      </c>
      <c r="F21" s="10"/>
      <c r="G21" s="10"/>
      <c r="H21" s="3"/>
      <c r="I21" s="18" t="s">
        <v>41</v>
      </c>
      <c r="J21" s="19">
        <v>45824.0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 t="s">
        <v>49</v>
      </c>
      <c r="B22" s="3" t="s">
        <v>50</v>
      </c>
      <c r="C22" s="12" t="s">
        <v>48</v>
      </c>
      <c r="D22" s="10"/>
      <c r="E22" s="13">
        <v>22500.0</v>
      </c>
      <c r="F22" s="10"/>
      <c r="G22" s="10"/>
      <c r="H22" s="3"/>
      <c r="I22" s="18" t="s">
        <v>51</v>
      </c>
      <c r="J22" s="19">
        <v>45877.0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 t="s">
        <v>52</v>
      </c>
      <c r="B23" s="3" t="s">
        <v>53</v>
      </c>
      <c r="C23" s="3"/>
      <c r="D23" s="10"/>
      <c r="E23" s="13">
        <v>41000.0</v>
      </c>
      <c r="F23" s="10"/>
      <c r="G23" s="10"/>
      <c r="H23" s="3"/>
      <c r="I23" s="18" t="s">
        <v>51</v>
      </c>
      <c r="J23" s="19">
        <v>45877.0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 t="s">
        <v>54</v>
      </c>
      <c r="B24" s="3" t="s">
        <v>55</v>
      </c>
      <c r="C24" s="12" t="s">
        <v>21</v>
      </c>
      <c r="D24" s="14">
        <v>13879.0</v>
      </c>
      <c r="E24" s="15">
        <v>15000.0</v>
      </c>
      <c r="F24" s="10"/>
      <c r="G24" s="10"/>
      <c r="H24" s="3"/>
      <c r="I24" s="16" t="s">
        <v>22</v>
      </c>
      <c r="J24" s="17">
        <v>46081.0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 t="s">
        <v>56</v>
      </c>
      <c r="B25" s="3" t="s">
        <v>57</v>
      </c>
      <c r="C25" s="12" t="s">
        <v>21</v>
      </c>
      <c r="D25" s="10"/>
      <c r="E25" s="13">
        <v>18000.0</v>
      </c>
      <c r="F25" s="10"/>
      <c r="G25" s="10"/>
      <c r="H25" s="3"/>
      <c r="I25" s="18" t="s">
        <v>51</v>
      </c>
      <c r="J25" s="19">
        <v>45902.0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 t="s">
        <v>58</v>
      </c>
      <c r="B26" s="3" t="s">
        <v>59</v>
      </c>
      <c r="C26" s="12" t="s">
        <v>10</v>
      </c>
      <c r="D26" s="10"/>
      <c r="E26" s="13">
        <v>35000.0</v>
      </c>
      <c r="F26" s="10"/>
      <c r="G26" s="10"/>
      <c r="H26" s="3"/>
      <c r="I26" s="18" t="s">
        <v>22</v>
      </c>
      <c r="J26" s="19">
        <v>45929.0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 t="s">
        <v>60</v>
      </c>
      <c r="B27" s="3" t="s">
        <v>61</v>
      </c>
      <c r="C27" s="12" t="s">
        <v>10</v>
      </c>
      <c r="D27" s="10"/>
      <c r="E27" s="13">
        <v>30000.0</v>
      </c>
      <c r="F27" s="10"/>
      <c r="G27" s="10"/>
      <c r="H27" s="3"/>
      <c r="I27" s="18" t="s">
        <v>62</v>
      </c>
      <c r="J27" s="19">
        <v>45778.0</v>
      </c>
      <c r="K27" s="3"/>
      <c r="L27" s="3"/>
      <c r="M27" s="3"/>
      <c r="N27" s="10"/>
      <c r="O27" s="10"/>
      <c r="P27" s="10"/>
      <c r="Q27" s="10"/>
      <c r="R27" s="3"/>
      <c r="S27" s="3"/>
      <c r="T27" s="11"/>
      <c r="U27" s="3"/>
      <c r="V27" s="3"/>
      <c r="W27" s="3"/>
      <c r="X27" s="3"/>
      <c r="Y27" s="3"/>
      <c r="Z27" s="3"/>
    </row>
    <row r="28" ht="14.25" customHeight="1">
      <c r="A28" s="3" t="s">
        <v>63</v>
      </c>
      <c r="B28" s="3" t="s">
        <v>64</v>
      </c>
      <c r="C28" s="12" t="s">
        <v>10</v>
      </c>
      <c r="D28" s="10"/>
      <c r="E28" s="13">
        <v>33275.0</v>
      </c>
      <c r="F28" s="10"/>
      <c r="G28" s="10"/>
      <c r="H28" s="3"/>
      <c r="I28" s="18" t="s">
        <v>41</v>
      </c>
      <c r="J28" s="19">
        <v>45824.0</v>
      </c>
      <c r="K28" s="3"/>
      <c r="L28" s="3"/>
      <c r="M28" s="10"/>
      <c r="N28" s="10"/>
      <c r="O28" s="10"/>
      <c r="P28" s="10"/>
      <c r="Q28" s="10"/>
      <c r="R28" s="3"/>
      <c r="S28" s="11"/>
      <c r="T28" s="11"/>
      <c r="U28" s="3"/>
      <c r="V28" s="3"/>
      <c r="W28" s="3"/>
      <c r="X28" s="3"/>
      <c r="Y28" s="3"/>
      <c r="Z28" s="3"/>
    </row>
    <row r="29" ht="14.25" customHeight="1">
      <c r="A29" s="3" t="s">
        <v>65</v>
      </c>
      <c r="B29" s="3" t="s">
        <v>66</v>
      </c>
      <c r="C29" s="12" t="s">
        <v>10</v>
      </c>
      <c r="D29" s="10"/>
      <c r="E29" s="13">
        <v>86600.0</v>
      </c>
      <c r="F29" s="10"/>
      <c r="G29" s="10"/>
      <c r="H29" s="3"/>
      <c r="I29" s="18" t="s">
        <v>41</v>
      </c>
      <c r="J29" s="19">
        <v>45890.0</v>
      </c>
      <c r="K29" s="3"/>
      <c r="L29" s="3"/>
      <c r="M29" s="10"/>
      <c r="N29" s="10"/>
      <c r="O29" s="10"/>
      <c r="P29" s="10"/>
      <c r="Q29" s="3"/>
      <c r="R29" s="3"/>
      <c r="S29" s="11"/>
      <c r="T29" s="3"/>
      <c r="U29" s="3"/>
      <c r="V29" s="3"/>
      <c r="W29" s="3"/>
      <c r="X29" s="3"/>
      <c r="Y29" s="3"/>
      <c r="Z29" s="3"/>
    </row>
    <row r="30" ht="14.25" customHeight="1">
      <c r="A30" s="3" t="s">
        <v>67</v>
      </c>
      <c r="B30" s="3" t="s">
        <v>68</v>
      </c>
      <c r="C30" s="12" t="s">
        <v>10</v>
      </c>
      <c r="D30" s="10"/>
      <c r="E30" s="13">
        <v>94400.0</v>
      </c>
      <c r="F30" s="10"/>
      <c r="G30" s="10"/>
      <c r="H30" s="3"/>
      <c r="I30" s="18" t="s">
        <v>41</v>
      </c>
      <c r="J30" s="19">
        <v>45890.0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 t="s">
        <v>69</v>
      </c>
      <c r="B31" s="3" t="s">
        <v>70</v>
      </c>
      <c r="C31" s="12" t="s">
        <v>10</v>
      </c>
      <c r="D31" s="10"/>
      <c r="E31" s="13">
        <v>60000.0</v>
      </c>
      <c r="F31" s="10"/>
      <c r="G31" s="10"/>
      <c r="H31" s="3"/>
      <c r="I31" s="18" t="s">
        <v>62</v>
      </c>
      <c r="J31" s="19">
        <v>45896.0</v>
      </c>
      <c r="K31" s="3"/>
      <c r="L31" s="3"/>
      <c r="M31" s="3"/>
      <c r="N31" s="10"/>
      <c r="O31" s="10"/>
      <c r="P31" s="10"/>
      <c r="Q31" s="10"/>
      <c r="R31" s="3"/>
      <c r="S31" s="3"/>
      <c r="T31" s="11"/>
      <c r="U31" s="3"/>
      <c r="V31" s="3"/>
      <c r="W31" s="3"/>
      <c r="X31" s="3"/>
      <c r="Y31" s="3"/>
      <c r="Z31" s="3"/>
    </row>
    <row r="32" ht="14.25" customHeight="1">
      <c r="A32" s="3" t="s">
        <v>71</v>
      </c>
      <c r="B32" s="3" t="s">
        <v>72</v>
      </c>
      <c r="C32" s="12" t="s">
        <v>10</v>
      </c>
      <c r="D32" s="10"/>
      <c r="E32" s="13">
        <v>25000.0</v>
      </c>
      <c r="F32" s="10"/>
      <c r="G32" s="10"/>
      <c r="H32" s="3"/>
      <c r="I32" s="18" t="s">
        <v>62</v>
      </c>
      <c r="J32" s="19">
        <v>45896.0</v>
      </c>
      <c r="K32" s="3"/>
      <c r="L32" s="3"/>
      <c r="M32" s="3"/>
      <c r="N32" s="10"/>
      <c r="O32" s="10"/>
      <c r="P32" s="10"/>
      <c r="Q32" s="10"/>
      <c r="R32" s="3"/>
      <c r="S32" s="3"/>
      <c r="T32" s="11"/>
      <c r="U32" s="3"/>
      <c r="V32" s="3"/>
      <c r="W32" s="3"/>
      <c r="X32" s="3"/>
      <c r="Y32" s="3"/>
      <c r="Z32" s="3"/>
    </row>
    <row r="33" ht="14.25" customHeight="1">
      <c r="A33" s="3" t="s">
        <v>73</v>
      </c>
      <c r="B33" s="3" t="s">
        <v>74</v>
      </c>
      <c r="C33" s="12" t="s">
        <v>10</v>
      </c>
      <c r="D33" s="10"/>
      <c r="E33" s="13">
        <v>20000.0</v>
      </c>
      <c r="F33" s="10"/>
      <c r="G33" s="10"/>
      <c r="H33" s="3"/>
      <c r="I33" s="18" t="s">
        <v>62</v>
      </c>
      <c r="J33" s="19">
        <v>45896.0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 t="s">
        <v>75</v>
      </c>
      <c r="B34" s="3" t="s">
        <v>76</v>
      </c>
      <c r="C34" s="12" t="s">
        <v>77</v>
      </c>
      <c r="D34" s="10"/>
      <c r="E34" s="15">
        <v>4500.0</v>
      </c>
      <c r="F34" s="10"/>
      <c r="G34" s="10"/>
      <c r="H34" s="3"/>
      <c r="I34" s="16" t="s">
        <v>78</v>
      </c>
      <c r="J34" s="17">
        <v>46023.0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 t="s">
        <v>79</v>
      </c>
      <c r="B35" s="3" t="s">
        <v>80</v>
      </c>
      <c r="C35" s="12" t="s">
        <v>77</v>
      </c>
      <c r="D35" s="10"/>
      <c r="E35" s="15">
        <v>4500.0</v>
      </c>
      <c r="F35" s="10"/>
      <c r="G35" s="10"/>
      <c r="H35" s="3"/>
      <c r="I35" s="16" t="s">
        <v>78</v>
      </c>
      <c r="J35" s="17">
        <v>46023.0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20" t="s">
        <v>81</v>
      </c>
      <c r="B36" s="20" t="s">
        <v>82</v>
      </c>
      <c r="C36" s="12" t="s">
        <v>77</v>
      </c>
      <c r="D36" s="10"/>
      <c r="E36" s="15">
        <v>220000.0</v>
      </c>
      <c r="F36" s="10"/>
      <c r="G36" s="10"/>
      <c r="H36" s="3"/>
      <c r="I36" s="16" t="s">
        <v>78</v>
      </c>
      <c r="J36" s="17">
        <v>46023.0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 t="s">
        <v>83</v>
      </c>
      <c r="B37" s="3" t="s">
        <v>84</v>
      </c>
      <c r="C37" s="12" t="s">
        <v>10</v>
      </c>
      <c r="D37" s="14">
        <v>16500.0</v>
      </c>
      <c r="E37" s="13">
        <f>D37/1.21</f>
        <v>13636.36364</v>
      </c>
      <c r="F37" s="10"/>
      <c r="G37" s="10"/>
      <c r="H37" s="3"/>
      <c r="I37" s="18" t="s">
        <v>41</v>
      </c>
      <c r="J37" s="19">
        <v>45412.0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 t="s">
        <v>85</v>
      </c>
      <c r="B38" s="3" t="s">
        <v>86</v>
      </c>
      <c r="C38" s="3"/>
      <c r="D38" s="10"/>
      <c r="E38" s="13">
        <v>22314.0</v>
      </c>
      <c r="F38" s="10"/>
      <c r="G38" s="10"/>
      <c r="H38" s="3"/>
      <c r="I38" s="18" t="s">
        <v>41</v>
      </c>
      <c r="J38" s="19">
        <v>45919.0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 t="s">
        <v>87</v>
      </c>
      <c r="B39" s="21" t="s">
        <v>88</v>
      </c>
      <c r="C39" s="22" t="s">
        <v>21</v>
      </c>
      <c r="D39" s="10"/>
      <c r="E39" s="13">
        <v>120000.0</v>
      </c>
      <c r="F39" s="10"/>
      <c r="G39" s="10"/>
      <c r="H39" s="3"/>
      <c r="I39" s="3"/>
      <c r="J39" s="11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 t="s">
        <v>89</v>
      </c>
      <c r="B40" s="21" t="s">
        <v>90</v>
      </c>
      <c r="C40" s="22" t="s">
        <v>21</v>
      </c>
      <c r="D40" s="10"/>
      <c r="E40" s="13">
        <v>40000.0</v>
      </c>
      <c r="F40" s="10"/>
      <c r="G40" s="10"/>
      <c r="H40" s="3"/>
      <c r="I40" s="3"/>
      <c r="J40" s="11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 t="s">
        <v>91</v>
      </c>
      <c r="B41" s="3" t="s">
        <v>92</v>
      </c>
      <c r="C41" s="12" t="s">
        <v>21</v>
      </c>
      <c r="D41" s="10"/>
      <c r="E41" s="13">
        <v>34000.0</v>
      </c>
      <c r="F41" s="10"/>
      <c r="G41" s="10"/>
      <c r="H41" s="3"/>
      <c r="I41" s="3"/>
      <c r="J41" s="11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 t="s">
        <v>93</v>
      </c>
      <c r="B42" s="3" t="s">
        <v>94</v>
      </c>
      <c r="C42" s="12" t="s">
        <v>21</v>
      </c>
      <c r="D42" s="10"/>
      <c r="E42" s="13">
        <v>30111.0</v>
      </c>
      <c r="F42" s="10"/>
      <c r="G42" s="10"/>
      <c r="H42" s="3"/>
      <c r="I42" s="3"/>
      <c r="J42" s="11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 t="s">
        <v>95</v>
      </c>
      <c r="B43" s="3" t="s">
        <v>96</v>
      </c>
      <c r="C43" s="12" t="s">
        <v>21</v>
      </c>
      <c r="D43" s="10"/>
      <c r="E43" s="13" t="s">
        <v>97</v>
      </c>
      <c r="F43" s="10"/>
      <c r="G43" s="10"/>
      <c r="H43" s="3"/>
      <c r="I43" s="3"/>
      <c r="J43" s="11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 t="s">
        <v>98</v>
      </c>
      <c r="B44" s="3" t="s">
        <v>99</v>
      </c>
      <c r="C44" s="12" t="s">
        <v>21</v>
      </c>
      <c r="D44" s="10"/>
      <c r="E44" s="13">
        <v>3844.0</v>
      </c>
      <c r="F44" s="10"/>
      <c r="G44" s="10"/>
      <c r="H44" s="3"/>
      <c r="I44" s="3"/>
      <c r="J44" s="11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 t="s">
        <v>100</v>
      </c>
      <c r="B45" s="3" t="s">
        <v>101</v>
      </c>
      <c r="C45" s="12" t="s">
        <v>21</v>
      </c>
      <c r="D45" s="14">
        <f>E45*1.21</f>
        <v>21780</v>
      </c>
      <c r="E45" s="13">
        <v>18000.0</v>
      </c>
      <c r="F45" s="10"/>
      <c r="G45" s="10"/>
      <c r="H45" s="3"/>
      <c r="I45" s="3"/>
      <c r="J45" s="11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 t="s">
        <v>102</v>
      </c>
      <c r="B46" s="3" t="s">
        <v>103</v>
      </c>
      <c r="C46" s="12" t="s">
        <v>21</v>
      </c>
      <c r="D46" s="10"/>
      <c r="E46" s="13">
        <v>13000.0</v>
      </c>
      <c r="F46" s="10"/>
      <c r="G46" s="10"/>
      <c r="H46" s="3"/>
      <c r="I46" s="3"/>
      <c r="J46" s="11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 t="s">
        <v>104</v>
      </c>
      <c r="B47" s="3" t="s">
        <v>105</v>
      </c>
      <c r="C47" s="12" t="s">
        <v>21</v>
      </c>
      <c r="D47" s="10"/>
      <c r="E47" s="13">
        <v>5000.0</v>
      </c>
      <c r="F47" s="10"/>
      <c r="G47" s="10"/>
      <c r="H47" s="3"/>
      <c r="I47" s="3"/>
      <c r="J47" s="11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 t="s">
        <v>106</v>
      </c>
      <c r="B48" s="3" t="s">
        <v>107</v>
      </c>
      <c r="C48" s="12" t="s">
        <v>21</v>
      </c>
      <c r="D48" s="10"/>
      <c r="E48" s="13">
        <v>60000.0</v>
      </c>
      <c r="F48" s="10"/>
      <c r="G48" s="10"/>
      <c r="H48" s="3"/>
      <c r="I48" s="3"/>
      <c r="J48" s="11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 t="s">
        <v>108</v>
      </c>
      <c r="B49" s="3" t="s">
        <v>109</v>
      </c>
      <c r="C49" s="12" t="s">
        <v>21</v>
      </c>
      <c r="D49" s="10"/>
      <c r="E49" s="13" t="s">
        <v>110</v>
      </c>
      <c r="F49" s="10"/>
      <c r="G49" s="10"/>
      <c r="H49" s="3"/>
      <c r="I49" s="3"/>
      <c r="J49" s="11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10"/>
      <c r="E50" s="10"/>
      <c r="F50" s="10"/>
      <c r="G50" s="10"/>
      <c r="H50" s="3"/>
      <c r="I50" s="3"/>
      <c r="J50" s="11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10"/>
      <c r="E51" s="10"/>
      <c r="F51" s="10"/>
      <c r="G51" s="10"/>
      <c r="H51" s="3"/>
      <c r="I51" s="3"/>
      <c r="J51" s="11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4" t="s">
        <v>1</v>
      </c>
      <c r="B52" s="4" t="s">
        <v>111</v>
      </c>
      <c r="C52" s="2"/>
      <c r="D52" s="23" t="s">
        <v>4</v>
      </c>
      <c r="E52" s="23" t="s">
        <v>5</v>
      </c>
      <c r="F52" s="24"/>
      <c r="G52" s="24"/>
      <c r="H52" s="2"/>
      <c r="I52" s="2"/>
      <c r="J52" s="25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6" t="s">
        <v>112</v>
      </c>
      <c r="B53" s="6" t="s">
        <v>113</v>
      </c>
      <c r="C53" s="7" t="s">
        <v>21</v>
      </c>
      <c r="D53" s="8">
        <v>23200.0</v>
      </c>
      <c r="E53" s="9">
        <f t="shared" ref="E53:E57" si="2">D53/1.21</f>
        <v>19173.55372</v>
      </c>
      <c r="F53" s="10"/>
      <c r="G53" s="10"/>
      <c r="H53" s="3"/>
      <c r="I53" s="3"/>
      <c r="J53" s="11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6" t="s">
        <v>114</v>
      </c>
      <c r="B54" s="6" t="s">
        <v>115</v>
      </c>
      <c r="C54" s="7" t="s">
        <v>21</v>
      </c>
      <c r="D54" s="8">
        <v>36200.0</v>
      </c>
      <c r="E54" s="9">
        <f t="shared" si="2"/>
        <v>29917.35537</v>
      </c>
      <c r="F54" s="10"/>
      <c r="G54" s="10"/>
      <c r="H54" s="3"/>
      <c r="I54" s="3"/>
      <c r="J54" s="11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6"/>
      <c r="B55" s="6" t="s">
        <v>116</v>
      </c>
      <c r="C55" s="7" t="s">
        <v>21</v>
      </c>
      <c r="D55" s="8">
        <v>41900.0</v>
      </c>
      <c r="E55" s="9">
        <f t="shared" si="2"/>
        <v>34628.09917</v>
      </c>
      <c r="F55" s="10"/>
      <c r="G55" s="10"/>
      <c r="H55" s="3"/>
      <c r="I55" s="3"/>
      <c r="J55" s="11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6" t="s">
        <v>117</v>
      </c>
      <c r="B56" s="6" t="s">
        <v>118</v>
      </c>
      <c r="C56" s="7" t="s">
        <v>21</v>
      </c>
      <c r="D56" s="8">
        <v>22600.0</v>
      </c>
      <c r="E56" s="9">
        <f t="shared" si="2"/>
        <v>18677.68595</v>
      </c>
      <c r="F56" s="10"/>
      <c r="G56" s="10"/>
      <c r="H56" s="3"/>
      <c r="I56" s="3"/>
      <c r="J56" s="11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6" t="s">
        <v>119</v>
      </c>
      <c r="B57" s="6" t="s">
        <v>120</v>
      </c>
      <c r="C57" s="7" t="s">
        <v>21</v>
      </c>
      <c r="D57" s="8">
        <v>35800.0</v>
      </c>
      <c r="E57" s="9">
        <f t="shared" si="2"/>
        <v>29586.77686</v>
      </c>
      <c r="F57" s="10"/>
      <c r="G57" s="10"/>
      <c r="H57" s="3"/>
      <c r="I57" s="3"/>
      <c r="J57" s="11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 t="s">
        <v>121</v>
      </c>
      <c r="B58" s="3" t="s">
        <v>122</v>
      </c>
      <c r="C58" s="12" t="s">
        <v>21</v>
      </c>
      <c r="D58" s="14">
        <v>36600.0</v>
      </c>
      <c r="E58" s="13">
        <v>37608.0</v>
      </c>
      <c r="F58" s="10"/>
      <c r="G58" s="10"/>
      <c r="H58" s="3"/>
      <c r="I58" s="3"/>
      <c r="J58" s="11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 t="s">
        <v>123</v>
      </c>
      <c r="B59" s="3" t="s">
        <v>124</v>
      </c>
      <c r="C59" s="12" t="s">
        <v>21</v>
      </c>
      <c r="D59" s="10"/>
      <c r="E59" s="10"/>
      <c r="F59" s="10"/>
      <c r="G59" s="10"/>
      <c r="H59" s="3"/>
      <c r="I59" s="3"/>
      <c r="J59" s="11"/>
      <c r="K59" s="26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 t="s">
        <v>125</v>
      </c>
      <c r="B60" s="3" t="s">
        <v>126</v>
      </c>
      <c r="C60" s="12" t="s">
        <v>21</v>
      </c>
      <c r="D60" s="10"/>
      <c r="E60" s="14">
        <v>50000.0</v>
      </c>
      <c r="F60" s="10"/>
      <c r="G60" s="10"/>
      <c r="H60" s="3"/>
      <c r="I60" s="3"/>
      <c r="J60" s="11"/>
      <c r="K60" s="26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 t="s">
        <v>127</v>
      </c>
      <c r="B61" s="3" t="s">
        <v>128</v>
      </c>
      <c r="C61" s="12" t="s">
        <v>21</v>
      </c>
      <c r="D61" s="10"/>
      <c r="E61" s="10"/>
      <c r="F61" s="10"/>
      <c r="G61" s="10"/>
      <c r="H61" s="3"/>
      <c r="I61" s="3"/>
      <c r="J61" s="11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 t="s">
        <v>129</v>
      </c>
      <c r="B62" s="3" t="s">
        <v>130</v>
      </c>
      <c r="C62" s="12" t="s">
        <v>48</v>
      </c>
      <c r="D62" s="10"/>
      <c r="E62" s="10" t="s">
        <v>131</v>
      </c>
      <c r="F62" s="10"/>
      <c r="G62" s="10"/>
      <c r="H62" s="3"/>
      <c r="I62" s="3"/>
      <c r="J62" s="11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 t="s">
        <v>132</v>
      </c>
      <c r="B63" s="3" t="s">
        <v>133</v>
      </c>
      <c r="C63" s="12" t="s">
        <v>21</v>
      </c>
      <c r="D63" s="10"/>
      <c r="E63" s="13">
        <v>5250.0</v>
      </c>
      <c r="F63" s="10"/>
      <c r="G63" s="10"/>
      <c r="H63" s="3"/>
      <c r="I63" s="3"/>
      <c r="J63" s="11"/>
      <c r="K63" s="26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 t="s">
        <v>134</v>
      </c>
      <c r="B64" s="3" t="s">
        <v>135</v>
      </c>
      <c r="C64" s="12" t="s">
        <v>21</v>
      </c>
      <c r="D64" s="10"/>
      <c r="E64" s="13">
        <v>9050.0</v>
      </c>
      <c r="F64" s="10"/>
      <c r="G64" s="10"/>
      <c r="H64" s="3"/>
      <c r="I64" s="3"/>
      <c r="J64" s="11"/>
      <c r="K64" s="26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 t="s">
        <v>136</v>
      </c>
      <c r="B65" s="3" t="s">
        <v>137</v>
      </c>
      <c r="C65" s="12" t="s">
        <v>21</v>
      </c>
      <c r="D65" s="10"/>
      <c r="E65" s="13">
        <v>11237.0</v>
      </c>
      <c r="F65" s="10"/>
      <c r="G65" s="10"/>
      <c r="H65" s="3"/>
      <c r="I65" s="3"/>
      <c r="J65" s="11"/>
      <c r="K65" s="26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 t="s">
        <v>138</v>
      </c>
      <c r="B66" s="3" t="s">
        <v>139</v>
      </c>
      <c r="C66" s="12" t="s">
        <v>21</v>
      </c>
      <c r="D66" s="10"/>
      <c r="E66" s="13">
        <v>20442.5</v>
      </c>
      <c r="F66" s="10"/>
      <c r="G66" s="10"/>
      <c r="H66" s="3"/>
      <c r="I66" s="3"/>
      <c r="J66" s="11"/>
      <c r="K66" s="26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 t="s">
        <v>140</v>
      </c>
      <c r="B67" s="3" t="s">
        <v>141</v>
      </c>
      <c r="C67" s="12" t="s">
        <v>21</v>
      </c>
      <c r="D67" s="10"/>
      <c r="E67" s="13">
        <v>36603.12</v>
      </c>
      <c r="F67" s="10"/>
      <c r="G67" s="10"/>
      <c r="H67" s="3"/>
      <c r="I67" s="3"/>
      <c r="J67" s="11"/>
      <c r="K67" s="26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20" t="s">
        <v>142</v>
      </c>
      <c r="B68" s="20" t="s">
        <v>143</v>
      </c>
      <c r="C68" s="27" t="s">
        <v>144</v>
      </c>
      <c r="D68" s="10"/>
      <c r="E68" s="15">
        <v>55000.0</v>
      </c>
      <c r="F68" s="10"/>
      <c r="G68" s="10"/>
      <c r="H68" s="3"/>
      <c r="I68" s="3"/>
      <c r="J68" s="11"/>
      <c r="K68" s="26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28" t="s">
        <v>145</v>
      </c>
      <c r="B69" s="6" t="s">
        <v>143</v>
      </c>
      <c r="C69" s="7" t="s">
        <v>21</v>
      </c>
      <c r="D69" s="8">
        <v>48744.82</v>
      </c>
      <c r="E69" s="9">
        <f t="shared" ref="E69:E70" si="3">D69/1.21</f>
        <v>40284.97521</v>
      </c>
      <c r="F69" s="10"/>
      <c r="G69" s="10"/>
      <c r="H69" s="3"/>
      <c r="I69" s="3"/>
      <c r="J69" s="11"/>
      <c r="K69" s="26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6" t="s">
        <v>146</v>
      </c>
      <c r="B70" s="6" t="s">
        <v>147</v>
      </c>
      <c r="C70" s="7" t="s">
        <v>21</v>
      </c>
      <c r="D70" s="8">
        <v>83198.48</v>
      </c>
      <c r="E70" s="9">
        <f t="shared" si="3"/>
        <v>68759.07438</v>
      </c>
      <c r="F70" s="10"/>
      <c r="G70" s="10"/>
      <c r="H70" s="3"/>
      <c r="I70" s="3"/>
      <c r="J70" s="11"/>
      <c r="K70" s="26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6" t="s">
        <v>148</v>
      </c>
      <c r="B71" s="6" t="s">
        <v>149</v>
      </c>
      <c r="C71" s="7" t="s">
        <v>77</v>
      </c>
      <c r="D71" s="29"/>
      <c r="E71" s="9">
        <v>1347.48</v>
      </c>
      <c r="F71" s="10"/>
      <c r="G71" s="10"/>
      <c r="H71" s="3"/>
      <c r="I71" s="3"/>
      <c r="J71" s="11"/>
      <c r="K71" s="26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6" t="s">
        <v>150</v>
      </c>
      <c r="B72" s="6" t="s">
        <v>151</v>
      </c>
      <c r="C72" s="7" t="s">
        <v>77</v>
      </c>
      <c r="D72" s="29"/>
      <c r="E72" s="9">
        <v>1310.31</v>
      </c>
      <c r="F72" s="10"/>
      <c r="G72" s="10"/>
      <c r="H72" s="3"/>
      <c r="I72" s="3"/>
      <c r="J72" s="11"/>
      <c r="K72" s="26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6" t="s">
        <v>152</v>
      </c>
      <c r="B73" s="6" t="s">
        <v>153</v>
      </c>
      <c r="C73" s="7" t="s">
        <v>77</v>
      </c>
      <c r="D73" s="29"/>
      <c r="E73" s="9">
        <v>1310.31</v>
      </c>
      <c r="F73" s="10"/>
      <c r="G73" s="10"/>
      <c r="H73" s="3"/>
      <c r="I73" s="3"/>
      <c r="J73" s="11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6" t="s">
        <v>154</v>
      </c>
      <c r="B74" s="6" t="s">
        <v>155</v>
      </c>
      <c r="C74" s="7" t="s">
        <v>77</v>
      </c>
      <c r="D74" s="29"/>
      <c r="E74" s="9">
        <v>1301.01</v>
      </c>
      <c r="F74" s="10"/>
      <c r="G74" s="10"/>
      <c r="H74" s="3"/>
      <c r="I74" s="3"/>
      <c r="J74" s="11"/>
      <c r="K74" s="26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6" t="s">
        <v>156</v>
      </c>
      <c r="B75" s="6" t="s">
        <v>157</v>
      </c>
      <c r="C75" s="7" t="s">
        <v>77</v>
      </c>
      <c r="D75" s="29"/>
      <c r="E75" s="9">
        <v>1263.84</v>
      </c>
      <c r="F75" s="10"/>
      <c r="G75" s="10"/>
      <c r="H75" s="3"/>
      <c r="I75" s="3"/>
      <c r="J75" s="11"/>
      <c r="K75" s="26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6" t="s">
        <v>158</v>
      </c>
      <c r="B76" s="6" t="s">
        <v>159</v>
      </c>
      <c r="C76" s="7" t="s">
        <v>77</v>
      </c>
      <c r="D76" s="29"/>
      <c r="E76" s="9">
        <v>1263.84</v>
      </c>
      <c r="F76" s="10"/>
      <c r="G76" s="10"/>
      <c r="H76" s="3"/>
      <c r="I76" s="3"/>
      <c r="J76" s="11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6" t="s">
        <v>160</v>
      </c>
      <c r="B77" s="6" t="s">
        <v>161</v>
      </c>
      <c r="C77" s="7" t="s">
        <v>77</v>
      </c>
      <c r="D77" s="29"/>
      <c r="E77" s="9">
        <v>1263.84</v>
      </c>
      <c r="F77" s="10"/>
      <c r="G77" s="10"/>
      <c r="H77" s="3"/>
      <c r="I77" s="3"/>
      <c r="J77" s="11"/>
      <c r="K77" s="26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6" t="s">
        <v>148</v>
      </c>
      <c r="B78" s="6" t="s">
        <v>149</v>
      </c>
      <c r="C78" s="7" t="s">
        <v>77</v>
      </c>
      <c r="D78" s="29"/>
      <c r="E78" s="9">
        <v>1455.0</v>
      </c>
      <c r="F78" s="10"/>
      <c r="G78" s="10"/>
      <c r="H78" s="3"/>
      <c r="I78" s="3"/>
      <c r="J78" s="11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6" t="s">
        <v>150</v>
      </c>
      <c r="B79" s="6" t="s">
        <v>151</v>
      </c>
      <c r="C79" s="7" t="s">
        <v>77</v>
      </c>
      <c r="D79" s="29"/>
      <c r="E79" s="9">
        <v>1374.0</v>
      </c>
      <c r="F79" s="10"/>
      <c r="G79" s="10"/>
      <c r="H79" s="3"/>
      <c r="I79" s="3"/>
      <c r="J79" s="11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6" t="s">
        <v>152</v>
      </c>
      <c r="B80" s="6" t="s">
        <v>153</v>
      </c>
      <c r="C80" s="7" t="s">
        <v>77</v>
      </c>
      <c r="D80" s="29"/>
      <c r="E80" s="9">
        <v>1374.0</v>
      </c>
      <c r="F80" s="10"/>
      <c r="G80" s="10"/>
      <c r="H80" s="3"/>
      <c r="I80" s="3"/>
      <c r="J80" s="11"/>
      <c r="K80" s="26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6" t="s">
        <v>154</v>
      </c>
      <c r="B81" s="6" t="s">
        <v>155</v>
      </c>
      <c r="C81" s="7" t="s">
        <v>77</v>
      </c>
      <c r="D81" s="29"/>
      <c r="E81" s="9">
        <v>1374.0</v>
      </c>
      <c r="F81" s="10"/>
      <c r="G81" s="10"/>
      <c r="H81" s="3"/>
      <c r="I81" s="3"/>
      <c r="J81" s="11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6" t="s">
        <v>156</v>
      </c>
      <c r="B82" s="6" t="s">
        <v>157</v>
      </c>
      <c r="C82" s="7" t="s">
        <v>77</v>
      </c>
      <c r="D82" s="29"/>
      <c r="E82" s="9">
        <v>1322.0</v>
      </c>
      <c r="F82" s="10"/>
      <c r="G82" s="10"/>
      <c r="H82" s="3"/>
      <c r="I82" s="3"/>
      <c r="J82" s="11"/>
      <c r="K82" s="26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6" t="s">
        <v>158</v>
      </c>
      <c r="B83" s="6" t="s">
        <v>159</v>
      </c>
      <c r="C83" s="7" t="s">
        <v>77</v>
      </c>
      <c r="D83" s="29"/>
      <c r="E83" s="9">
        <v>1322.0</v>
      </c>
      <c r="F83" s="10"/>
      <c r="G83" s="10"/>
      <c r="H83" s="3"/>
      <c r="I83" s="3"/>
      <c r="J83" s="11"/>
      <c r="K83" s="26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6" t="s">
        <v>160</v>
      </c>
      <c r="B84" s="6" t="s">
        <v>161</v>
      </c>
      <c r="C84" s="7" t="s">
        <v>77</v>
      </c>
      <c r="D84" s="29"/>
      <c r="E84" s="9">
        <v>1322.0</v>
      </c>
      <c r="F84" s="10"/>
      <c r="G84" s="10"/>
      <c r="H84" s="3"/>
      <c r="I84" s="3"/>
      <c r="J84" s="11"/>
      <c r="K84" s="26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6" t="s">
        <v>162</v>
      </c>
      <c r="B85" s="6" t="s">
        <v>163</v>
      </c>
      <c r="C85" s="7" t="s">
        <v>164</v>
      </c>
      <c r="D85" s="29"/>
      <c r="E85" s="9">
        <v>20410.0</v>
      </c>
      <c r="F85" s="10"/>
      <c r="G85" s="10"/>
      <c r="H85" s="3"/>
      <c r="I85" s="3"/>
      <c r="J85" s="11"/>
      <c r="K85" s="26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 t="s">
        <v>165</v>
      </c>
      <c r="B86" s="3" t="s">
        <v>166</v>
      </c>
      <c r="C86" s="12" t="s">
        <v>164</v>
      </c>
      <c r="D86" s="10"/>
      <c r="E86" s="13" t="s">
        <v>167</v>
      </c>
      <c r="F86" s="10"/>
      <c r="G86" s="10"/>
      <c r="H86" s="3"/>
      <c r="I86" s="3"/>
      <c r="J86" s="11"/>
      <c r="K86" s="26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0" t="s">
        <v>21</v>
      </c>
      <c r="D87" s="31"/>
      <c r="E87" s="10"/>
      <c r="F87" s="10"/>
      <c r="G87" s="10"/>
      <c r="H87" s="3"/>
      <c r="I87" s="3"/>
      <c r="J87" s="11"/>
      <c r="K87" s="26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10"/>
      <c r="E88" s="10"/>
      <c r="F88" s="10"/>
      <c r="G88" s="10"/>
      <c r="H88" s="3"/>
      <c r="I88" s="3"/>
      <c r="J88" s="11"/>
      <c r="K88" s="26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4" t="s">
        <v>1</v>
      </c>
      <c r="B89" s="4" t="s">
        <v>168</v>
      </c>
      <c r="C89" s="2"/>
      <c r="D89" s="23" t="s">
        <v>4</v>
      </c>
      <c r="E89" s="23" t="s">
        <v>5</v>
      </c>
      <c r="F89" s="24"/>
      <c r="G89" s="24"/>
      <c r="H89" s="2"/>
      <c r="I89" s="2"/>
      <c r="J89" s="25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 t="s">
        <v>169</v>
      </c>
      <c r="B90" s="3" t="s">
        <v>170</v>
      </c>
      <c r="C90" s="12" t="s">
        <v>21</v>
      </c>
      <c r="D90" s="10"/>
      <c r="E90" s="13">
        <v>190000.0</v>
      </c>
      <c r="F90" s="10"/>
      <c r="G90" s="32">
        <v>45937.0</v>
      </c>
      <c r="H90" s="33" t="s">
        <v>171</v>
      </c>
      <c r="I90" s="3"/>
      <c r="J90" s="11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 t="s">
        <v>172</v>
      </c>
      <c r="B91" s="3" t="s">
        <v>173</v>
      </c>
      <c r="C91" s="12" t="s">
        <v>21</v>
      </c>
      <c r="D91" s="10"/>
      <c r="E91" s="13">
        <v>100000.0</v>
      </c>
      <c r="F91" s="10"/>
      <c r="G91" s="32">
        <v>45937.0</v>
      </c>
      <c r="H91" s="33" t="s">
        <v>174</v>
      </c>
      <c r="I91" s="3"/>
      <c r="J91" s="11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 t="s">
        <v>175</v>
      </c>
      <c r="B92" s="3" t="s">
        <v>176</v>
      </c>
      <c r="C92" s="12" t="s">
        <v>21</v>
      </c>
      <c r="D92" s="10"/>
      <c r="E92" s="13">
        <v>600000.0</v>
      </c>
      <c r="F92" s="10"/>
      <c r="G92" s="10"/>
      <c r="H92" s="3"/>
      <c r="I92" s="3"/>
      <c r="J92" s="11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 t="s">
        <v>177</v>
      </c>
      <c r="B93" s="3" t="s">
        <v>178</v>
      </c>
      <c r="C93" s="12" t="s">
        <v>21</v>
      </c>
      <c r="D93" s="10"/>
      <c r="E93" s="13">
        <v>300000.0</v>
      </c>
      <c r="F93" s="10"/>
      <c r="G93" s="32">
        <v>45937.0</v>
      </c>
      <c r="H93" s="33" t="s">
        <v>179</v>
      </c>
      <c r="I93" s="3"/>
      <c r="J93" s="11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 t="s">
        <v>180</v>
      </c>
      <c r="B94" s="3" t="s">
        <v>181</v>
      </c>
      <c r="C94" s="12" t="s">
        <v>21</v>
      </c>
      <c r="D94" s="10"/>
      <c r="E94" s="13">
        <v>1000000.0</v>
      </c>
      <c r="F94" s="10"/>
      <c r="G94" s="32">
        <v>45937.0</v>
      </c>
      <c r="H94" s="33" t="s">
        <v>182</v>
      </c>
      <c r="I94" s="3"/>
      <c r="J94" s="11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 t="s">
        <v>183</v>
      </c>
      <c r="B95" s="3" t="s">
        <v>184</v>
      </c>
      <c r="C95" s="12" t="s">
        <v>21</v>
      </c>
      <c r="D95" s="10"/>
      <c r="E95" s="13">
        <v>230000.0</v>
      </c>
      <c r="F95" s="10"/>
      <c r="G95" s="32">
        <v>45937.0</v>
      </c>
      <c r="H95" s="33" t="s">
        <v>185</v>
      </c>
      <c r="I95" s="3"/>
      <c r="J95" s="11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 t="s">
        <v>186</v>
      </c>
      <c r="B96" s="3" t="s">
        <v>187</v>
      </c>
      <c r="C96" s="12" t="s">
        <v>21</v>
      </c>
      <c r="D96" s="10"/>
      <c r="E96" s="13">
        <v>12000.0</v>
      </c>
      <c r="F96" s="10"/>
      <c r="G96" s="10"/>
      <c r="H96" s="3"/>
      <c r="I96" s="3"/>
      <c r="J96" s="11"/>
      <c r="K96" s="26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 t="s">
        <v>188</v>
      </c>
      <c r="B97" s="3" t="s">
        <v>189</v>
      </c>
      <c r="C97" s="12" t="s">
        <v>21</v>
      </c>
      <c r="D97" s="10"/>
      <c r="E97" s="13">
        <v>150000.0</v>
      </c>
      <c r="F97" s="10"/>
      <c r="G97" s="10"/>
      <c r="H97" s="3"/>
      <c r="I97" s="3"/>
      <c r="J97" s="11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 t="s">
        <v>190</v>
      </c>
      <c r="B98" s="3" t="s">
        <v>191</v>
      </c>
      <c r="C98" s="12" t="s">
        <v>21</v>
      </c>
      <c r="D98" s="10"/>
      <c r="E98" s="13">
        <v>130000.0</v>
      </c>
      <c r="F98" s="10"/>
      <c r="G98" s="32">
        <v>45937.0</v>
      </c>
      <c r="H98" s="33" t="s">
        <v>192</v>
      </c>
      <c r="I98" s="3"/>
      <c r="J98" s="11"/>
      <c r="K98" s="26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 t="s">
        <v>193</v>
      </c>
      <c r="B99" s="3" t="s">
        <v>194</v>
      </c>
      <c r="C99" s="12" t="s">
        <v>21</v>
      </c>
      <c r="D99" s="10"/>
      <c r="E99" s="13">
        <v>10000.0</v>
      </c>
      <c r="F99" s="10"/>
      <c r="G99" s="10"/>
      <c r="H99" s="3"/>
      <c r="I99" s="3"/>
      <c r="J99" s="11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 t="s">
        <v>195</v>
      </c>
      <c r="B100" s="3" t="s">
        <v>196</v>
      </c>
      <c r="C100" s="12" t="s">
        <v>21</v>
      </c>
      <c r="D100" s="10"/>
      <c r="E100" s="13">
        <v>360000.0</v>
      </c>
      <c r="F100" s="10"/>
      <c r="G100" s="10"/>
      <c r="H100" s="3"/>
      <c r="I100" s="3"/>
      <c r="J100" s="11"/>
      <c r="K100" s="26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 t="s">
        <v>197</v>
      </c>
      <c r="B101" s="3" t="s">
        <v>198</v>
      </c>
      <c r="C101" s="12" t="s">
        <v>21</v>
      </c>
      <c r="D101" s="10"/>
      <c r="E101" s="13">
        <v>211000.0</v>
      </c>
      <c r="F101" s="10"/>
      <c r="G101" s="10"/>
      <c r="H101" s="3"/>
      <c r="I101" s="3"/>
      <c r="J101" s="11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 t="s">
        <v>199</v>
      </c>
      <c r="B102" s="3" t="s">
        <v>200</v>
      </c>
      <c r="C102" s="12" t="s">
        <v>21</v>
      </c>
      <c r="D102" s="10"/>
      <c r="E102" s="13">
        <v>26000.0</v>
      </c>
      <c r="F102" s="10"/>
      <c r="G102" s="10"/>
      <c r="H102" s="3"/>
      <c r="I102" s="3"/>
      <c r="J102" s="11"/>
      <c r="K102" s="26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6" t="s">
        <v>201</v>
      </c>
      <c r="B103" s="6" t="s">
        <v>202</v>
      </c>
      <c r="C103" s="7" t="s">
        <v>21</v>
      </c>
      <c r="D103" s="29"/>
      <c r="E103" s="9">
        <v>98608.68</v>
      </c>
      <c r="F103" s="10"/>
      <c r="G103" s="10"/>
      <c r="H103" s="3"/>
      <c r="I103" s="3"/>
      <c r="J103" s="11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6" t="s">
        <v>175</v>
      </c>
      <c r="B104" s="6" t="s">
        <v>203</v>
      </c>
      <c r="C104" s="7" t="s">
        <v>21</v>
      </c>
      <c r="D104" s="29"/>
      <c r="E104" s="9">
        <v>143129.81</v>
      </c>
      <c r="F104" s="10"/>
      <c r="G104" s="10"/>
      <c r="H104" s="3"/>
      <c r="I104" s="3"/>
      <c r="J104" s="11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 t="s">
        <v>204</v>
      </c>
      <c r="B105" s="3" t="s">
        <v>205</v>
      </c>
      <c r="C105" s="12" t="s">
        <v>21</v>
      </c>
      <c r="D105" s="10"/>
      <c r="E105" s="13">
        <v>20000.0</v>
      </c>
      <c r="F105" s="10"/>
      <c r="G105" s="10"/>
      <c r="H105" s="3"/>
      <c r="I105" s="3"/>
      <c r="J105" s="11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6" t="s">
        <v>206</v>
      </c>
      <c r="B106" s="6" t="s">
        <v>207</v>
      </c>
      <c r="C106" s="7" t="s">
        <v>164</v>
      </c>
      <c r="D106" s="29"/>
      <c r="E106" s="9">
        <v>4487.71</v>
      </c>
      <c r="F106" s="10"/>
      <c r="G106" s="10"/>
      <c r="H106" s="11"/>
      <c r="I106" s="3"/>
      <c r="J106" s="11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6" t="s">
        <v>208</v>
      </c>
      <c r="B107" s="6" t="s">
        <v>209</v>
      </c>
      <c r="C107" s="7" t="s">
        <v>164</v>
      </c>
      <c r="D107" s="8">
        <v>480.0</v>
      </c>
      <c r="E107" s="9">
        <f t="shared" ref="E107:E109" si="4">D107/1.21</f>
        <v>396.6942149</v>
      </c>
      <c r="F107" s="10"/>
      <c r="G107" s="10"/>
      <c r="H107" s="11"/>
      <c r="I107" s="3"/>
      <c r="J107" s="11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6" t="s">
        <v>210</v>
      </c>
      <c r="B108" s="6" t="s">
        <v>211</v>
      </c>
      <c r="C108" s="7" t="s">
        <v>21</v>
      </c>
      <c r="D108" s="8">
        <v>32000.0</v>
      </c>
      <c r="E108" s="9">
        <f t="shared" si="4"/>
        <v>26446.28099</v>
      </c>
      <c r="F108" s="10"/>
      <c r="G108" s="10"/>
      <c r="H108" s="11"/>
      <c r="I108" s="3"/>
      <c r="J108" s="11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6" t="s">
        <v>212</v>
      </c>
      <c r="B109" s="6" t="s">
        <v>211</v>
      </c>
      <c r="C109" s="7" t="s">
        <v>21</v>
      </c>
      <c r="D109" s="8">
        <v>40000.0</v>
      </c>
      <c r="E109" s="9">
        <f t="shared" si="4"/>
        <v>33057.85124</v>
      </c>
      <c r="F109" s="10"/>
      <c r="G109" s="10"/>
      <c r="H109" s="10"/>
      <c r="I109" s="3"/>
      <c r="J109" s="11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 t="s">
        <v>213</v>
      </c>
      <c r="B110" s="3" t="s">
        <v>214</v>
      </c>
      <c r="C110" s="3"/>
      <c r="D110" s="10"/>
      <c r="E110" s="13">
        <v>150000.0</v>
      </c>
      <c r="F110" s="10"/>
      <c r="G110" s="10"/>
      <c r="H110" s="10"/>
      <c r="I110" s="3"/>
      <c r="J110" s="11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 t="s">
        <v>215</v>
      </c>
      <c r="B111" s="3" t="s">
        <v>216</v>
      </c>
      <c r="C111" s="3"/>
      <c r="D111" s="10"/>
      <c r="E111" s="13">
        <v>450000.0</v>
      </c>
      <c r="F111" s="10"/>
      <c r="G111" s="10"/>
      <c r="H111" s="10"/>
      <c r="I111" s="3"/>
      <c r="J111" s="11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 t="s">
        <v>217</v>
      </c>
      <c r="B112" s="3" t="s">
        <v>218</v>
      </c>
      <c r="C112" s="12" t="s">
        <v>21</v>
      </c>
      <c r="D112" s="10"/>
      <c r="E112" s="13">
        <v>6000.0</v>
      </c>
      <c r="F112" s="10"/>
      <c r="G112" s="10"/>
      <c r="H112" s="10"/>
      <c r="I112" s="3"/>
      <c r="J112" s="11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 t="s">
        <v>219</v>
      </c>
      <c r="B113" s="3" t="s">
        <v>220</v>
      </c>
      <c r="C113" s="12" t="s">
        <v>21</v>
      </c>
      <c r="D113" s="10"/>
      <c r="E113" s="13">
        <v>7500.0</v>
      </c>
      <c r="F113" s="10"/>
      <c r="G113" s="10"/>
      <c r="H113" s="10"/>
      <c r="I113" s="3"/>
      <c r="J113" s="11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 t="s">
        <v>221</v>
      </c>
      <c r="B114" s="3" t="s">
        <v>222</v>
      </c>
      <c r="C114" s="12" t="s">
        <v>21</v>
      </c>
      <c r="D114" s="10"/>
      <c r="E114" s="13">
        <v>13800.0</v>
      </c>
      <c r="F114" s="10"/>
      <c r="G114" s="10"/>
      <c r="H114" s="11"/>
      <c r="I114" s="3"/>
      <c r="J114" s="11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21" t="s">
        <v>223</v>
      </c>
      <c r="B115" s="21" t="s">
        <v>222</v>
      </c>
      <c r="C115" s="21"/>
      <c r="D115" s="10"/>
      <c r="E115" s="10"/>
      <c r="F115" s="10"/>
      <c r="G115" s="10"/>
      <c r="H115" s="11"/>
      <c r="I115" s="3"/>
      <c r="J115" s="11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6" t="s">
        <v>224</v>
      </c>
      <c r="B116" s="6" t="s">
        <v>225</v>
      </c>
      <c r="C116" s="7" t="s">
        <v>21</v>
      </c>
      <c r="D116" s="29"/>
      <c r="E116" s="9">
        <v>18676.0</v>
      </c>
      <c r="F116" s="10"/>
      <c r="G116" s="10"/>
      <c r="H116" s="11"/>
      <c r="I116" s="3"/>
      <c r="J116" s="11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6" t="s">
        <v>226</v>
      </c>
      <c r="B117" s="6" t="s">
        <v>227</v>
      </c>
      <c r="C117" s="7" t="s">
        <v>21</v>
      </c>
      <c r="D117" s="29"/>
      <c r="E117" s="9">
        <v>27745.0</v>
      </c>
      <c r="F117" s="10"/>
      <c r="G117" s="10"/>
      <c r="H117" s="11"/>
      <c r="I117" s="3"/>
      <c r="J117" s="11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6" t="s">
        <v>228</v>
      </c>
      <c r="B118" s="6" t="s">
        <v>229</v>
      </c>
      <c r="C118" s="7" t="s">
        <v>21</v>
      </c>
      <c r="D118" s="29"/>
      <c r="E118" s="9">
        <f>398*940</f>
        <v>374120</v>
      </c>
      <c r="F118" s="10"/>
      <c r="G118" s="10"/>
      <c r="H118" s="11"/>
      <c r="I118" s="3"/>
      <c r="J118" s="11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6" t="s">
        <v>230</v>
      </c>
      <c r="B119" s="6" t="s">
        <v>231</v>
      </c>
      <c r="C119" s="7" t="s">
        <v>21</v>
      </c>
      <c r="D119" s="34">
        <v>67640.0</v>
      </c>
      <c r="E119" s="9">
        <f t="shared" ref="E119:E126" si="5">D119/1.21</f>
        <v>55900.82645</v>
      </c>
      <c r="F119" s="10"/>
      <c r="G119" s="10"/>
      <c r="H119" s="11"/>
      <c r="I119" s="3"/>
      <c r="J119" s="11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6" t="s">
        <v>232</v>
      </c>
      <c r="B120" s="6" t="s">
        <v>233</v>
      </c>
      <c r="C120" s="7" t="s">
        <v>21</v>
      </c>
      <c r="D120" s="8">
        <v>17800.0</v>
      </c>
      <c r="E120" s="9">
        <f t="shared" si="5"/>
        <v>14710.7438</v>
      </c>
      <c r="F120" s="10"/>
      <c r="G120" s="10"/>
      <c r="H120" s="11"/>
      <c r="I120" s="3"/>
      <c r="J120" s="11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6" t="s">
        <v>234</v>
      </c>
      <c r="B121" s="6" t="s">
        <v>235</v>
      </c>
      <c r="C121" s="7" t="s">
        <v>21</v>
      </c>
      <c r="D121" s="8">
        <v>21000.0</v>
      </c>
      <c r="E121" s="9">
        <f t="shared" si="5"/>
        <v>17355.3719</v>
      </c>
      <c r="F121" s="10"/>
      <c r="G121" s="10"/>
      <c r="H121" s="11"/>
      <c r="I121" s="3"/>
      <c r="J121" s="11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6" t="s">
        <v>236</v>
      </c>
      <c r="B122" s="6" t="s">
        <v>237</v>
      </c>
      <c r="C122" s="6"/>
      <c r="D122" s="34">
        <v>25000.0</v>
      </c>
      <c r="E122" s="9">
        <f t="shared" si="5"/>
        <v>20661.15702</v>
      </c>
      <c r="F122" s="10"/>
      <c r="G122" s="10"/>
      <c r="H122" s="11"/>
      <c r="I122" s="3"/>
      <c r="J122" s="11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6" t="s">
        <v>238</v>
      </c>
      <c r="B123" s="6" t="s">
        <v>239</v>
      </c>
      <c r="C123" s="6"/>
      <c r="D123" s="8">
        <v>40000.0</v>
      </c>
      <c r="E123" s="9">
        <f t="shared" si="5"/>
        <v>33057.85124</v>
      </c>
      <c r="F123" s="10"/>
      <c r="G123" s="10"/>
      <c r="H123" s="11"/>
      <c r="I123" s="3"/>
      <c r="J123" s="11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6" t="s">
        <v>240</v>
      </c>
      <c r="B124" s="6" t="s">
        <v>241</v>
      </c>
      <c r="C124" s="6"/>
      <c r="D124" s="34">
        <v>150000.0</v>
      </c>
      <c r="E124" s="9">
        <f t="shared" si="5"/>
        <v>123966.9421</v>
      </c>
      <c r="F124" s="10"/>
      <c r="G124" s="10"/>
      <c r="H124" s="11"/>
      <c r="I124" s="3"/>
      <c r="J124" s="11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6" t="s">
        <v>242</v>
      </c>
      <c r="B125" s="6" t="s">
        <v>243</v>
      </c>
      <c r="C125" s="6"/>
      <c r="D125" s="8">
        <v>16000.0</v>
      </c>
      <c r="E125" s="9">
        <f t="shared" si="5"/>
        <v>13223.1405</v>
      </c>
      <c r="F125" s="10"/>
      <c r="G125" s="10"/>
      <c r="H125" s="11"/>
      <c r="I125" s="3"/>
      <c r="J125" s="11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6" t="s">
        <v>244</v>
      </c>
      <c r="B126" s="6" t="s">
        <v>245</v>
      </c>
      <c r="C126" s="7" t="s">
        <v>21</v>
      </c>
      <c r="D126" s="34">
        <v>39000.0</v>
      </c>
      <c r="E126" s="9">
        <f t="shared" si="5"/>
        <v>32231.40496</v>
      </c>
      <c r="F126" s="10"/>
      <c r="G126" s="10"/>
      <c r="H126" s="11"/>
      <c r="I126" s="3"/>
      <c r="J126" s="11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6" t="s">
        <v>246</v>
      </c>
      <c r="B127" s="6" t="s">
        <v>247</v>
      </c>
      <c r="C127" s="7" t="s">
        <v>21</v>
      </c>
      <c r="D127" s="29"/>
      <c r="E127" s="9">
        <v>65200.0</v>
      </c>
      <c r="F127" s="10"/>
      <c r="G127" s="10"/>
      <c r="H127" s="11"/>
      <c r="I127" s="3"/>
      <c r="J127" s="11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6" t="s">
        <v>248</v>
      </c>
      <c r="B128" s="6" t="s">
        <v>249</v>
      </c>
      <c r="C128" s="6"/>
      <c r="D128" s="29"/>
      <c r="E128" s="9">
        <v>135607.0</v>
      </c>
      <c r="F128" s="10"/>
      <c r="G128" s="10"/>
      <c r="H128" s="11"/>
      <c r="I128" s="3"/>
      <c r="J128" s="11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6" t="s">
        <v>250</v>
      </c>
      <c r="B129" s="6" t="s">
        <v>251</v>
      </c>
      <c r="C129" s="6"/>
      <c r="D129" s="29"/>
      <c r="E129" s="9">
        <v>195628.0</v>
      </c>
      <c r="F129" s="10"/>
      <c r="G129" s="10"/>
      <c r="H129" s="11"/>
      <c r="I129" s="3"/>
      <c r="J129" s="11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 t="s">
        <v>252</v>
      </c>
      <c r="B130" s="3" t="s">
        <v>253</v>
      </c>
      <c r="C130" s="35" t="s">
        <v>21</v>
      </c>
      <c r="D130" s="10"/>
      <c r="E130" s="13">
        <v>173000.0</v>
      </c>
      <c r="F130" s="10"/>
      <c r="G130" s="32">
        <v>45937.0</v>
      </c>
      <c r="H130" s="33" t="s">
        <v>254</v>
      </c>
      <c r="I130" s="3"/>
      <c r="J130" s="11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 t="s">
        <v>255</v>
      </c>
      <c r="B131" s="3" t="s">
        <v>256</v>
      </c>
      <c r="C131" s="35" t="s">
        <v>21</v>
      </c>
      <c r="D131" s="10"/>
      <c r="E131" s="13">
        <v>330000.0</v>
      </c>
      <c r="F131" s="10"/>
      <c r="G131" s="32">
        <v>45937.0</v>
      </c>
      <c r="H131" s="33" t="s">
        <v>257</v>
      </c>
      <c r="I131" s="3"/>
      <c r="J131" s="11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21"/>
      <c r="B132" s="21"/>
      <c r="C132" s="21"/>
      <c r="D132" s="10"/>
      <c r="E132" s="10"/>
      <c r="F132" s="10"/>
      <c r="G132" s="10"/>
      <c r="H132" s="11"/>
      <c r="I132" s="3"/>
      <c r="J132" s="11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6"/>
      <c r="E133" s="10"/>
      <c r="F133" s="10"/>
      <c r="G133" s="10"/>
      <c r="H133" s="11"/>
      <c r="I133" s="3"/>
      <c r="J133" s="11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4" t="s">
        <v>1</v>
      </c>
      <c r="B134" s="4" t="s">
        <v>258</v>
      </c>
      <c r="C134" s="2"/>
      <c r="D134" s="23" t="s">
        <v>4</v>
      </c>
      <c r="E134" s="23" t="s">
        <v>5</v>
      </c>
      <c r="F134" s="24"/>
      <c r="G134" s="24"/>
      <c r="H134" s="25"/>
      <c r="I134" s="2"/>
      <c r="J134" s="25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 t="s">
        <v>259</v>
      </c>
      <c r="B135" s="3" t="s">
        <v>260</v>
      </c>
      <c r="C135" s="12" t="s">
        <v>21</v>
      </c>
      <c r="D135" s="10"/>
      <c r="E135" s="13">
        <v>600000.0</v>
      </c>
      <c r="F135" s="10"/>
      <c r="G135" s="10"/>
      <c r="H135" s="11"/>
      <c r="I135" s="3"/>
      <c r="J135" s="11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5" t="s">
        <v>261</v>
      </c>
      <c r="B136" s="3" t="s">
        <v>262</v>
      </c>
      <c r="C136" s="12" t="s">
        <v>21</v>
      </c>
      <c r="D136" s="36"/>
      <c r="E136" s="37">
        <v>800000.0</v>
      </c>
      <c r="F136" s="10"/>
      <c r="G136" s="10"/>
      <c r="H136" s="11"/>
      <c r="I136" s="3"/>
      <c r="J136" s="11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5" t="s">
        <v>263</v>
      </c>
      <c r="B137" s="35" t="s">
        <v>264</v>
      </c>
      <c r="C137" s="35" t="s">
        <v>21</v>
      </c>
      <c r="D137" s="36"/>
      <c r="E137" s="37">
        <v>260000.0</v>
      </c>
      <c r="F137" s="10"/>
      <c r="G137" s="32">
        <v>45937.0</v>
      </c>
      <c r="H137" s="33" t="s">
        <v>265</v>
      </c>
      <c r="I137" s="3"/>
      <c r="J137" s="11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5" t="s">
        <v>266</v>
      </c>
      <c r="B138" s="35" t="s">
        <v>267</v>
      </c>
      <c r="C138" s="35" t="s">
        <v>21</v>
      </c>
      <c r="D138" s="36"/>
      <c r="E138" s="37">
        <v>11000.0</v>
      </c>
      <c r="F138" s="10"/>
      <c r="G138" s="32">
        <v>45937.0</v>
      </c>
      <c r="H138" s="33" t="s">
        <v>268</v>
      </c>
      <c r="I138" s="3"/>
      <c r="J138" s="11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6"/>
      <c r="E139" s="10"/>
      <c r="F139" s="10"/>
      <c r="G139" s="10"/>
      <c r="H139" s="11"/>
      <c r="I139" s="3"/>
      <c r="J139" s="11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6"/>
      <c r="E140" s="10"/>
      <c r="F140" s="10"/>
      <c r="G140" s="10"/>
      <c r="H140" s="11"/>
      <c r="I140" s="3"/>
      <c r="J140" s="11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4" t="s">
        <v>1</v>
      </c>
      <c r="B141" s="4" t="s">
        <v>269</v>
      </c>
      <c r="C141" s="2"/>
      <c r="D141" s="38" t="s">
        <v>4</v>
      </c>
      <c r="E141" s="23" t="s">
        <v>5</v>
      </c>
      <c r="F141" s="24"/>
      <c r="G141" s="24"/>
      <c r="H141" s="25"/>
      <c r="I141" s="2"/>
      <c r="J141" s="25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6" t="s">
        <v>270</v>
      </c>
      <c r="B142" s="6" t="s">
        <v>271</v>
      </c>
      <c r="C142" s="7" t="s">
        <v>272</v>
      </c>
      <c r="D142" s="8">
        <v>54637.0</v>
      </c>
      <c r="E142" s="9">
        <f t="shared" ref="E142:E145" si="6">D142/1.21</f>
        <v>45154.54545</v>
      </c>
      <c r="F142" s="10"/>
      <c r="G142" s="10"/>
      <c r="H142" s="11"/>
      <c r="I142" s="3"/>
      <c r="J142" s="11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6" t="s">
        <v>273</v>
      </c>
      <c r="B143" s="6" t="s">
        <v>274</v>
      </c>
      <c r="C143" s="7" t="s">
        <v>275</v>
      </c>
      <c r="D143" s="8">
        <v>312104.0</v>
      </c>
      <c r="E143" s="9">
        <f t="shared" si="6"/>
        <v>257937.1901</v>
      </c>
      <c r="F143" s="10"/>
      <c r="G143" s="10"/>
      <c r="H143" s="11"/>
      <c r="I143" s="3"/>
      <c r="J143" s="11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6" t="s">
        <v>276</v>
      </c>
      <c r="B144" s="6" t="s">
        <v>277</v>
      </c>
      <c r="C144" s="7" t="s">
        <v>21</v>
      </c>
      <c r="D144" s="8">
        <v>98500.0</v>
      </c>
      <c r="E144" s="9">
        <f t="shared" si="6"/>
        <v>81404.95868</v>
      </c>
      <c r="F144" s="10"/>
      <c r="G144" s="10"/>
      <c r="H144" s="11"/>
      <c r="I144" s="3"/>
      <c r="J144" s="11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6" t="s">
        <v>278</v>
      </c>
      <c r="B145" s="6" t="s">
        <v>279</v>
      </c>
      <c r="C145" s="7" t="s">
        <v>21</v>
      </c>
      <c r="D145" s="8">
        <v>147500.0</v>
      </c>
      <c r="E145" s="9">
        <f t="shared" si="6"/>
        <v>121900.8264</v>
      </c>
      <c r="F145" s="10"/>
      <c r="G145" s="10"/>
      <c r="H145" s="11"/>
      <c r="I145" s="3"/>
      <c r="J145" s="11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 t="s">
        <v>280</v>
      </c>
      <c r="B146" s="3" t="s">
        <v>281</v>
      </c>
      <c r="C146" s="12" t="s">
        <v>21</v>
      </c>
      <c r="D146" s="10"/>
      <c r="E146" s="13">
        <v>81655.0</v>
      </c>
      <c r="F146" s="10"/>
      <c r="G146" s="10"/>
      <c r="H146" s="11"/>
      <c r="I146" s="3"/>
      <c r="J146" s="11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 t="s">
        <v>282</v>
      </c>
      <c r="B147" s="3" t="s">
        <v>283</v>
      </c>
      <c r="C147" s="12" t="s">
        <v>21</v>
      </c>
      <c r="D147" s="10"/>
      <c r="E147" s="13">
        <v>38100.0</v>
      </c>
      <c r="F147" s="10"/>
      <c r="G147" s="10"/>
      <c r="H147" s="11"/>
      <c r="I147" s="3"/>
      <c r="J147" s="11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6" t="s">
        <v>284</v>
      </c>
      <c r="B148" s="6" t="s">
        <v>285</v>
      </c>
      <c r="C148" s="7" t="s">
        <v>21</v>
      </c>
      <c r="D148" s="29"/>
      <c r="E148" s="9">
        <v>18760.0</v>
      </c>
      <c r="F148" s="10"/>
      <c r="G148" s="10"/>
      <c r="H148" s="11"/>
      <c r="I148" s="3"/>
      <c r="J148" s="11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 t="s">
        <v>286</v>
      </c>
      <c r="B149" s="3" t="s">
        <v>287</v>
      </c>
      <c r="C149" s="12" t="s">
        <v>21</v>
      </c>
      <c r="D149" s="14">
        <f t="shared" ref="D149:D152" si="7">E149*1.21</f>
        <v>22990</v>
      </c>
      <c r="E149" s="13">
        <v>19000.0</v>
      </c>
      <c r="F149" s="10"/>
      <c r="G149" s="10"/>
      <c r="H149" s="11"/>
      <c r="I149" s="3"/>
      <c r="J149" s="11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 t="s">
        <v>288</v>
      </c>
      <c r="B150" s="3" t="s">
        <v>289</v>
      </c>
      <c r="C150" s="12" t="s">
        <v>21</v>
      </c>
      <c r="D150" s="14">
        <f t="shared" si="7"/>
        <v>39034.6</v>
      </c>
      <c r="E150" s="13">
        <v>32260.0</v>
      </c>
      <c r="F150" s="10"/>
      <c r="G150" s="10"/>
      <c r="H150" s="11"/>
      <c r="I150" s="3"/>
      <c r="J150" s="11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 t="s">
        <v>290</v>
      </c>
      <c r="B151" s="3" t="s">
        <v>291</v>
      </c>
      <c r="C151" s="12" t="s">
        <v>21</v>
      </c>
      <c r="D151" s="14">
        <f t="shared" si="7"/>
        <v>88693</v>
      </c>
      <c r="E151" s="13">
        <v>73300.0</v>
      </c>
      <c r="F151" s="10"/>
      <c r="G151" s="10"/>
      <c r="H151" s="11"/>
      <c r="I151" s="3"/>
      <c r="J151" s="11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 t="s">
        <v>292</v>
      </c>
      <c r="B152" s="3" t="s">
        <v>293</v>
      </c>
      <c r="C152" s="12" t="s">
        <v>21</v>
      </c>
      <c r="D152" s="14">
        <f t="shared" si="7"/>
        <v>81977.5</v>
      </c>
      <c r="E152" s="13">
        <v>67750.0</v>
      </c>
      <c r="F152" s="10"/>
      <c r="G152" s="10"/>
      <c r="H152" s="11"/>
      <c r="I152" s="3"/>
      <c r="J152" s="11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 t="s">
        <v>294</v>
      </c>
      <c r="B153" s="3" t="s">
        <v>295</v>
      </c>
      <c r="C153" s="12" t="s">
        <v>21</v>
      </c>
      <c r="D153" s="10"/>
      <c r="E153" s="13">
        <v>70715.0</v>
      </c>
      <c r="F153" s="10"/>
      <c r="G153" s="10" t="s">
        <v>296</v>
      </c>
      <c r="H153" s="11"/>
      <c r="I153" s="3"/>
      <c r="J153" s="11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 t="s">
        <v>297</v>
      </c>
      <c r="B154" s="3" t="s">
        <v>298</v>
      </c>
      <c r="C154" s="3"/>
      <c r="D154" s="10"/>
      <c r="E154" s="13">
        <v>60000.0</v>
      </c>
      <c r="F154" s="10"/>
      <c r="G154" s="10"/>
      <c r="H154" s="11"/>
      <c r="I154" s="3"/>
      <c r="J154" s="11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6"/>
      <c r="E155" s="10"/>
      <c r="F155" s="10"/>
      <c r="G155" s="10"/>
      <c r="H155" s="11"/>
      <c r="I155" s="3"/>
      <c r="J155" s="11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4" t="s">
        <v>1</v>
      </c>
      <c r="B156" s="4" t="s">
        <v>299</v>
      </c>
      <c r="C156" s="2"/>
      <c r="D156" s="38" t="s">
        <v>4</v>
      </c>
      <c r="E156" s="23" t="s">
        <v>5</v>
      </c>
      <c r="F156" s="24"/>
      <c r="G156" s="24"/>
      <c r="H156" s="25"/>
      <c r="I156" s="2"/>
      <c r="J156" s="25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 t="s">
        <v>300</v>
      </c>
      <c r="B157" s="3" t="s">
        <v>301</v>
      </c>
      <c r="C157" s="12" t="s">
        <v>21</v>
      </c>
      <c r="D157" s="10"/>
      <c r="E157" s="13">
        <v>55260.0</v>
      </c>
      <c r="F157" s="10"/>
      <c r="G157" s="10"/>
      <c r="H157" s="11"/>
      <c r="I157" s="18" t="s">
        <v>302</v>
      </c>
      <c r="J157" s="19">
        <v>45926.0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 t="s">
        <v>303</v>
      </c>
      <c r="B158" s="3" t="s">
        <v>304</v>
      </c>
      <c r="C158" s="12" t="s">
        <v>21</v>
      </c>
      <c r="D158" s="36"/>
      <c r="E158" s="13">
        <v>45454.0</v>
      </c>
      <c r="F158" s="10"/>
      <c r="G158" s="10"/>
      <c r="H158" s="11"/>
      <c r="I158" s="18" t="s">
        <v>302</v>
      </c>
      <c r="J158" s="19">
        <v>45926.0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 t="s">
        <v>305</v>
      </c>
      <c r="B159" s="3" t="s">
        <v>306</v>
      </c>
      <c r="C159" s="12" t="s">
        <v>21</v>
      </c>
      <c r="D159" s="36"/>
      <c r="E159" s="13">
        <v>37025.0</v>
      </c>
      <c r="F159" s="10"/>
      <c r="G159" s="10"/>
      <c r="H159" s="11"/>
      <c r="I159" s="18" t="s">
        <v>302</v>
      </c>
      <c r="J159" s="19">
        <v>45926.0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6" t="s">
        <v>307</v>
      </c>
      <c r="B160" s="6" t="s">
        <v>308</v>
      </c>
      <c r="C160" s="7" t="s">
        <v>21</v>
      </c>
      <c r="D160" s="39"/>
      <c r="E160" s="9">
        <v>32400.0</v>
      </c>
      <c r="F160" s="10"/>
      <c r="G160" s="10"/>
      <c r="H160" s="11"/>
      <c r="I160" s="3"/>
      <c r="J160" s="11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 t="s">
        <v>309</v>
      </c>
      <c r="B161" s="3" t="s">
        <v>310</v>
      </c>
      <c r="C161" s="12" t="s">
        <v>21</v>
      </c>
      <c r="D161" s="10"/>
      <c r="E161" s="13">
        <v>26320.0</v>
      </c>
      <c r="F161" s="10"/>
      <c r="G161" s="10"/>
      <c r="H161" s="11"/>
      <c r="I161" s="3"/>
      <c r="J161" s="11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 t="s">
        <v>311</v>
      </c>
      <c r="B162" s="3" t="s">
        <v>312</v>
      </c>
      <c r="C162" s="12" t="s">
        <v>21</v>
      </c>
      <c r="D162" s="10"/>
      <c r="E162" s="13">
        <v>2105.0</v>
      </c>
      <c r="F162" s="10"/>
      <c r="G162" s="10"/>
      <c r="H162" s="3"/>
      <c r="I162" s="3"/>
      <c r="J162" s="11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 t="s">
        <v>313</v>
      </c>
      <c r="B163" s="3" t="s">
        <v>314</v>
      </c>
      <c r="C163" s="12" t="s">
        <v>21</v>
      </c>
      <c r="D163" s="10"/>
      <c r="E163" s="13">
        <v>4731.0</v>
      </c>
      <c r="F163" s="10"/>
      <c r="G163" s="10"/>
      <c r="H163" s="3"/>
      <c r="I163" s="18" t="s">
        <v>302</v>
      </c>
      <c r="J163" s="19">
        <v>45926.0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 t="s">
        <v>315</v>
      </c>
      <c r="B164" s="3" t="s">
        <v>316</v>
      </c>
      <c r="C164" s="12" t="s">
        <v>21</v>
      </c>
      <c r="D164" s="10"/>
      <c r="E164" s="13">
        <v>9000.0</v>
      </c>
      <c r="F164" s="10"/>
      <c r="G164" s="10"/>
      <c r="H164" s="3"/>
      <c r="I164" s="3"/>
      <c r="J164" s="11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 t="s">
        <v>317</v>
      </c>
      <c r="B165" s="3" t="s">
        <v>318</v>
      </c>
      <c r="C165" s="12" t="s">
        <v>21</v>
      </c>
      <c r="D165" s="10"/>
      <c r="E165" s="13">
        <v>2900.0</v>
      </c>
      <c r="F165" s="10"/>
      <c r="G165" s="10"/>
      <c r="H165" s="3"/>
      <c r="I165" s="18" t="s">
        <v>302</v>
      </c>
      <c r="J165" s="19">
        <v>45926.0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6"/>
      <c r="E166" s="10"/>
      <c r="F166" s="10"/>
      <c r="G166" s="10"/>
      <c r="H166" s="11"/>
      <c r="I166" s="3"/>
      <c r="J166" s="11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4" t="s">
        <v>1</v>
      </c>
      <c r="B167" s="4" t="s">
        <v>319</v>
      </c>
      <c r="C167" s="2"/>
      <c r="D167" s="38" t="s">
        <v>4</v>
      </c>
      <c r="E167" s="23" t="s">
        <v>5</v>
      </c>
      <c r="F167" s="40"/>
      <c r="G167" s="24"/>
      <c r="H167" s="25"/>
      <c r="I167" s="2"/>
      <c r="J167" s="25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 t="s">
        <v>320</v>
      </c>
      <c r="B168" s="3" t="s">
        <v>321</v>
      </c>
      <c r="C168" s="12" t="s">
        <v>21</v>
      </c>
      <c r="D168" s="36" t="s">
        <v>322</v>
      </c>
      <c r="E168" s="13" t="s">
        <v>323</v>
      </c>
      <c r="F168" s="10"/>
      <c r="G168" s="41" t="s">
        <v>324</v>
      </c>
      <c r="H168" s="19">
        <v>45397.0</v>
      </c>
      <c r="I168" s="3"/>
      <c r="J168" s="11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6" t="s">
        <v>325</v>
      </c>
      <c r="B169" s="6" t="s">
        <v>326</v>
      </c>
      <c r="C169" s="7" t="s">
        <v>21</v>
      </c>
      <c r="D169" s="39"/>
      <c r="E169" s="9">
        <v>1.0</v>
      </c>
      <c r="F169" s="10"/>
      <c r="G169" s="41" t="s">
        <v>324</v>
      </c>
      <c r="H169" s="19">
        <v>45397.0</v>
      </c>
      <c r="I169" s="3"/>
      <c r="J169" s="11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 t="s">
        <v>327</v>
      </c>
      <c r="B170" s="3" t="s">
        <v>328</v>
      </c>
      <c r="C170" s="12" t="s">
        <v>21</v>
      </c>
      <c r="D170" s="36" t="s">
        <v>329</v>
      </c>
      <c r="E170" s="13" t="s">
        <v>330</v>
      </c>
      <c r="F170" s="10"/>
      <c r="G170" s="41" t="s">
        <v>324</v>
      </c>
      <c r="H170" s="19">
        <v>45397.0</v>
      </c>
      <c r="I170" s="3"/>
      <c r="J170" s="11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6" t="s">
        <v>331</v>
      </c>
      <c r="B171" s="6" t="s">
        <v>332</v>
      </c>
      <c r="C171" s="7" t="s">
        <v>21</v>
      </c>
      <c r="D171" s="39"/>
      <c r="E171" s="9">
        <v>1.0</v>
      </c>
      <c r="F171" s="10"/>
      <c r="G171" s="41" t="s">
        <v>324</v>
      </c>
      <c r="H171" s="19">
        <v>45397.0</v>
      </c>
      <c r="I171" s="3"/>
      <c r="J171" s="11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 t="s">
        <v>333</v>
      </c>
      <c r="B172" s="3" t="s">
        <v>334</v>
      </c>
      <c r="C172" s="12" t="s">
        <v>21</v>
      </c>
      <c r="D172" s="36" t="s">
        <v>335</v>
      </c>
      <c r="E172" s="13" t="s">
        <v>336</v>
      </c>
      <c r="F172" s="10"/>
      <c r="G172" s="41" t="s">
        <v>324</v>
      </c>
      <c r="H172" s="19">
        <v>45397.0</v>
      </c>
      <c r="I172" s="3"/>
      <c r="J172" s="11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6" t="s">
        <v>337</v>
      </c>
      <c r="B173" s="6" t="s">
        <v>338</v>
      </c>
      <c r="C173" s="7" t="s">
        <v>21</v>
      </c>
      <c r="D173" s="39"/>
      <c r="E173" s="9">
        <v>1.0</v>
      </c>
      <c r="F173" s="10"/>
      <c r="G173" s="41" t="s">
        <v>324</v>
      </c>
      <c r="H173" s="19">
        <v>45397.0</v>
      </c>
      <c r="I173" s="3"/>
      <c r="J173" s="11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6" t="s">
        <v>339</v>
      </c>
      <c r="B174" s="6" t="s">
        <v>340</v>
      </c>
      <c r="C174" s="7" t="s">
        <v>21</v>
      </c>
      <c r="D174" s="39"/>
      <c r="E174" s="9">
        <v>1.0</v>
      </c>
      <c r="F174" s="10"/>
      <c r="G174" s="10"/>
      <c r="H174" s="11"/>
      <c r="I174" s="3"/>
      <c r="J174" s="11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 t="s">
        <v>341</v>
      </c>
      <c r="B175" s="3" t="s">
        <v>342</v>
      </c>
      <c r="C175" s="12" t="s">
        <v>21</v>
      </c>
      <c r="D175" s="36"/>
      <c r="E175" s="13" t="s">
        <v>343</v>
      </c>
      <c r="F175" s="10"/>
      <c r="G175" s="41" t="s">
        <v>324</v>
      </c>
      <c r="H175" s="19">
        <v>45397.0</v>
      </c>
      <c r="I175" s="3"/>
      <c r="J175" s="11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 t="s">
        <v>344</v>
      </c>
      <c r="B176" s="3" t="s">
        <v>345</v>
      </c>
      <c r="C176" s="12" t="s">
        <v>21</v>
      </c>
      <c r="D176" s="36"/>
      <c r="E176" s="13" t="s">
        <v>346</v>
      </c>
      <c r="F176" s="10"/>
      <c r="G176" s="41" t="s">
        <v>324</v>
      </c>
      <c r="H176" s="19">
        <v>45397.0</v>
      </c>
      <c r="I176" s="3"/>
      <c r="J176" s="11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 t="s">
        <v>347</v>
      </c>
      <c r="B177" s="3" t="s">
        <v>348</v>
      </c>
      <c r="C177" s="12" t="s">
        <v>21</v>
      </c>
      <c r="D177" s="36"/>
      <c r="E177" s="13" t="s">
        <v>349</v>
      </c>
      <c r="F177" s="10"/>
      <c r="G177" s="41" t="s">
        <v>324</v>
      </c>
      <c r="H177" s="19">
        <v>45397.0</v>
      </c>
      <c r="I177" s="3"/>
      <c r="J177" s="11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 t="s">
        <v>350</v>
      </c>
      <c r="B178" s="3" t="s">
        <v>351</v>
      </c>
      <c r="C178" s="12" t="s">
        <v>21</v>
      </c>
      <c r="D178" s="36"/>
      <c r="E178" s="13" t="s">
        <v>352</v>
      </c>
      <c r="F178" s="10"/>
      <c r="G178" s="41" t="s">
        <v>324</v>
      </c>
      <c r="H178" s="19">
        <v>45397.0</v>
      </c>
      <c r="I178" s="3"/>
      <c r="J178" s="11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 t="s">
        <v>353</v>
      </c>
      <c r="B179" s="3" t="s">
        <v>354</v>
      </c>
      <c r="C179" s="12" t="s">
        <v>21</v>
      </c>
      <c r="D179" s="36"/>
      <c r="E179" s="13" t="s">
        <v>355</v>
      </c>
      <c r="F179" s="10"/>
      <c r="G179" s="41" t="s">
        <v>324</v>
      </c>
      <c r="H179" s="19">
        <v>45397.0</v>
      </c>
      <c r="I179" s="3"/>
      <c r="J179" s="11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 t="s">
        <v>356</v>
      </c>
      <c r="B180" s="3" t="s">
        <v>357</v>
      </c>
      <c r="C180" s="12" t="s">
        <v>21</v>
      </c>
      <c r="D180" s="36"/>
      <c r="E180" s="13" t="s">
        <v>358</v>
      </c>
      <c r="F180" s="10"/>
      <c r="G180" s="41" t="s">
        <v>324</v>
      </c>
      <c r="H180" s="19">
        <v>45397.0</v>
      </c>
      <c r="I180" s="3"/>
      <c r="J180" s="11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6" t="s">
        <v>359</v>
      </c>
      <c r="B181" s="6" t="s">
        <v>360</v>
      </c>
      <c r="C181" s="7" t="s">
        <v>21</v>
      </c>
      <c r="D181" s="39"/>
      <c r="E181" s="9">
        <v>3553.72</v>
      </c>
      <c r="F181" s="10"/>
      <c r="G181" s="41" t="s">
        <v>324</v>
      </c>
      <c r="H181" s="19">
        <v>45397.0</v>
      </c>
      <c r="I181" s="3"/>
      <c r="J181" s="11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6" t="s">
        <v>361</v>
      </c>
      <c r="B182" s="6" t="s">
        <v>362</v>
      </c>
      <c r="C182" s="7" t="s">
        <v>21</v>
      </c>
      <c r="D182" s="39"/>
      <c r="E182" s="9">
        <v>7933.88</v>
      </c>
      <c r="F182" s="10"/>
      <c r="G182" s="41" t="s">
        <v>324</v>
      </c>
      <c r="H182" s="19">
        <v>45400.0</v>
      </c>
      <c r="I182" s="3"/>
      <c r="J182" s="11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6" t="s">
        <v>363</v>
      </c>
      <c r="B183" s="6" t="s">
        <v>364</v>
      </c>
      <c r="C183" s="7" t="s">
        <v>21</v>
      </c>
      <c r="D183" s="39"/>
      <c r="E183" s="29"/>
      <c r="F183" s="10"/>
      <c r="G183" s="10"/>
      <c r="H183" s="11"/>
      <c r="I183" s="3"/>
      <c r="J183" s="11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6" t="s">
        <v>365</v>
      </c>
      <c r="B184" s="6" t="s">
        <v>366</v>
      </c>
      <c r="C184" s="7" t="s">
        <v>21</v>
      </c>
      <c r="D184" s="39"/>
      <c r="E184" s="29"/>
      <c r="F184" s="10"/>
      <c r="G184" s="10"/>
      <c r="H184" s="11"/>
      <c r="I184" s="3"/>
      <c r="J184" s="11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6" t="s">
        <v>367</v>
      </c>
      <c r="B185" s="6" t="s">
        <v>368</v>
      </c>
      <c r="C185" s="7" t="s">
        <v>21</v>
      </c>
      <c r="D185" s="39"/>
      <c r="E185" s="29"/>
      <c r="F185" s="10"/>
      <c r="G185" s="10"/>
      <c r="H185" s="11"/>
      <c r="I185" s="3"/>
      <c r="J185" s="11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6" t="s">
        <v>369</v>
      </c>
      <c r="B186" s="6" t="s">
        <v>370</v>
      </c>
      <c r="C186" s="7" t="s">
        <v>21</v>
      </c>
      <c r="D186" s="39"/>
      <c r="E186" s="29"/>
      <c r="F186" s="10"/>
      <c r="G186" s="10"/>
      <c r="H186" s="11"/>
      <c r="I186" s="3"/>
      <c r="J186" s="11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6" t="s">
        <v>371</v>
      </c>
      <c r="B187" s="6" t="s">
        <v>372</v>
      </c>
      <c r="C187" s="7" t="s">
        <v>164</v>
      </c>
      <c r="D187" s="39"/>
      <c r="E187" s="29"/>
      <c r="F187" s="10"/>
      <c r="G187" s="10"/>
      <c r="H187" s="11"/>
      <c r="I187" s="3"/>
      <c r="J187" s="11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6" t="s">
        <v>356</v>
      </c>
      <c r="B188" s="6" t="s">
        <v>373</v>
      </c>
      <c r="C188" s="7" t="s">
        <v>21</v>
      </c>
      <c r="D188" s="39"/>
      <c r="E188" s="29"/>
      <c r="F188" s="10"/>
      <c r="G188" s="10"/>
      <c r="H188" s="11"/>
      <c r="I188" s="3"/>
      <c r="J188" s="11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6" t="s">
        <v>374</v>
      </c>
      <c r="B189" s="6" t="s">
        <v>375</v>
      </c>
      <c r="C189" s="7" t="s">
        <v>21</v>
      </c>
      <c r="D189" s="39"/>
      <c r="E189" s="29"/>
      <c r="F189" s="10"/>
      <c r="G189" s="10"/>
      <c r="H189" s="11"/>
      <c r="I189" s="3"/>
      <c r="J189" s="11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6" t="s">
        <v>376</v>
      </c>
      <c r="B190" s="6" t="s">
        <v>377</v>
      </c>
      <c r="C190" s="7" t="s">
        <v>48</v>
      </c>
      <c r="D190" s="39"/>
      <c r="E190" s="29"/>
      <c r="F190" s="10"/>
      <c r="G190" s="10"/>
      <c r="H190" s="11"/>
      <c r="I190" s="3"/>
      <c r="J190" s="11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6"/>
      <c r="E191" s="10"/>
      <c r="F191" s="42"/>
      <c r="G191" s="10"/>
      <c r="H191" s="3"/>
      <c r="I191" s="3"/>
      <c r="J191" s="11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6"/>
      <c r="E192" s="10"/>
      <c r="F192" s="42"/>
      <c r="G192" s="10"/>
      <c r="H192" s="3"/>
      <c r="I192" s="3"/>
      <c r="J192" s="11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4" t="s">
        <v>1</v>
      </c>
      <c r="B193" s="4" t="s">
        <v>378</v>
      </c>
      <c r="C193" s="2"/>
      <c r="D193" s="38" t="s">
        <v>4</v>
      </c>
      <c r="E193" s="23" t="s">
        <v>5</v>
      </c>
      <c r="F193" s="40"/>
      <c r="G193" s="24"/>
      <c r="H193" s="2"/>
      <c r="I193" s="2"/>
      <c r="J193" s="25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 t="s">
        <v>379</v>
      </c>
      <c r="B194" s="3" t="s">
        <v>380</v>
      </c>
      <c r="C194" s="12" t="s">
        <v>21</v>
      </c>
      <c r="D194" s="10"/>
      <c r="E194" s="10"/>
      <c r="F194" s="42"/>
      <c r="G194" s="10"/>
      <c r="H194" s="3"/>
      <c r="I194" s="3"/>
      <c r="J194" s="11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 t="s">
        <v>381</v>
      </c>
      <c r="B195" s="3" t="s">
        <v>382</v>
      </c>
      <c r="C195" s="12" t="s">
        <v>21</v>
      </c>
      <c r="D195" s="14">
        <v>69219.5</v>
      </c>
      <c r="E195" s="13">
        <f t="shared" ref="E195:E201" si="8">D195/1.21</f>
        <v>57206.19835</v>
      </c>
      <c r="F195" s="42"/>
      <c r="G195" s="10"/>
      <c r="H195" s="3"/>
      <c r="I195" s="3"/>
      <c r="J195" s="11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 t="s">
        <v>383</v>
      </c>
      <c r="B196" s="3" t="s">
        <v>384</v>
      </c>
      <c r="C196" s="12" t="s">
        <v>21</v>
      </c>
      <c r="D196" s="14">
        <v>77872.0</v>
      </c>
      <c r="E196" s="13">
        <f t="shared" si="8"/>
        <v>64357.02479</v>
      </c>
      <c r="F196" s="42"/>
      <c r="G196" s="10"/>
      <c r="H196" s="3"/>
      <c r="I196" s="3"/>
      <c r="J196" s="11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 t="s">
        <v>385</v>
      </c>
      <c r="B197" s="3" t="s">
        <v>386</v>
      </c>
      <c r="C197" s="12" t="s">
        <v>21</v>
      </c>
      <c r="D197" s="14">
        <v>16622.0</v>
      </c>
      <c r="E197" s="13">
        <f t="shared" si="8"/>
        <v>13737.19008</v>
      </c>
      <c r="F197" s="42"/>
      <c r="G197" s="10"/>
      <c r="H197" s="3"/>
      <c r="I197" s="3"/>
      <c r="J197" s="11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 t="s">
        <v>387</v>
      </c>
      <c r="B198" s="3" t="s">
        <v>388</v>
      </c>
      <c r="C198" s="12" t="s">
        <v>21</v>
      </c>
      <c r="D198" s="14">
        <v>20315.5</v>
      </c>
      <c r="E198" s="13">
        <f t="shared" si="8"/>
        <v>16789.66942</v>
      </c>
      <c r="F198" s="42"/>
      <c r="G198" s="10"/>
      <c r="H198" s="3"/>
      <c r="I198" s="3"/>
      <c r="J198" s="11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 t="s">
        <v>389</v>
      </c>
      <c r="B199" s="3" t="s">
        <v>390</v>
      </c>
      <c r="C199" s="12" t="s">
        <v>21</v>
      </c>
      <c r="D199" s="14">
        <v>46553.0</v>
      </c>
      <c r="E199" s="13">
        <f t="shared" si="8"/>
        <v>38473.55372</v>
      </c>
      <c r="F199" s="42"/>
      <c r="G199" s="10"/>
      <c r="H199" s="3"/>
      <c r="I199" s="3"/>
      <c r="J199" s="11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 t="s">
        <v>391</v>
      </c>
      <c r="B200" s="3" t="s">
        <v>392</v>
      </c>
      <c r="C200" s="12" t="s">
        <v>21</v>
      </c>
      <c r="D200" s="14">
        <v>10235.5</v>
      </c>
      <c r="E200" s="13">
        <f t="shared" si="8"/>
        <v>8459.090909</v>
      </c>
      <c r="F200" s="42"/>
      <c r="G200" s="10"/>
      <c r="H200" s="3"/>
      <c r="I200" s="3"/>
      <c r="J200" s="11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 t="s">
        <v>393</v>
      </c>
      <c r="B201" s="3" t="s">
        <v>394</v>
      </c>
      <c r="C201" s="12" t="s">
        <v>21</v>
      </c>
      <c r="D201" s="14">
        <v>48647.0</v>
      </c>
      <c r="E201" s="13">
        <f t="shared" si="8"/>
        <v>40204.13223</v>
      </c>
      <c r="F201" s="42"/>
      <c r="G201" s="10"/>
      <c r="H201" s="3"/>
      <c r="I201" s="3"/>
      <c r="J201" s="11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10"/>
      <c r="E202" s="10"/>
      <c r="F202" s="42"/>
      <c r="G202" s="10"/>
      <c r="H202" s="3"/>
      <c r="I202" s="3"/>
      <c r="J202" s="11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10"/>
      <c r="E203" s="10"/>
      <c r="F203" s="42"/>
      <c r="G203" s="10"/>
      <c r="H203" s="3"/>
      <c r="I203" s="3"/>
      <c r="J203" s="11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10"/>
      <c r="E204" s="10"/>
      <c r="F204" s="42"/>
      <c r="G204" s="10"/>
      <c r="H204" s="3"/>
      <c r="I204" s="3"/>
      <c r="J204" s="11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4" t="s">
        <v>1</v>
      </c>
      <c r="B205" s="4" t="s">
        <v>395</v>
      </c>
      <c r="C205" s="2"/>
      <c r="D205" s="24"/>
      <c r="E205" s="23" t="s">
        <v>4</v>
      </c>
      <c r="F205" s="40"/>
      <c r="G205" s="43" t="s">
        <v>396</v>
      </c>
      <c r="H205" s="2"/>
      <c r="I205" s="2"/>
      <c r="J205" s="25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 t="s">
        <v>397</v>
      </c>
      <c r="B206" s="3" t="s">
        <v>398</v>
      </c>
      <c r="C206" s="12" t="s">
        <v>21</v>
      </c>
      <c r="D206" s="36"/>
      <c r="E206" s="13">
        <v>150000.0</v>
      </c>
      <c r="F206" s="42"/>
      <c r="G206" s="44" t="s">
        <v>399</v>
      </c>
      <c r="H206" s="3"/>
      <c r="I206" s="3"/>
      <c r="J206" s="11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6" t="s">
        <v>400</v>
      </c>
      <c r="B207" s="6" t="s">
        <v>401</v>
      </c>
      <c r="C207" s="6"/>
      <c r="D207" s="39"/>
      <c r="E207" s="9">
        <f>D207/1.21</f>
        <v>0</v>
      </c>
      <c r="F207" s="42"/>
      <c r="G207" s="10"/>
      <c r="H207" s="3"/>
      <c r="I207" s="3"/>
      <c r="J207" s="11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6" t="s">
        <v>402</v>
      </c>
      <c r="B208" s="6" t="s">
        <v>403</v>
      </c>
      <c r="C208" s="7" t="s">
        <v>21</v>
      </c>
      <c r="D208" s="39"/>
      <c r="E208" s="9">
        <v>22636.36</v>
      </c>
      <c r="F208" s="42"/>
      <c r="G208" s="10"/>
      <c r="H208" s="3"/>
      <c r="I208" s="3"/>
      <c r="J208" s="11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 t="s">
        <v>404</v>
      </c>
      <c r="B209" s="3" t="s">
        <v>405</v>
      </c>
      <c r="C209" s="12" t="s">
        <v>21</v>
      </c>
      <c r="D209" s="36"/>
      <c r="E209" s="45">
        <v>30000.0</v>
      </c>
      <c r="F209" s="42"/>
      <c r="G209" s="44" t="s">
        <v>406</v>
      </c>
      <c r="H209" s="3"/>
      <c r="I209" s="3"/>
      <c r="J209" s="11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 t="s">
        <v>407</v>
      </c>
      <c r="B210" s="3" t="s">
        <v>408</v>
      </c>
      <c r="C210" s="12" t="s">
        <v>21</v>
      </c>
      <c r="D210" s="36"/>
      <c r="E210" s="45">
        <v>150000.0</v>
      </c>
      <c r="F210" s="42"/>
      <c r="G210" s="44" t="s">
        <v>399</v>
      </c>
      <c r="H210" s="3"/>
      <c r="I210" s="3"/>
      <c r="J210" s="11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6" t="s">
        <v>409</v>
      </c>
      <c r="B211" s="6" t="s">
        <v>410</v>
      </c>
      <c r="C211" s="7" t="s">
        <v>21</v>
      </c>
      <c r="D211" s="29"/>
      <c r="E211" s="9">
        <v>5900.0</v>
      </c>
      <c r="F211" s="42"/>
      <c r="G211" s="10"/>
      <c r="H211" s="3"/>
      <c r="I211" s="3"/>
      <c r="J211" s="11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6" t="s">
        <v>411</v>
      </c>
      <c r="B212" s="6" t="s">
        <v>412</v>
      </c>
      <c r="C212" s="7" t="s">
        <v>21</v>
      </c>
      <c r="D212" s="29"/>
      <c r="E212" s="9">
        <v>3600.0</v>
      </c>
      <c r="F212" s="42"/>
      <c r="G212" s="10"/>
      <c r="H212" s="3"/>
      <c r="I212" s="3"/>
      <c r="J212" s="11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6" t="s">
        <v>413</v>
      </c>
      <c r="B213" s="6" t="s">
        <v>414</v>
      </c>
      <c r="C213" s="7" t="s">
        <v>21</v>
      </c>
      <c r="D213" s="29"/>
      <c r="E213" s="9">
        <v>9000.0</v>
      </c>
      <c r="F213" s="42"/>
      <c r="G213" s="10"/>
      <c r="H213" s="3"/>
      <c r="I213" s="3"/>
      <c r="J213" s="11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 t="s">
        <v>415</v>
      </c>
      <c r="B214" s="3" t="s">
        <v>416</v>
      </c>
      <c r="C214" s="12" t="s">
        <v>21</v>
      </c>
      <c r="D214" s="10"/>
      <c r="E214" s="13">
        <v>700.0</v>
      </c>
      <c r="F214" s="42"/>
      <c r="G214" s="10"/>
      <c r="H214" s="3"/>
      <c r="I214" s="3"/>
      <c r="J214" s="11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 t="s">
        <v>417</v>
      </c>
      <c r="B215" s="3" t="s">
        <v>418</v>
      </c>
      <c r="C215" s="12" t="s">
        <v>21</v>
      </c>
      <c r="D215" s="10"/>
      <c r="E215" s="13">
        <v>700.0</v>
      </c>
      <c r="F215" s="42"/>
      <c r="G215" s="10"/>
      <c r="H215" s="3"/>
      <c r="I215" s="3"/>
      <c r="J215" s="11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 t="s">
        <v>419</v>
      </c>
      <c r="B216" s="3" t="s">
        <v>420</v>
      </c>
      <c r="C216" s="12" t="s">
        <v>21</v>
      </c>
      <c r="D216" s="10"/>
      <c r="E216" s="13">
        <v>6000.0</v>
      </c>
      <c r="F216" s="42"/>
      <c r="G216" s="10"/>
      <c r="H216" s="3"/>
      <c r="I216" s="3"/>
      <c r="J216" s="11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 t="s">
        <v>421</v>
      </c>
      <c r="B217" s="3" t="s">
        <v>422</v>
      </c>
      <c r="C217" s="12" t="s">
        <v>21</v>
      </c>
      <c r="D217" s="10"/>
      <c r="E217" s="13">
        <v>10000.0</v>
      </c>
      <c r="F217" s="42"/>
      <c r="G217" s="10"/>
      <c r="H217" s="3"/>
      <c r="I217" s="3"/>
      <c r="J217" s="11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 t="s">
        <v>423</v>
      </c>
      <c r="B218" s="3" t="s">
        <v>424</v>
      </c>
      <c r="C218" s="12" t="s">
        <v>21</v>
      </c>
      <c r="D218" s="10"/>
      <c r="E218" s="13">
        <v>40000.0</v>
      </c>
      <c r="F218" s="42"/>
      <c r="G218" s="44" t="s">
        <v>425</v>
      </c>
      <c r="H218" s="3"/>
      <c r="I218" s="3"/>
      <c r="J218" s="11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6" t="s">
        <v>426</v>
      </c>
      <c r="B219" s="6" t="s">
        <v>427</v>
      </c>
      <c r="C219" s="7" t="s">
        <v>21</v>
      </c>
      <c r="D219" s="29"/>
      <c r="E219" s="9">
        <v>10200.0</v>
      </c>
      <c r="F219" s="42"/>
      <c r="G219" s="10"/>
      <c r="H219" s="3"/>
      <c r="I219" s="3"/>
      <c r="J219" s="11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6" t="s">
        <v>428</v>
      </c>
      <c r="B220" s="6" t="s">
        <v>429</v>
      </c>
      <c r="C220" s="7" t="s">
        <v>21</v>
      </c>
      <c r="D220" s="29"/>
      <c r="E220" s="9">
        <v>13800.0</v>
      </c>
      <c r="F220" s="42"/>
      <c r="G220" s="10"/>
      <c r="H220" s="3"/>
      <c r="I220" s="3"/>
      <c r="J220" s="11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 t="s">
        <v>430</v>
      </c>
      <c r="B221" s="3" t="s">
        <v>431</v>
      </c>
      <c r="C221" s="12" t="s">
        <v>21</v>
      </c>
      <c r="D221" s="10"/>
      <c r="E221" s="13">
        <v>120000.0</v>
      </c>
      <c r="F221" s="42"/>
      <c r="G221" s="44" t="s">
        <v>432</v>
      </c>
      <c r="H221" s="3"/>
      <c r="I221" s="3"/>
      <c r="J221" s="11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 t="s">
        <v>433</v>
      </c>
      <c r="B222" s="3" t="s">
        <v>434</v>
      </c>
      <c r="C222" s="12" t="s">
        <v>77</v>
      </c>
      <c r="D222" s="10"/>
      <c r="E222" s="13">
        <v>120000.0</v>
      </c>
      <c r="F222" s="42"/>
      <c r="G222" s="44" t="s">
        <v>435</v>
      </c>
      <c r="H222" s="3"/>
      <c r="I222" s="3"/>
      <c r="J222" s="11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6"/>
      <c r="B223" s="6" t="s">
        <v>436</v>
      </c>
      <c r="C223" s="7" t="s">
        <v>21</v>
      </c>
      <c r="D223" s="29"/>
      <c r="E223" s="9">
        <v>105181.82</v>
      </c>
      <c r="F223" s="42"/>
      <c r="G223" s="10"/>
      <c r="H223" s="3"/>
      <c r="I223" s="3"/>
      <c r="J223" s="11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6" t="s">
        <v>437</v>
      </c>
      <c r="B224" s="6" t="s">
        <v>438</v>
      </c>
      <c r="C224" s="7" t="s">
        <v>21</v>
      </c>
      <c r="D224" s="29"/>
      <c r="E224" s="9">
        <v>29818.18</v>
      </c>
      <c r="F224" s="42"/>
      <c r="G224" s="10"/>
      <c r="H224" s="3"/>
      <c r="I224" s="3"/>
      <c r="J224" s="11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21" t="s">
        <v>439</v>
      </c>
      <c r="B225" s="21" t="s">
        <v>440</v>
      </c>
      <c r="C225" s="21"/>
      <c r="D225" s="10"/>
      <c r="E225" s="13">
        <v>42000.0</v>
      </c>
      <c r="F225" s="42"/>
      <c r="G225" s="10"/>
      <c r="H225" s="3"/>
      <c r="I225" s="3"/>
      <c r="J225" s="11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21" t="s">
        <v>441</v>
      </c>
      <c r="B226" s="21" t="s">
        <v>442</v>
      </c>
      <c r="C226" s="21"/>
      <c r="D226" s="10"/>
      <c r="E226" s="13">
        <v>40.0</v>
      </c>
      <c r="F226" s="42"/>
      <c r="G226" s="10"/>
      <c r="H226" s="3"/>
      <c r="I226" s="3"/>
      <c r="J226" s="11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21" t="s">
        <v>443</v>
      </c>
      <c r="B227" s="21" t="s">
        <v>444</v>
      </c>
      <c r="C227" s="21"/>
      <c r="D227" s="10"/>
      <c r="E227" s="13">
        <v>8400.0</v>
      </c>
      <c r="F227" s="42"/>
      <c r="G227" s="10"/>
      <c r="H227" s="3"/>
      <c r="I227" s="3"/>
      <c r="J227" s="11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21" t="s">
        <v>445</v>
      </c>
      <c r="B228" s="21" t="s">
        <v>446</v>
      </c>
      <c r="C228" s="21"/>
      <c r="D228" s="10"/>
      <c r="E228" s="13">
        <f>40+20</f>
        <v>60</v>
      </c>
      <c r="F228" s="42"/>
      <c r="G228" s="10"/>
      <c r="H228" s="3"/>
      <c r="I228" s="3"/>
      <c r="J228" s="11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10"/>
      <c r="E229" s="10"/>
      <c r="F229" s="42"/>
      <c r="G229" s="10"/>
      <c r="H229" s="3"/>
      <c r="I229" s="3"/>
      <c r="J229" s="11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4" t="s">
        <v>1</v>
      </c>
      <c r="B230" s="4" t="s">
        <v>447</v>
      </c>
      <c r="C230" s="2"/>
      <c r="D230" s="23" t="s">
        <v>4</v>
      </c>
      <c r="E230" s="38" t="s">
        <v>5</v>
      </c>
      <c r="F230" s="40"/>
      <c r="G230" s="24"/>
      <c r="H230" s="2"/>
      <c r="I230" s="2"/>
      <c r="J230" s="25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 t="s">
        <v>448</v>
      </c>
      <c r="B231" s="3" t="s">
        <v>449</v>
      </c>
      <c r="C231" s="12" t="s">
        <v>48</v>
      </c>
      <c r="D231" s="10"/>
      <c r="E231" s="13">
        <v>45000.0</v>
      </c>
      <c r="F231" s="42"/>
      <c r="G231" s="10"/>
      <c r="H231" s="3"/>
      <c r="I231" s="3"/>
      <c r="J231" s="11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 t="s">
        <v>450</v>
      </c>
      <c r="B232" s="3" t="s">
        <v>451</v>
      </c>
      <c r="C232" s="12" t="s">
        <v>48</v>
      </c>
      <c r="D232" s="10"/>
      <c r="E232" s="13">
        <v>21000.0</v>
      </c>
      <c r="F232" s="42"/>
      <c r="G232" s="10"/>
      <c r="H232" s="3"/>
      <c r="I232" s="3"/>
      <c r="J232" s="11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 t="s">
        <v>452</v>
      </c>
      <c r="B233" s="3" t="s">
        <v>453</v>
      </c>
      <c r="C233" s="12" t="s">
        <v>21</v>
      </c>
      <c r="D233" s="10"/>
      <c r="E233" s="13">
        <v>3000.0</v>
      </c>
      <c r="F233" s="42"/>
      <c r="G233" s="10"/>
      <c r="H233" s="3"/>
      <c r="I233" s="3"/>
      <c r="J233" s="11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 t="s">
        <v>454</v>
      </c>
      <c r="B234" s="3" t="s">
        <v>455</v>
      </c>
      <c r="C234" s="12" t="s">
        <v>21</v>
      </c>
      <c r="D234" s="10"/>
      <c r="E234" s="13">
        <v>8000.0</v>
      </c>
      <c r="F234" s="42"/>
      <c r="G234" s="10"/>
      <c r="H234" s="3"/>
      <c r="I234" s="3"/>
      <c r="J234" s="11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 t="s">
        <v>456</v>
      </c>
      <c r="B235" s="3" t="s">
        <v>457</v>
      </c>
      <c r="C235" s="12" t="s">
        <v>21</v>
      </c>
      <c r="D235" s="3"/>
      <c r="E235" s="13">
        <v>18454.0</v>
      </c>
      <c r="F235" s="42"/>
      <c r="G235" s="10"/>
      <c r="H235" s="3"/>
      <c r="I235" s="18" t="s">
        <v>41</v>
      </c>
      <c r="J235" s="19">
        <v>45919.0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 t="s">
        <v>458</v>
      </c>
      <c r="B236" s="3" t="s">
        <v>459</v>
      </c>
      <c r="C236" s="12" t="s">
        <v>21</v>
      </c>
      <c r="D236" s="3"/>
      <c r="E236" s="13">
        <v>11000.0</v>
      </c>
      <c r="F236" s="42"/>
      <c r="G236" s="10"/>
      <c r="H236" s="3"/>
      <c r="I236" s="3"/>
      <c r="J236" s="11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 t="s">
        <v>460</v>
      </c>
      <c r="B237" s="3" t="s">
        <v>461</v>
      </c>
      <c r="C237" s="12" t="s">
        <v>21</v>
      </c>
      <c r="D237" s="3"/>
      <c r="E237" s="13">
        <v>21000.0</v>
      </c>
      <c r="F237" s="42"/>
      <c r="G237" s="10"/>
      <c r="H237" s="3"/>
      <c r="I237" s="3"/>
      <c r="J237" s="11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 t="s">
        <v>462</v>
      </c>
      <c r="B238" s="3" t="s">
        <v>463</v>
      </c>
      <c r="C238" s="12" t="s">
        <v>21</v>
      </c>
      <c r="D238" s="3"/>
      <c r="E238" s="13">
        <f>7600*2</f>
        <v>15200</v>
      </c>
      <c r="F238" s="42"/>
      <c r="G238" s="10"/>
      <c r="H238" s="3"/>
      <c r="I238" s="3"/>
      <c r="J238" s="11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6"/>
      <c r="F239" s="42"/>
      <c r="G239" s="10"/>
      <c r="H239" s="3"/>
      <c r="I239" s="3"/>
      <c r="J239" s="11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4" t="s">
        <v>1</v>
      </c>
      <c r="B240" s="4" t="s">
        <v>464</v>
      </c>
      <c r="C240" s="2"/>
      <c r="D240" s="4" t="s">
        <v>4</v>
      </c>
      <c r="E240" s="38" t="s">
        <v>5</v>
      </c>
      <c r="F240" s="40"/>
      <c r="G240" s="24"/>
      <c r="H240" s="2"/>
      <c r="I240" s="2"/>
      <c r="J240" s="25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6" t="s">
        <v>465</v>
      </c>
      <c r="B241" s="6" t="s">
        <v>466</v>
      </c>
      <c r="C241" s="7" t="s">
        <v>21</v>
      </c>
      <c r="D241" s="6"/>
      <c r="E241" s="46">
        <v>17443.18</v>
      </c>
      <c r="F241" s="42"/>
      <c r="G241" s="10"/>
      <c r="H241" s="3"/>
      <c r="I241" s="3"/>
      <c r="J241" s="11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 t="s">
        <v>467</v>
      </c>
      <c r="B242" s="3" t="s">
        <v>468</v>
      </c>
      <c r="C242" s="12" t="s">
        <v>21</v>
      </c>
      <c r="D242" s="3"/>
      <c r="E242" s="45">
        <v>2000000.0</v>
      </c>
      <c r="F242" s="42"/>
      <c r="G242" s="10"/>
      <c r="H242" s="3"/>
      <c r="I242" s="3"/>
      <c r="J242" s="11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 t="s">
        <v>469</v>
      </c>
      <c r="B243" s="3" t="s">
        <v>470</v>
      </c>
      <c r="C243" s="12" t="s">
        <v>21</v>
      </c>
      <c r="D243" s="3"/>
      <c r="E243" s="45">
        <v>30000.0</v>
      </c>
      <c r="F243" s="42"/>
      <c r="G243" s="10"/>
      <c r="H243" s="3"/>
      <c r="I243" s="3"/>
      <c r="J243" s="11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 t="s">
        <v>471</v>
      </c>
      <c r="B244" s="3" t="s">
        <v>472</v>
      </c>
      <c r="C244" s="12" t="s">
        <v>21</v>
      </c>
      <c r="D244" s="3"/>
      <c r="E244" s="45">
        <v>45000.0</v>
      </c>
      <c r="F244" s="42"/>
      <c r="G244" s="10"/>
      <c r="H244" s="3"/>
      <c r="I244" s="3"/>
      <c r="J244" s="11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 t="s">
        <v>473</v>
      </c>
      <c r="B245" s="3" t="s">
        <v>474</v>
      </c>
      <c r="C245" s="12" t="s">
        <v>164</v>
      </c>
      <c r="D245" s="3"/>
      <c r="E245" s="45">
        <v>12000.0</v>
      </c>
      <c r="F245" s="42"/>
      <c r="G245" s="10"/>
      <c r="H245" s="3"/>
      <c r="I245" s="3"/>
      <c r="J245" s="11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 t="s">
        <v>475</v>
      </c>
      <c r="B246" s="3" t="s">
        <v>476</v>
      </c>
      <c r="C246" s="12" t="s">
        <v>144</v>
      </c>
      <c r="D246" s="3"/>
      <c r="E246" s="45">
        <v>3500.0</v>
      </c>
      <c r="F246" s="42"/>
      <c r="G246" s="10"/>
      <c r="H246" s="3"/>
      <c r="I246" s="3"/>
      <c r="J246" s="11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 t="s">
        <v>477</v>
      </c>
      <c r="B247" s="3" t="s">
        <v>478</v>
      </c>
      <c r="C247" s="12" t="s">
        <v>21</v>
      </c>
      <c r="D247" s="3"/>
      <c r="E247" s="45">
        <v>504600.0</v>
      </c>
      <c r="F247" s="42"/>
      <c r="G247" s="10"/>
      <c r="H247" s="3"/>
      <c r="I247" s="3"/>
      <c r="J247" s="11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47" t="s">
        <v>479</v>
      </c>
      <c r="C248" s="3"/>
      <c r="D248" s="3"/>
      <c r="E248" s="36"/>
      <c r="F248" s="42"/>
      <c r="G248" s="10"/>
      <c r="H248" s="3"/>
      <c r="I248" s="3"/>
      <c r="J248" s="11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4" t="s">
        <v>1</v>
      </c>
      <c r="B249" s="4" t="s">
        <v>480</v>
      </c>
      <c r="C249" s="2"/>
      <c r="D249" s="4" t="s">
        <v>4</v>
      </c>
      <c r="E249" s="38" t="s">
        <v>5</v>
      </c>
      <c r="F249" s="40"/>
      <c r="G249" s="24"/>
      <c r="H249" s="2"/>
      <c r="I249" s="2"/>
      <c r="J249" s="25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6" t="s">
        <v>481</v>
      </c>
      <c r="B250" s="6" t="s">
        <v>482</v>
      </c>
      <c r="C250" s="7" t="s">
        <v>164</v>
      </c>
      <c r="D250" s="48">
        <v>10150.0</v>
      </c>
      <c r="E250" s="9">
        <f t="shared" ref="E250:E262" si="9">D250/1.21</f>
        <v>8388.429752</v>
      </c>
      <c r="F250" s="42"/>
      <c r="G250" s="10"/>
      <c r="H250" s="3"/>
      <c r="I250" s="3"/>
      <c r="J250" s="11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6" t="s">
        <v>483</v>
      </c>
      <c r="B251" s="6" t="s">
        <v>484</v>
      </c>
      <c r="C251" s="7" t="s">
        <v>164</v>
      </c>
      <c r="D251" s="48">
        <v>11750.0</v>
      </c>
      <c r="E251" s="9">
        <f t="shared" si="9"/>
        <v>9710.743802</v>
      </c>
      <c r="F251" s="42"/>
      <c r="G251" s="10"/>
      <c r="H251" s="3"/>
      <c r="I251" s="3"/>
      <c r="J251" s="11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6" t="s">
        <v>485</v>
      </c>
      <c r="B252" s="6" t="s">
        <v>486</v>
      </c>
      <c r="C252" s="7" t="s">
        <v>164</v>
      </c>
      <c r="D252" s="48">
        <v>11750.0</v>
      </c>
      <c r="E252" s="9">
        <f t="shared" si="9"/>
        <v>9710.743802</v>
      </c>
      <c r="F252" s="42"/>
      <c r="G252" s="10"/>
      <c r="H252" s="3"/>
      <c r="I252" s="3"/>
      <c r="J252" s="11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6" t="s">
        <v>487</v>
      </c>
      <c r="B253" s="6" t="s">
        <v>488</v>
      </c>
      <c r="C253" s="7" t="s">
        <v>164</v>
      </c>
      <c r="D253" s="48">
        <v>10500.0</v>
      </c>
      <c r="E253" s="9">
        <f t="shared" si="9"/>
        <v>8677.68595</v>
      </c>
      <c r="F253" s="42"/>
      <c r="G253" s="10"/>
      <c r="H253" s="3"/>
      <c r="I253" s="3"/>
      <c r="J253" s="11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6" t="s">
        <v>489</v>
      </c>
      <c r="B254" s="6" t="s">
        <v>490</v>
      </c>
      <c r="C254" s="7" t="s">
        <v>164</v>
      </c>
      <c r="D254" s="48">
        <v>12100.0</v>
      </c>
      <c r="E254" s="9">
        <f t="shared" si="9"/>
        <v>10000</v>
      </c>
      <c r="F254" s="42"/>
      <c r="G254" s="10"/>
      <c r="H254" s="3"/>
      <c r="I254" s="3"/>
      <c r="J254" s="11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6" t="s">
        <v>491</v>
      </c>
      <c r="B255" s="6" t="s">
        <v>492</v>
      </c>
      <c r="C255" s="7" t="s">
        <v>164</v>
      </c>
      <c r="D255" s="48">
        <v>12100.0</v>
      </c>
      <c r="E255" s="9">
        <f t="shared" si="9"/>
        <v>10000</v>
      </c>
      <c r="F255" s="42"/>
      <c r="G255" s="10"/>
      <c r="H255" s="3"/>
      <c r="I255" s="3"/>
      <c r="J255" s="11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6" t="s">
        <v>493</v>
      </c>
      <c r="B256" s="6" t="s">
        <v>494</v>
      </c>
      <c r="C256" s="7" t="s">
        <v>164</v>
      </c>
      <c r="D256" s="48">
        <v>10500.0</v>
      </c>
      <c r="E256" s="9">
        <f t="shared" si="9"/>
        <v>8677.68595</v>
      </c>
      <c r="F256" s="42"/>
      <c r="G256" s="10"/>
      <c r="H256" s="3"/>
      <c r="I256" s="3"/>
      <c r="J256" s="11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6" t="s">
        <v>495</v>
      </c>
      <c r="B257" s="6" t="s">
        <v>496</v>
      </c>
      <c r="C257" s="7" t="s">
        <v>164</v>
      </c>
      <c r="D257" s="8">
        <v>18100.0</v>
      </c>
      <c r="E257" s="9">
        <f t="shared" si="9"/>
        <v>14958.67769</v>
      </c>
      <c r="F257" s="42"/>
      <c r="G257" s="10"/>
      <c r="H257" s="3"/>
      <c r="I257" s="3"/>
      <c r="J257" s="11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6" t="s">
        <v>497</v>
      </c>
      <c r="B258" s="6" t="s">
        <v>498</v>
      </c>
      <c r="C258" s="7" t="s">
        <v>164</v>
      </c>
      <c r="D258" s="8">
        <v>18100.0</v>
      </c>
      <c r="E258" s="9">
        <f t="shared" si="9"/>
        <v>14958.67769</v>
      </c>
      <c r="F258" s="42"/>
      <c r="G258" s="10"/>
      <c r="H258" s="3"/>
      <c r="I258" s="3"/>
      <c r="J258" s="11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6" t="s">
        <v>499</v>
      </c>
      <c r="B259" s="6" t="s">
        <v>500</v>
      </c>
      <c r="C259" s="7" t="s">
        <v>21</v>
      </c>
      <c r="D259" s="8">
        <v>33267.02</v>
      </c>
      <c r="E259" s="9">
        <f t="shared" si="9"/>
        <v>27493.40496</v>
      </c>
      <c r="F259" s="42"/>
      <c r="G259" s="10"/>
      <c r="H259" s="3"/>
      <c r="I259" s="3"/>
      <c r="J259" s="11"/>
      <c r="K259" s="49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6" t="s">
        <v>501</v>
      </c>
      <c r="B260" s="6" t="s">
        <v>502</v>
      </c>
      <c r="C260" s="7" t="s">
        <v>21</v>
      </c>
      <c r="D260" s="8">
        <v>28637.58</v>
      </c>
      <c r="E260" s="9">
        <f t="shared" si="9"/>
        <v>23667.42149</v>
      </c>
      <c r="F260" s="42"/>
      <c r="G260" s="10"/>
      <c r="H260" s="3"/>
      <c r="I260" s="3"/>
      <c r="J260" s="11"/>
      <c r="K260" s="49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6" t="s">
        <v>503</v>
      </c>
      <c r="B261" s="6" t="s">
        <v>504</v>
      </c>
      <c r="C261" s="7" t="s">
        <v>21</v>
      </c>
      <c r="D261" s="8">
        <v>41090.72</v>
      </c>
      <c r="E261" s="9">
        <f t="shared" si="9"/>
        <v>33959.27273</v>
      </c>
      <c r="F261" s="42"/>
      <c r="G261" s="10"/>
      <c r="H261" s="3"/>
      <c r="I261" s="3"/>
      <c r="J261" s="11"/>
      <c r="K261" s="49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6" t="s">
        <v>505</v>
      </c>
      <c r="B262" s="6" t="s">
        <v>506</v>
      </c>
      <c r="C262" s="7" t="s">
        <v>144</v>
      </c>
      <c r="D262" s="8">
        <v>59335.96</v>
      </c>
      <c r="E262" s="9">
        <f t="shared" si="9"/>
        <v>49037.98347</v>
      </c>
      <c r="F262" s="42"/>
      <c r="G262" s="10"/>
      <c r="H262" s="3"/>
      <c r="I262" s="3"/>
      <c r="J262" s="11"/>
      <c r="K262" s="49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6" t="s">
        <v>507</v>
      </c>
      <c r="B263" s="6" t="s">
        <v>508</v>
      </c>
      <c r="C263" s="7" t="s">
        <v>21</v>
      </c>
      <c r="D263" s="6"/>
      <c r="E263" s="9">
        <v>66212.89</v>
      </c>
      <c r="F263" s="42"/>
      <c r="G263" s="10"/>
      <c r="H263" s="3"/>
      <c r="I263" s="3"/>
      <c r="J263" s="11"/>
      <c r="K263" s="49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6" t="s">
        <v>509</v>
      </c>
      <c r="B264" s="6" t="s">
        <v>510</v>
      </c>
      <c r="C264" s="7" t="s">
        <v>21</v>
      </c>
      <c r="D264" s="6"/>
      <c r="E264" s="9">
        <v>55788.0</v>
      </c>
      <c r="F264" s="42"/>
      <c r="G264" s="10"/>
      <c r="H264" s="3"/>
      <c r="I264" s="3"/>
      <c r="J264" s="11"/>
      <c r="K264" s="49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6" t="s">
        <v>511</v>
      </c>
      <c r="B265" s="6" t="s">
        <v>512</v>
      </c>
      <c r="C265" s="7" t="s">
        <v>77</v>
      </c>
      <c r="D265" s="6"/>
      <c r="E265" s="9">
        <v>1.0</v>
      </c>
      <c r="F265" s="42"/>
      <c r="G265" s="10"/>
      <c r="H265" s="3"/>
      <c r="I265" s="3"/>
      <c r="J265" s="11"/>
      <c r="K265" s="49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6" t="s">
        <v>513</v>
      </c>
      <c r="B266" s="6" t="s">
        <v>514</v>
      </c>
      <c r="C266" s="7" t="s">
        <v>77</v>
      </c>
      <c r="D266" s="8">
        <v>231000.0</v>
      </c>
      <c r="E266" s="9">
        <f>D266/1.21</f>
        <v>190909.0909</v>
      </c>
      <c r="F266" s="42"/>
      <c r="G266" s="10"/>
      <c r="H266" s="3"/>
      <c r="I266" s="3"/>
      <c r="J266" s="11"/>
      <c r="K266" s="49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6" t="s">
        <v>515</v>
      </c>
      <c r="B267" s="6" t="s">
        <v>516</v>
      </c>
      <c r="C267" s="7" t="s">
        <v>21</v>
      </c>
      <c r="D267" s="29"/>
      <c r="E267" s="9">
        <v>1753.0</v>
      </c>
      <c r="F267" s="42"/>
      <c r="G267" s="10"/>
      <c r="H267" s="3"/>
      <c r="I267" s="3"/>
      <c r="J267" s="11"/>
      <c r="K267" s="49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6" t="s">
        <v>517</v>
      </c>
      <c r="B268" s="6" t="s">
        <v>518</v>
      </c>
      <c r="C268" s="7" t="s">
        <v>21</v>
      </c>
      <c r="D268" s="8">
        <v>92815.62</v>
      </c>
      <c r="E268" s="9">
        <f t="shared" ref="E268:E270" si="10">D268/1.21</f>
        <v>76707.12397</v>
      </c>
      <c r="F268" s="42"/>
      <c r="G268" s="10"/>
      <c r="H268" s="3"/>
      <c r="I268" s="3"/>
      <c r="J268" s="11"/>
      <c r="K268" s="49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6" t="s">
        <v>519</v>
      </c>
      <c r="B269" s="6" t="s">
        <v>520</v>
      </c>
      <c r="C269" s="7" t="s">
        <v>21</v>
      </c>
      <c r="D269" s="8">
        <v>138008.1</v>
      </c>
      <c r="E269" s="9">
        <f t="shared" si="10"/>
        <v>114056.281</v>
      </c>
      <c r="F269" s="42"/>
      <c r="G269" s="10"/>
      <c r="H269" s="3"/>
      <c r="I269" s="3"/>
      <c r="J269" s="11"/>
      <c r="K269" s="49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6" t="s">
        <v>521</v>
      </c>
      <c r="B270" s="6" t="s">
        <v>522</v>
      </c>
      <c r="C270" s="7" t="s">
        <v>21</v>
      </c>
      <c r="D270" s="8">
        <v>110518.0</v>
      </c>
      <c r="E270" s="9">
        <f t="shared" si="10"/>
        <v>91337.19008</v>
      </c>
      <c r="F270" s="42"/>
      <c r="G270" s="10"/>
      <c r="H270" s="3"/>
      <c r="I270" s="3"/>
      <c r="J270" s="11"/>
      <c r="K270" s="49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6" t="s">
        <v>523</v>
      </c>
      <c r="B271" s="6" t="s">
        <v>524</v>
      </c>
      <c r="C271" s="7" t="s">
        <v>21</v>
      </c>
      <c r="D271" s="6"/>
      <c r="E271" s="9">
        <v>1.0</v>
      </c>
      <c r="F271" s="42"/>
      <c r="G271" s="10"/>
      <c r="H271" s="3"/>
      <c r="I271" s="3"/>
      <c r="J271" s="11"/>
      <c r="K271" s="49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6" t="s">
        <v>525</v>
      </c>
      <c r="B272" s="6" t="s">
        <v>526</v>
      </c>
      <c r="C272" s="7" t="s">
        <v>21</v>
      </c>
      <c r="D272" s="48">
        <v>27102.0</v>
      </c>
      <c r="E272" s="9">
        <f t="shared" ref="E272:E274" si="11">D272/1.21</f>
        <v>22398.34711</v>
      </c>
      <c r="F272" s="42"/>
      <c r="G272" s="10"/>
      <c r="H272" s="3"/>
      <c r="I272" s="3"/>
      <c r="J272" s="11"/>
      <c r="K272" s="49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6" t="s">
        <v>527</v>
      </c>
      <c r="B273" s="6" t="s">
        <v>528</v>
      </c>
      <c r="C273" s="7" t="s">
        <v>21</v>
      </c>
      <c r="D273" s="48">
        <v>34580.0</v>
      </c>
      <c r="E273" s="9">
        <f t="shared" si="11"/>
        <v>28578.5124</v>
      </c>
      <c r="F273" s="42"/>
      <c r="G273" s="10"/>
      <c r="H273" s="3"/>
      <c r="I273" s="3"/>
      <c r="J273" s="11"/>
      <c r="K273" s="49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6" t="s">
        <v>529</v>
      </c>
      <c r="B274" s="6" t="s">
        <v>530</v>
      </c>
      <c r="C274" s="7" t="s">
        <v>21</v>
      </c>
      <c r="D274" s="48">
        <v>29640.0</v>
      </c>
      <c r="E274" s="9">
        <f t="shared" si="11"/>
        <v>24495.86777</v>
      </c>
      <c r="F274" s="42"/>
      <c r="G274" s="10"/>
      <c r="H274" s="3"/>
      <c r="I274" s="3"/>
      <c r="J274" s="11"/>
      <c r="K274" s="49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21"/>
      <c r="B275" s="3"/>
      <c r="C275" s="21"/>
      <c r="D275" s="3"/>
      <c r="E275" s="36"/>
      <c r="F275" s="42"/>
      <c r="G275" s="10"/>
      <c r="H275" s="3"/>
      <c r="I275" s="3"/>
      <c r="J275" s="11"/>
      <c r="K275" s="49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4" t="s">
        <v>1</v>
      </c>
      <c r="B276" s="4" t="s">
        <v>531</v>
      </c>
      <c r="C276" s="2"/>
      <c r="D276" s="4" t="s">
        <v>4</v>
      </c>
      <c r="E276" s="38" t="s">
        <v>5</v>
      </c>
      <c r="F276" s="40"/>
      <c r="G276" s="24"/>
      <c r="H276" s="2"/>
      <c r="I276" s="2"/>
      <c r="J276" s="25"/>
      <c r="K276" s="49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6" t="s">
        <v>532</v>
      </c>
      <c r="B277" s="6" t="s">
        <v>533</v>
      </c>
      <c r="C277" s="7" t="s">
        <v>164</v>
      </c>
      <c r="D277" s="6"/>
      <c r="E277" s="29"/>
      <c r="F277" s="42"/>
      <c r="G277" s="10"/>
      <c r="H277" s="3"/>
      <c r="I277" s="3"/>
      <c r="J277" s="11"/>
      <c r="K277" s="49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6" t="s">
        <v>534</v>
      </c>
      <c r="B278" s="6" t="s">
        <v>535</v>
      </c>
      <c r="C278" s="7" t="s">
        <v>164</v>
      </c>
      <c r="D278" s="6"/>
      <c r="E278" s="29"/>
      <c r="F278" s="42"/>
      <c r="G278" s="10"/>
      <c r="H278" s="3"/>
      <c r="I278" s="3"/>
      <c r="J278" s="11"/>
      <c r="K278" s="49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 t="s">
        <v>536</v>
      </c>
      <c r="B279" s="3" t="s">
        <v>537</v>
      </c>
      <c r="C279" s="12" t="s">
        <v>164</v>
      </c>
      <c r="D279" s="3"/>
      <c r="E279" s="13">
        <v>7500.0</v>
      </c>
      <c r="F279" s="42"/>
      <c r="G279" s="10"/>
      <c r="H279" s="3"/>
      <c r="I279" s="3"/>
      <c r="J279" s="11"/>
      <c r="K279" s="49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21"/>
      <c r="B280" s="3"/>
      <c r="C280" s="21"/>
      <c r="D280" s="3"/>
      <c r="E280" s="36"/>
      <c r="F280" s="42"/>
      <c r="G280" s="10"/>
      <c r="H280" s="3"/>
      <c r="I280" s="3"/>
      <c r="J280" s="11"/>
      <c r="K280" s="49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4" t="s">
        <v>1</v>
      </c>
      <c r="B281" s="4" t="s">
        <v>538</v>
      </c>
      <c r="C281" s="2"/>
      <c r="D281" s="4" t="s">
        <v>4</v>
      </c>
      <c r="E281" s="38" t="s">
        <v>5</v>
      </c>
      <c r="F281" s="40"/>
      <c r="G281" s="24"/>
      <c r="H281" s="2"/>
      <c r="I281" s="2"/>
      <c r="J281" s="25"/>
      <c r="K281" s="49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 t="s">
        <v>539</v>
      </c>
      <c r="B282" s="3" t="s">
        <v>540</v>
      </c>
      <c r="C282" s="12" t="s">
        <v>21</v>
      </c>
      <c r="D282" s="3"/>
      <c r="E282" s="50">
        <v>96000.0</v>
      </c>
      <c r="F282" s="42"/>
      <c r="G282" s="10"/>
      <c r="H282" s="3"/>
      <c r="I282" s="3"/>
      <c r="J282" s="11"/>
      <c r="K282" s="49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6"/>
      <c r="F283" s="42"/>
      <c r="G283" s="10"/>
      <c r="H283" s="3"/>
      <c r="I283" s="3"/>
      <c r="J283" s="11"/>
      <c r="K283" s="49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4" t="s">
        <v>1</v>
      </c>
      <c r="B284" s="4" t="s">
        <v>541</v>
      </c>
      <c r="C284" s="2"/>
      <c r="D284" s="4" t="s">
        <v>4</v>
      </c>
      <c r="E284" s="38" t="s">
        <v>5</v>
      </c>
      <c r="F284" s="40"/>
      <c r="G284" s="24"/>
      <c r="H284" s="2"/>
      <c r="I284" s="2"/>
      <c r="J284" s="25"/>
      <c r="K284" s="49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 t="s">
        <v>542</v>
      </c>
      <c r="B285" s="3" t="s">
        <v>543</v>
      </c>
      <c r="C285" s="12" t="s">
        <v>21</v>
      </c>
      <c r="D285" s="51">
        <v>1.0</v>
      </c>
      <c r="E285" s="50" t="s">
        <v>544</v>
      </c>
      <c r="F285" s="42"/>
      <c r="G285" s="10"/>
      <c r="H285" s="3"/>
      <c r="I285" s="3"/>
      <c r="J285" s="11"/>
      <c r="K285" s="49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 t="s">
        <v>545</v>
      </c>
      <c r="B286" s="3" t="s">
        <v>546</v>
      </c>
      <c r="C286" s="12" t="s">
        <v>21</v>
      </c>
      <c r="D286" s="3"/>
      <c r="E286" s="50" t="s">
        <v>547</v>
      </c>
      <c r="F286" s="42"/>
      <c r="G286" s="10"/>
      <c r="H286" s="3"/>
      <c r="I286" s="3"/>
      <c r="J286" s="11"/>
      <c r="K286" s="49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6"/>
      <c r="F287" s="42"/>
      <c r="G287" s="10"/>
      <c r="H287" s="3"/>
      <c r="I287" s="3"/>
      <c r="J287" s="11"/>
      <c r="K287" s="49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4" t="s">
        <v>1</v>
      </c>
      <c r="B288" s="4" t="s">
        <v>548</v>
      </c>
      <c r="C288" s="2"/>
      <c r="D288" s="4" t="s">
        <v>4</v>
      </c>
      <c r="E288" s="38" t="s">
        <v>5</v>
      </c>
      <c r="F288" s="40"/>
      <c r="G288" s="24"/>
      <c r="H288" s="2"/>
      <c r="I288" s="2"/>
      <c r="J288" s="25"/>
      <c r="K288" s="49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 t="s">
        <v>549</v>
      </c>
      <c r="B289" s="3" t="s">
        <v>550</v>
      </c>
      <c r="C289" s="12" t="s">
        <v>10</v>
      </c>
      <c r="D289" s="3"/>
      <c r="E289" s="52">
        <v>131000.0</v>
      </c>
      <c r="F289" s="53" t="s">
        <v>551</v>
      </c>
      <c r="G289" s="17">
        <v>46078.0</v>
      </c>
      <c r="H289" s="3"/>
      <c r="I289" s="3"/>
      <c r="J289" s="11"/>
      <c r="K289" s="49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 t="s">
        <v>552</v>
      </c>
      <c r="B290" s="3" t="s">
        <v>553</v>
      </c>
      <c r="C290" s="12" t="s">
        <v>10</v>
      </c>
      <c r="D290" s="3"/>
      <c r="E290" s="45">
        <v>129706.0</v>
      </c>
      <c r="F290" s="53" t="s">
        <v>551</v>
      </c>
      <c r="G290" s="19">
        <v>45954.0</v>
      </c>
      <c r="H290" s="3"/>
      <c r="I290" s="3"/>
      <c r="J290" s="11"/>
      <c r="K290" s="49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 t="s">
        <v>554</v>
      </c>
      <c r="B291" s="3" t="s">
        <v>555</v>
      </c>
      <c r="C291" s="12" t="s">
        <v>10</v>
      </c>
      <c r="D291" s="3"/>
      <c r="E291" s="45">
        <v>140081.0</v>
      </c>
      <c r="F291" s="53" t="s">
        <v>551</v>
      </c>
      <c r="G291" s="19">
        <v>45954.0</v>
      </c>
      <c r="H291" s="3"/>
      <c r="I291" s="3"/>
      <c r="J291" s="11"/>
      <c r="K291" s="49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 t="s">
        <v>556</v>
      </c>
      <c r="B292" s="3" t="s">
        <v>557</v>
      </c>
      <c r="C292" s="12" t="s">
        <v>10</v>
      </c>
      <c r="D292" s="3"/>
      <c r="E292" s="45">
        <v>146280.0</v>
      </c>
      <c r="F292" s="53" t="s">
        <v>551</v>
      </c>
      <c r="G292" s="19">
        <v>45954.0</v>
      </c>
      <c r="H292" s="3"/>
      <c r="I292" s="3"/>
      <c r="J292" s="11"/>
      <c r="K292" s="49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 t="s">
        <v>558</v>
      </c>
      <c r="B293" s="3" t="s">
        <v>559</v>
      </c>
      <c r="C293" s="12" t="s">
        <v>10</v>
      </c>
      <c r="D293" s="3"/>
      <c r="E293" s="45">
        <v>147632.0</v>
      </c>
      <c r="F293" s="53" t="s">
        <v>551</v>
      </c>
      <c r="G293" s="19">
        <v>45954.0</v>
      </c>
      <c r="H293" s="3"/>
      <c r="I293" s="3"/>
      <c r="J293" s="11"/>
      <c r="K293" s="49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 t="s">
        <v>560</v>
      </c>
      <c r="B294" s="3" t="s">
        <v>561</v>
      </c>
      <c r="C294" s="12" t="s">
        <v>10</v>
      </c>
      <c r="D294" s="3"/>
      <c r="E294" s="52">
        <v>158000.0</v>
      </c>
      <c r="F294" s="53" t="s">
        <v>551</v>
      </c>
      <c r="G294" s="17">
        <v>46072.0</v>
      </c>
      <c r="H294" s="3"/>
      <c r="I294" s="3"/>
      <c r="J294" s="11"/>
      <c r="K294" s="49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 t="s">
        <v>562</v>
      </c>
      <c r="B295" s="3" t="s">
        <v>563</v>
      </c>
      <c r="C295" s="12" t="s">
        <v>10</v>
      </c>
      <c r="D295" s="3"/>
      <c r="E295" s="45">
        <v>155088.0</v>
      </c>
      <c r="F295" s="53" t="s">
        <v>551</v>
      </c>
      <c r="G295" s="19">
        <v>45954.0</v>
      </c>
      <c r="H295" s="3"/>
      <c r="I295" s="3"/>
      <c r="J295" s="11"/>
      <c r="K295" s="49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 t="s">
        <v>564</v>
      </c>
      <c r="B296" s="3" t="s">
        <v>565</v>
      </c>
      <c r="C296" s="12" t="s">
        <v>10</v>
      </c>
      <c r="D296" s="3"/>
      <c r="E296" s="45">
        <v>159000.0</v>
      </c>
      <c r="F296" s="53" t="s">
        <v>551</v>
      </c>
      <c r="G296" s="19">
        <v>45954.0</v>
      </c>
      <c r="H296" s="3"/>
      <c r="I296" s="3"/>
      <c r="J296" s="11"/>
      <c r="K296" s="49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 t="s">
        <v>566</v>
      </c>
      <c r="B297" s="3" t="s">
        <v>567</v>
      </c>
      <c r="C297" s="12" t="s">
        <v>10</v>
      </c>
      <c r="D297" s="3"/>
      <c r="E297" s="45">
        <v>162823.0</v>
      </c>
      <c r="F297" s="53" t="s">
        <v>551</v>
      </c>
      <c r="G297" s="19">
        <v>45954.0</v>
      </c>
      <c r="H297" s="3"/>
      <c r="I297" s="3"/>
      <c r="J297" s="11"/>
      <c r="K297" s="49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 t="s">
        <v>568</v>
      </c>
      <c r="B298" s="3" t="s">
        <v>569</v>
      </c>
      <c r="C298" s="12" t="s">
        <v>10</v>
      </c>
      <c r="D298" s="3"/>
      <c r="E298" s="45">
        <v>167591.0</v>
      </c>
      <c r="F298" s="53" t="s">
        <v>551</v>
      </c>
      <c r="G298" s="19">
        <v>45954.0</v>
      </c>
      <c r="H298" s="3"/>
      <c r="I298" s="3"/>
      <c r="J298" s="11"/>
      <c r="K298" s="49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 t="s">
        <v>570</v>
      </c>
      <c r="B299" s="3" t="s">
        <v>571</v>
      </c>
      <c r="C299" s="12" t="s">
        <v>10</v>
      </c>
      <c r="D299" s="3"/>
      <c r="E299" s="45">
        <v>176354.0</v>
      </c>
      <c r="F299" s="53" t="s">
        <v>551</v>
      </c>
      <c r="G299" s="19">
        <v>45954.0</v>
      </c>
      <c r="H299" s="3"/>
      <c r="I299" s="3"/>
      <c r="J299" s="11"/>
      <c r="K299" s="49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 t="s">
        <v>572</v>
      </c>
      <c r="B300" s="3" t="s">
        <v>573</v>
      </c>
      <c r="C300" s="12" t="s">
        <v>10</v>
      </c>
      <c r="D300" s="3"/>
      <c r="E300" s="45">
        <v>144240.0</v>
      </c>
      <c r="F300" s="53" t="s">
        <v>551</v>
      </c>
      <c r="G300" s="19">
        <v>45954.0</v>
      </c>
      <c r="H300" s="3"/>
      <c r="I300" s="3"/>
      <c r="J300" s="11"/>
      <c r="K300" s="49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 t="s">
        <v>574</v>
      </c>
      <c r="B301" s="3" t="s">
        <v>575</v>
      </c>
      <c r="C301" s="12" t="s">
        <v>10</v>
      </c>
      <c r="D301" s="3"/>
      <c r="E301" s="45">
        <v>145720.0</v>
      </c>
      <c r="F301" s="53" t="s">
        <v>551</v>
      </c>
      <c r="G301" s="19">
        <v>45954.0</v>
      </c>
      <c r="H301" s="3"/>
      <c r="I301" s="3"/>
      <c r="J301" s="11"/>
      <c r="K301" s="49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 t="s">
        <v>576</v>
      </c>
      <c r="B302" s="3" t="s">
        <v>577</v>
      </c>
      <c r="C302" s="12" t="s">
        <v>10</v>
      </c>
      <c r="D302" s="3"/>
      <c r="E302" s="45">
        <v>144703.0</v>
      </c>
      <c r="F302" s="53" t="s">
        <v>551</v>
      </c>
      <c r="G302" s="19">
        <v>45954.0</v>
      </c>
      <c r="H302" s="3"/>
      <c r="I302" s="3"/>
      <c r="J302" s="11"/>
      <c r="K302" s="49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 t="s">
        <v>578</v>
      </c>
      <c r="B303" s="3" t="s">
        <v>579</v>
      </c>
      <c r="C303" s="12" t="s">
        <v>10</v>
      </c>
      <c r="D303" s="3"/>
      <c r="E303" s="45">
        <v>146556.0</v>
      </c>
      <c r="F303" s="53" t="s">
        <v>551</v>
      </c>
      <c r="G303" s="19">
        <v>45954.0</v>
      </c>
      <c r="H303" s="3"/>
      <c r="I303" s="3"/>
      <c r="J303" s="11"/>
      <c r="K303" s="49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 t="s">
        <v>580</v>
      </c>
      <c r="B304" s="3" t="s">
        <v>581</v>
      </c>
      <c r="C304" s="12" t="s">
        <v>10</v>
      </c>
      <c r="D304" s="3"/>
      <c r="E304" s="45">
        <v>176354.0</v>
      </c>
      <c r="F304" s="53" t="s">
        <v>551</v>
      </c>
      <c r="G304" s="19">
        <v>45954.0</v>
      </c>
      <c r="H304" s="3"/>
      <c r="I304" s="3"/>
      <c r="J304" s="11"/>
      <c r="K304" s="49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 t="s">
        <v>582</v>
      </c>
      <c r="B305" s="3" t="s">
        <v>583</v>
      </c>
      <c r="C305" s="12" t="s">
        <v>10</v>
      </c>
      <c r="D305" s="3"/>
      <c r="E305" s="45">
        <v>158340.0</v>
      </c>
      <c r="F305" s="53" t="s">
        <v>551</v>
      </c>
      <c r="G305" s="19">
        <v>45954.0</v>
      </c>
      <c r="H305" s="3"/>
      <c r="I305" s="3"/>
      <c r="J305" s="11"/>
      <c r="K305" s="49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 t="s">
        <v>584</v>
      </c>
      <c r="B306" s="3" t="s">
        <v>585</v>
      </c>
      <c r="C306" s="12" t="s">
        <v>10</v>
      </c>
      <c r="D306" s="3"/>
      <c r="E306" s="45">
        <v>166006.0</v>
      </c>
      <c r="F306" s="53" t="s">
        <v>551</v>
      </c>
      <c r="G306" s="19">
        <v>45954.0</v>
      </c>
      <c r="H306" s="3"/>
      <c r="I306" s="3"/>
      <c r="J306" s="11"/>
      <c r="K306" s="49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 t="s">
        <v>586</v>
      </c>
      <c r="B307" s="3" t="s">
        <v>587</v>
      </c>
      <c r="C307" s="12" t="s">
        <v>10</v>
      </c>
      <c r="D307" s="3"/>
      <c r="E307" s="52">
        <v>175000.0</v>
      </c>
      <c r="F307" s="53" t="s">
        <v>551</v>
      </c>
      <c r="G307" s="17">
        <v>46077.0</v>
      </c>
      <c r="H307" s="3"/>
      <c r="I307" s="3"/>
      <c r="J307" s="11"/>
      <c r="K307" s="49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 t="s">
        <v>588</v>
      </c>
      <c r="B308" s="3" t="s">
        <v>589</v>
      </c>
      <c r="C308" s="12" t="s">
        <v>10</v>
      </c>
      <c r="D308" s="3"/>
      <c r="E308" s="45">
        <v>175574.0</v>
      </c>
      <c r="F308" s="53" t="s">
        <v>551</v>
      </c>
      <c r="G308" s="19">
        <v>45954.0</v>
      </c>
      <c r="H308" s="3"/>
      <c r="I308" s="3"/>
      <c r="J308" s="11"/>
      <c r="K308" s="49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 t="s">
        <v>590</v>
      </c>
      <c r="B309" s="3" t="s">
        <v>591</v>
      </c>
      <c r="C309" s="12" t="s">
        <v>10</v>
      </c>
      <c r="D309" s="3"/>
      <c r="E309" s="45">
        <v>181457.0</v>
      </c>
      <c r="F309" s="53" t="s">
        <v>551</v>
      </c>
      <c r="G309" s="19">
        <v>45954.0</v>
      </c>
      <c r="H309" s="3"/>
      <c r="I309" s="3"/>
      <c r="J309" s="11"/>
      <c r="K309" s="49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 t="s">
        <v>592</v>
      </c>
      <c r="B310" s="3" t="s">
        <v>593</v>
      </c>
      <c r="C310" s="12" t="s">
        <v>10</v>
      </c>
      <c r="D310" s="3"/>
      <c r="E310" s="45">
        <v>78565.0</v>
      </c>
      <c r="F310" s="53" t="s">
        <v>551</v>
      </c>
      <c r="G310" s="19">
        <v>45954.0</v>
      </c>
      <c r="H310" s="3"/>
      <c r="I310" s="3"/>
      <c r="J310" s="11"/>
      <c r="K310" s="49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 t="s">
        <v>594</v>
      </c>
      <c r="B311" s="3" t="s">
        <v>595</v>
      </c>
      <c r="C311" s="12" t="s">
        <v>10</v>
      </c>
      <c r="D311" s="3"/>
      <c r="E311" s="45">
        <v>88843.0</v>
      </c>
      <c r="F311" s="53" t="s">
        <v>551</v>
      </c>
      <c r="G311" s="19">
        <v>45954.0</v>
      </c>
      <c r="H311" s="3"/>
      <c r="I311" s="3"/>
      <c r="J311" s="11"/>
      <c r="K311" s="49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 t="s">
        <v>596</v>
      </c>
      <c r="B312" s="3" t="s">
        <v>597</v>
      </c>
      <c r="C312" s="12" t="s">
        <v>10</v>
      </c>
      <c r="D312" s="3"/>
      <c r="E312" s="45">
        <v>97143.0</v>
      </c>
      <c r="F312" s="53" t="s">
        <v>551</v>
      </c>
      <c r="G312" s="19">
        <v>45954.0</v>
      </c>
      <c r="H312" s="3"/>
      <c r="I312" s="3"/>
      <c r="J312" s="11"/>
      <c r="K312" s="49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 t="s">
        <v>598</v>
      </c>
      <c r="B313" s="3" t="s">
        <v>599</v>
      </c>
      <c r="C313" s="12" t="s">
        <v>10</v>
      </c>
      <c r="D313" s="3"/>
      <c r="E313" s="45">
        <v>131716.0</v>
      </c>
      <c r="F313" s="53" t="s">
        <v>551</v>
      </c>
      <c r="G313" s="19">
        <v>45954.0</v>
      </c>
      <c r="H313" s="3"/>
      <c r="I313" s="3"/>
      <c r="J313" s="11"/>
      <c r="K313" s="49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 t="s">
        <v>600</v>
      </c>
      <c r="B314" s="3" t="s">
        <v>601</v>
      </c>
      <c r="C314" s="12" t="s">
        <v>10</v>
      </c>
      <c r="D314" s="3"/>
      <c r="E314" s="45">
        <v>178740.0</v>
      </c>
      <c r="F314" s="42"/>
      <c r="G314" s="11"/>
      <c r="H314" s="3"/>
      <c r="I314" s="3"/>
      <c r="J314" s="11"/>
      <c r="K314" s="49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 t="s">
        <v>602</v>
      </c>
      <c r="B315" s="3" t="s">
        <v>603</v>
      </c>
      <c r="C315" s="12" t="s">
        <v>21</v>
      </c>
      <c r="D315" s="3"/>
      <c r="E315" s="54">
        <v>600000.0</v>
      </c>
      <c r="F315" s="53" t="s">
        <v>551</v>
      </c>
      <c r="G315" s="17">
        <v>46072.0</v>
      </c>
      <c r="H315" s="3"/>
      <c r="I315" s="3"/>
      <c r="J315" s="11"/>
      <c r="K315" s="49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 t="s">
        <v>604</v>
      </c>
      <c r="B316" s="3" t="s">
        <v>605</v>
      </c>
      <c r="C316" s="12" t="s">
        <v>10</v>
      </c>
      <c r="D316" s="3"/>
      <c r="E316" s="54">
        <v>6000.0</v>
      </c>
      <c r="F316" s="53" t="s">
        <v>551</v>
      </c>
      <c r="G316" s="17">
        <v>46073.0</v>
      </c>
      <c r="H316" s="3"/>
      <c r="I316" s="3"/>
      <c r="J316" s="11"/>
      <c r="K316" s="49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 t="s">
        <v>606</v>
      </c>
      <c r="B317" s="3" t="s">
        <v>607</v>
      </c>
      <c r="C317" s="12" t="s">
        <v>21</v>
      </c>
      <c r="D317" s="3"/>
      <c r="E317" s="45">
        <v>480000.0</v>
      </c>
      <c r="F317" s="53" t="s">
        <v>551</v>
      </c>
      <c r="G317" s="19">
        <v>45954.0</v>
      </c>
      <c r="H317" s="3"/>
      <c r="I317" s="3"/>
      <c r="J317" s="11"/>
      <c r="K317" s="49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 t="s">
        <v>608</v>
      </c>
      <c r="B318" s="3" t="s">
        <v>609</v>
      </c>
      <c r="C318" s="12" t="s">
        <v>10</v>
      </c>
      <c r="D318" s="3"/>
      <c r="E318" s="45">
        <v>4800.0</v>
      </c>
      <c r="F318" s="53" t="s">
        <v>551</v>
      </c>
      <c r="G318" s="19">
        <v>45954.0</v>
      </c>
      <c r="H318" s="3"/>
      <c r="I318" s="3"/>
      <c r="J318" s="11"/>
      <c r="K318" s="49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6"/>
      <c r="F319" s="42"/>
      <c r="G319" s="10"/>
      <c r="H319" s="3"/>
      <c r="I319" s="3"/>
      <c r="J319" s="11"/>
      <c r="K319" s="49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49"/>
      <c r="B320" s="49"/>
      <c r="C320" s="49"/>
      <c r="D320" s="49"/>
      <c r="E320" s="55"/>
      <c r="F320" s="49"/>
      <c r="G320" s="49"/>
      <c r="H320" s="49"/>
      <c r="I320" s="49"/>
      <c r="J320" s="56"/>
      <c r="K320" s="49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4" t="s">
        <v>1</v>
      </c>
      <c r="B321" s="4" t="s">
        <v>610</v>
      </c>
      <c r="C321" s="2"/>
      <c r="D321" s="4" t="s">
        <v>4</v>
      </c>
      <c r="E321" s="38" t="s">
        <v>5</v>
      </c>
      <c r="F321" s="2"/>
      <c r="G321" s="2"/>
      <c r="H321" s="2"/>
      <c r="I321" s="2"/>
      <c r="J321" s="25"/>
      <c r="K321" s="49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49" t="s">
        <v>611</v>
      </c>
      <c r="B322" s="21" t="s">
        <v>612</v>
      </c>
      <c r="C322" s="57" t="s">
        <v>21</v>
      </c>
      <c r="D322" s="49"/>
      <c r="E322" s="50">
        <v>24000.0</v>
      </c>
      <c r="F322" s="49"/>
      <c r="G322" s="49"/>
      <c r="H322" s="49"/>
      <c r="I322" s="3"/>
      <c r="J322" s="11"/>
      <c r="K322" s="49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49" t="s">
        <v>613</v>
      </c>
      <c r="B323" s="21" t="s">
        <v>614</v>
      </c>
      <c r="C323" s="49"/>
      <c r="D323" s="49"/>
      <c r="E323" s="50">
        <v>32500.0</v>
      </c>
      <c r="F323" s="49"/>
      <c r="G323" s="49"/>
      <c r="H323" s="49"/>
      <c r="I323" s="3"/>
      <c r="J323" s="11"/>
      <c r="K323" s="49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49" t="s">
        <v>615</v>
      </c>
      <c r="B324" s="21" t="s">
        <v>616</v>
      </c>
      <c r="C324" s="49"/>
      <c r="D324" s="49"/>
      <c r="E324" s="50">
        <v>75000.0</v>
      </c>
      <c r="F324" s="49"/>
      <c r="G324" s="49"/>
      <c r="H324" s="49"/>
      <c r="I324" s="3"/>
      <c r="J324" s="11"/>
      <c r="K324" s="49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49" t="s">
        <v>617</v>
      </c>
      <c r="B325" s="49" t="s">
        <v>618</v>
      </c>
      <c r="C325" s="49"/>
      <c r="D325" s="49"/>
      <c r="E325" s="50">
        <v>12000.0</v>
      </c>
      <c r="F325" s="49"/>
      <c r="G325" s="49"/>
      <c r="H325" s="49"/>
      <c r="I325" s="3"/>
      <c r="J325" s="11"/>
      <c r="K325" s="49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5.7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5.75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5.75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5.75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5.75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5.75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5.75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5.75" customHeight="1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5.75" customHeight="1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5.75" customHeight="1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5.75" customHeight="1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15.75" customHeight="1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15.75" customHeight="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15.75" customHeight="1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t="15.75" customHeight="1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ht="15.75" customHeight="1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ht="15.75" customHeight="1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ht="15.75" customHeight="1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ht="15.75" customHeight="1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ht="15.75" customHeight="1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ht="15.75" customHeight="1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ht="15.75" customHeight="1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ht="15.75" customHeight="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ht="15.75" customHeight="1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ht="15.75" customHeight="1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ht="15.75" customHeight="1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ht="15.75" customHeight="1">
      <c r="A1035" s="49"/>
      <c r="B1035" s="49"/>
      <c r="C1035" s="49"/>
      <c r="D1035" s="49"/>
      <c r="E1035" s="49"/>
      <c r="F1035" s="49"/>
      <c r="G1035" s="49"/>
      <c r="H1035" s="49"/>
      <c r="I1035" s="49"/>
      <c r="J1035" s="49"/>
      <c r="K1035" s="49"/>
      <c r="L1035" s="49"/>
      <c r="M1035" s="49"/>
      <c r="N1035" s="49"/>
      <c r="O1035" s="49"/>
      <c r="P1035" s="49"/>
      <c r="Q1035" s="49"/>
      <c r="R1035" s="49"/>
      <c r="S1035" s="49"/>
      <c r="T1035" s="49"/>
      <c r="U1035" s="49"/>
      <c r="V1035" s="49"/>
      <c r="W1035" s="49"/>
      <c r="X1035" s="49"/>
      <c r="Y1035" s="49"/>
      <c r="Z1035" s="49"/>
    </row>
    <row r="1036" ht="15.75" customHeight="1">
      <c r="A1036" s="49"/>
      <c r="B1036" s="49"/>
      <c r="C1036" s="49"/>
      <c r="D1036" s="49"/>
      <c r="E1036" s="49"/>
      <c r="F1036" s="49"/>
      <c r="G1036" s="49"/>
      <c r="H1036" s="49"/>
      <c r="I1036" s="49"/>
      <c r="J1036" s="49"/>
      <c r="K1036" s="49"/>
      <c r="L1036" s="49"/>
      <c r="M1036" s="49"/>
      <c r="N1036" s="49"/>
      <c r="O1036" s="49"/>
      <c r="P1036" s="49"/>
      <c r="Q1036" s="49"/>
      <c r="R1036" s="49"/>
      <c r="S1036" s="49"/>
      <c r="T1036" s="49"/>
      <c r="U1036" s="49"/>
      <c r="V1036" s="49"/>
      <c r="W1036" s="49"/>
      <c r="X1036" s="49"/>
      <c r="Y1036" s="49"/>
      <c r="Z1036" s="49"/>
    </row>
    <row r="1037" ht="15.75" customHeight="1">
      <c r="A1037" s="49"/>
      <c r="B1037" s="49"/>
      <c r="C1037" s="49"/>
      <c r="D1037" s="49"/>
      <c r="E1037" s="49"/>
      <c r="F1037" s="49"/>
      <c r="G1037" s="49"/>
      <c r="H1037" s="49"/>
      <c r="I1037" s="49"/>
      <c r="J1037" s="49"/>
      <c r="K1037" s="49"/>
      <c r="L1037" s="49"/>
      <c r="M1037" s="49"/>
      <c r="N1037" s="49"/>
      <c r="O1037" s="49"/>
      <c r="P1037" s="49"/>
      <c r="Q1037" s="49"/>
      <c r="R1037" s="49"/>
      <c r="S1037" s="49"/>
      <c r="T1037" s="49"/>
      <c r="U1037" s="49"/>
      <c r="V1037" s="49"/>
      <c r="W1037" s="49"/>
      <c r="X1037" s="49"/>
      <c r="Y1037" s="49"/>
      <c r="Z1037" s="49"/>
    </row>
    <row r="1038" ht="15.75" customHeight="1">
      <c r="A1038" s="49"/>
      <c r="B1038" s="49"/>
      <c r="C1038" s="49"/>
      <c r="D1038" s="49"/>
      <c r="E1038" s="49"/>
      <c r="F1038" s="49"/>
      <c r="G1038" s="49"/>
      <c r="H1038" s="49"/>
      <c r="I1038" s="49"/>
      <c r="J1038" s="49"/>
      <c r="K1038" s="49"/>
      <c r="L1038" s="49"/>
      <c r="M1038" s="49"/>
      <c r="N1038" s="49"/>
      <c r="O1038" s="49"/>
      <c r="P1038" s="49"/>
      <c r="Q1038" s="49"/>
      <c r="R1038" s="49"/>
      <c r="S1038" s="49"/>
      <c r="T1038" s="49"/>
      <c r="U1038" s="49"/>
      <c r="V1038" s="49"/>
      <c r="W1038" s="49"/>
      <c r="X1038" s="49"/>
      <c r="Y1038" s="49"/>
      <c r="Z1038" s="49"/>
    </row>
    <row r="1039" ht="15.75" customHeight="1">
      <c r="A1039" s="49"/>
      <c r="B1039" s="49"/>
      <c r="C1039" s="49"/>
      <c r="D1039" s="49"/>
      <c r="E1039" s="49"/>
      <c r="F1039" s="49"/>
      <c r="G1039" s="49"/>
      <c r="H1039" s="49"/>
      <c r="I1039" s="49"/>
      <c r="J1039" s="49"/>
      <c r="K1039" s="49"/>
      <c r="L1039" s="49"/>
      <c r="M1039" s="49"/>
      <c r="N1039" s="49"/>
      <c r="O1039" s="49"/>
      <c r="P1039" s="49"/>
      <c r="Q1039" s="49"/>
      <c r="R1039" s="49"/>
      <c r="S1039" s="49"/>
      <c r="T1039" s="49"/>
      <c r="U1039" s="49"/>
      <c r="V1039" s="49"/>
      <c r="W1039" s="49"/>
      <c r="X1039" s="49"/>
      <c r="Y1039" s="49"/>
      <c r="Z1039" s="49"/>
    </row>
    <row r="1040" ht="15.75" customHeight="1">
      <c r="A1040" s="49"/>
      <c r="B1040" s="49"/>
      <c r="C1040" s="49"/>
      <c r="D1040" s="49"/>
      <c r="E1040" s="49"/>
      <c r="F1040" s="49"/>
      <c r="G1040" s="49"/>
      <c r="H1040" s="49"/>
      <c r="I1040" s="49"/>
      <c r="J1040" s="49"/>
      <c r="K1040" s="49"/>
      <c r="L1040" s="49"/>
      <c r="M1040" s="49"/>
      <c r="N1040" s="49"/>
      <c r="O1040" s="49"/>
      <c r="P1040" s="49"/>
      <c r="Q1040" s="49"/>
      <c r="R1040" s="49"/>
      <c r="S1040" s="49"/>
      <c r="T1040" s="49"/>
      <c r="U1040" s="49"/>
      <c r="V1040" s="49"/>
      <c r="W1040" s="49"/>
      <c r="X1040" s="49"/>
      <c r="Y1040" s="49"/>
      <c r="Z1040" s="49"/>
    </row>
    <row r="1041" ht="15.75" customHeight="1">
      <c r="A1041" s="49"/>
      <c r="B1041" s="49"/>
      <c r="C1041" s="49"/>
      <c r="D1041" s="49"/>
      <c r="E1041" s="49"/>
      <c r="F1041" s="49"/>
      <c r="G1041" s="49"/>
      <c r="H1041" s="49"/>
      <c r="I1041" s="49"/>
      <c r="J1041" s="49"/>
      <c r="K1041" s="49"/>
      <c r="L1041" s="49"/>
      <c r="M1041" s="49"/>
      <c r="N1041" s="49"/>
      <c r="O1041" s="49"/>
      <c r="P1041" s="49"/>
      <c r="Q1041" s="49"/>
      <c r="R1041" s="49"/>
      <c r="S1041" s="49"/>
      <c r="T1041" s="49"/>
      <c r="U1041" s="49"/>
      <c r="V1041" s="49"/>
      <c r="W1041" s="49"/>
      <c r="X1041" s="49"/>
      <c r="Y1041" s="49"/>
      <c r="Z1041" s="49"/>
    </row>
    <row r="1042" ht="15.75" customHeight="1">
      <c r="A1042" s="49"/>
      <c r="B1042" s="49"/>
      <c r="C1042" s="49"/>
      <c r="D1042" s="49"/>
      <c r="E1042" s="49"/>
      <c r="F1042" s="49"/>
      <c r="G1042" s="49"/>
      <c r="H1042" s="49"/>
      <c r="I1042" s="49"/>
      <c r="J1042" s="49"/>
      <c r="K1042" s="49"/>
      <c r="L1042" s="49"/>
      <c r="M1042" s="49"/>
      <c r="N1042" s="49"/>
      <c r="O1042" s="49"/>
      <c r="P1042" s="49"/>
      <c r="Q1042" s="49"/>
      <c r="R1042" s="49"/>
      <c r="S1042" s="49"/>
      <c r="T1042" s="49"/>
      <c r="U1042" s="49"/>
      <c r="V1042" s="49"/>
      <c r="W1042" s="49"/>
      <c r="X1042" s="49"/>
      <c r="Y1042" s="49"/>
      <c r="Z1042" s="49"/>
    </row>
    <row r="1043" ht="15.75" customHeight="1">
      <c r="A1043" s="49"/>
      <c r="B1043" s="49"/>
      <c r="C1043" s="49"/>
      <c r="D1043" s="49"/>
      <c r="E1043" s="49"/>
      <c r="F1043" s="49"/>
      <c r="G1043" s="49"/>
      <c r="H1043" s="49"/>
      <c r="I1043" s="49"/>
      <c r="J1043" s="49"/>
      <c r="K1043" s="49"/>
      <c r="L1043" s="49"/>
      <c r="M1043" s="49"/>
      <c r="N1043" s="49"/>
      <c r="O1043" s="49"/>
      <c r="P1043" s="49"/>
      <c r="Q1043" s="49"/>
      <c r="R1043" s="49"/>
      <c r="S1043" s="49"/>
      <c r="T1043" s="49"/>
      <c r="U1043" s="49"/>
      <c r="V1043" s="49"/>
      <c r="W1043" s="49"/>
      <c r="X1043" s="49"/>
      <c r="Y1043" s="49"/>
      <c r="Z1043" s="49"/>
    </row>
    <row r="1044" ht="15.75" customHeight="1">
      <c r="A1044" s="49"/>
      <c r="B1044" s="49"/>
      <c r="C1044" s="49"/>
      <c r="D1044" s="49"/>
      <c r="E1044" s="49"/>
      <c r="F1044" s="49"/>
      <c r="G1044" s="49"/>
      <c r="H1044" s="49"/>
      <c r="I1044" s="49"/>
      <c r="J1044" s="49"/>
      <c r="K1044" s="49"/>
      <c r="L1044" s="49"/>
      <c r="M1044" s="49"/>
      <c r="N1044" s="49"/>
      <c r="O1044" s="49"/>
      <c r="P1044" s="49"/>
      <c r="Q1044" s="49"/>
      <c r="R1044" s="49"/>
      <c r="S1044" s="49"/>
      <c r="T1044" s="49"/>
      <c r="U1044" s="49"/>
      <c r="V1044" s="49"/>
      <c r="W1044" s="49"/>
      <c r="X1044" s="49"/>
      <c r="Y1044" s="49"/>
      <c r="Z1044" s="49"/>
    </row>
    <row r="1045" ht="15.75" customHeight="1">
      <c r="A1045" s="49"/>
      <c r="B1045" s="49"/>
      <c r="C1045" s="49"/>
      <c r="D1045" s="49"/>
      <c r="E1045" s="49"/>
      <c r="F1045" s="49"/>
      <c r="G1045" s="49"/>
      <c r="H1045" s="49"/>
      <c r="I1045" s="49"/>
      <c r="J1045" s="49"/>
      <c r="K1045" s="49"/>
      <c r="L1045" s="49"/>
      <c r="M1045" s="49"/>
      <c r="N1045" s="49"/>
      <c r="O1045" s="49"/>
      <c r="P1045" s="49"/>
      <c r="Q1045" s="49"/>
      <c r="R1045" s="49"/>
      <c r="S1045" s="49"/>
      <c r="T1045" s="49"/>
      <c r="U1045" s="49"/>
      <c r="V1045" s="49"/>
      <c r="W1045" s="49"/>
      <c r="X1045" s="49"/>
      <c r="Y1045" s="49"/>
      <c r="Z1045" s="49"/>
    </row>
    <row r="1046" ht="15.75" customHeight="1">
      <c r="A1046" s="49"/>
      <c r="B1046" s="49"/>
      <c r="C1046" s="49"/>
      <c r="D1046" s="49"/>
      <c r="E1046" s="49"/>
      <c r="F1046" s="49"/>
      <c r="G1046" s="49"/>
      <c r="H1046" s="49"/>
      <c r="I1046" s="49"/>
      <c r="J1046" s="49"/>
      <c r="K1046" s="49"/>
      <c r="L1046" s="49"/>
      <c r="M1046" s="49"/>
      <c r="N1046" s="49"/>
      <c r="O1046" s="49"/>
      <c r="P1046" s="49"/>
      <c r="Q1046" s="49"/>
      <c r="R1046" s="49"/>
      <c r="S1046" s="49"/>
      <c r="T1046" s="49"/>
      <c r="U1046" s="49"/>
      <c r="V1046" s="49"/>
      <c r="W1046" s="49"/>
      <c r="X1046" s="49"/>
      <c r="Y1046" s="49"/>
      <c r="Z1046" s="49"/>
    </row>
    <row r="1047" ht="15.75" customHeight="1">
      <c r="A1047" s="49"/>
      <c r="B1047" s="49"/>
      <c r="C1047" s="49"/>
      <c r="D1047" s="49"/>
      <c r="E1047" s="49"/>
      <c r="F1047" s="49"/>
      <c r="G1047" s="49"/>
      <c r="H1047" s="49"/>
      <c r="I1047" s="49"/>
      <c r="J1047" s="49"/>
      <c r="K1047" s="49"/>
      <c r="L1047" s="49"/>
      <c r="M1047" s="49"/>
      <c r="N1047" s="49"/>
      <c r="O1047" s="49"/>
      <c r="P1047" s="49"/>
      <c r="Q1047" s="49"/>
      <c r="R1047" s="49"/>
      <c r="S1047" s="49"/>
      <c r="T1047" s="49"/>
      <c r="U1047" s="49"/>
      <c r="V1047" s="49"/>
      <c r="W1047" s="49"/>
      <c r="X1047" s="49"/>
      <c r="Y1047" s="49"/>
      <c r="Z1047" s="49"/>
    </row>
    <row r="1048" ht="15.75" customHeight="1">
      <c r="A1048" s="49"/>
      <c r="B1048" s="49"/>
      <c r="C1048" s="49"/>
      <c r="D1048" s="49"/>
      <c r="E1048" s="49"/>
      <c r="F1048" s="49"/>
      <c r="G1048" s="49"/>
      <c r="H1048" s="49"/>
      <c r="I1048" s="49"/>
      <c r="J1048" s="49"/>
      <c r="K1048" s="49"/>
      <c r="L1048" s="49"/>
      <c r="M1048" s="49"/>
      <c r="N1048" s="49"/>
      <c r="O1048" s="49"/>
      <c r="P1048" s="49"/>
      <c r="Q1048" s="49"/>
      <c r="R1048" s="49"/>
      <c r="S1048" s="49"/>
      <c r="T1048" s="49"/>
      <c r="U1048" s="49"/>
      <c r="V1048" s="49"/>
      <c r="W1048" s="49"/>
      <c r="X1048" s="49"/>
      <c r="Y1048" s="49"/>
      <c r="Z1048" s="49"/>
    </row>
    <row r="1049" ht="15.75" customHeight="1">
      <c r="A1049" s="49"/>
      <c r="B1049" s="49"/>
      <c r="C1049" s="49"/>
      <c r="D1049" s="49"/>
      <c r="E1049" s="49"/>
      <c r="F1049" s="49"/>
      <c r="G1049" s="49"/>
      <c r="H1049" s="49"/>
      <c r="I1049" s="49"/>
      <c r="J1049" s="49"/>
      <c r="K1049" s="49"/>
      <c r="L1049" s="49"/>
      <c r="M1049" s="49"/>
      <c r="N1049" s="49"/>
      <c r="O1049" s="49"/>
      <c r="P1049" s="49"/>
      <c r="Q1049" s="49"/>
      <c r="R1049" s="49"/>
      <c r="S1049" s="49"/>
      <c r="T1049" s="49"/>
      <c r="U1049" s="49"/>
      <c r="V1049" s="49"/>
      <c r="W1049" s="49"/>
      <c r="X1049" s="49"/>
      <c r="Y1049" s="49"/>
      <c r="Z1049" s="49"/>
    </row>
    <row r="1050" ht="15.75" customHeight="1">
      <c r="A1050" s="49"/>
      <c r="B1050" s="49"/>
      <c r="C1050" s="49"/>
      <c r="D1050" s="49"/>
      <c r="E1050" s="49"/>
      <c r="F1050" s="49"/>
      <c r="G1050" s="49"/>
      <c r="H1050" s="49"/>
      <c r="I1050" s="49"/>
      <c r="J1050" s="49"/>
      <c r="K1050" s="49"/>
      <c r="L1050" s="49"/>
      <c r="M1050" s="49"/>
      <c r="N1050" s="49"/>
      <c r="O1050" s="49"/>
      <c r="P1050" s="49"/>
      <c r="Q1050" s="49"/>
      <c r="R1050" s="49"/>
      <c r="S1050" s="49"/>
      <c r="T1050" s="49"/>
      <c r="U1050" s="49"/>
      <c r="V1050" s="49"/>
      <c r="W1050" s="49"/>
      <c r="X1050" s="49"/>
      <c r="Y1050" s="49"/>
      <c r="Z1050" s="49"/>
    </row>
    <row r="1051" ht="15.75" customHeight="1">
      <c r="A1051" s="49"/>
      <c r="B1051" s="49"/>
      <c r="C1051" s="49"/>
      <c r="D1051" s="49"/>
      <c r="E1051" s="49"/>
      <c r="F1051" s="49"/>
      <c r="G1051" s="49"/>
      <c r="H1051" s="49"/>
      <c r="I1051" s="49"/>
      <c r="J1051" s="49"/>
      <c r="K1051" s="49"/>
      <c r="L1051" s="49"/>
      <c r="M1051" s="49"/>
      <c r="N1051" s="49"/>
      <c r="O1051" s="49"/>
      <c r="P1051" s="49"/>
      <c r="Q1051" s="49"/>
      <c r="R1051" s="49"/>
      <c r="S1051" s="49"/>
      <c r="T1051" s="49"/>
      <c r="U1051" s="49"/>
      <c r="V1051" s="49"/>
      <c r="W1051" s="49"/>
      <c r="X1051" s="49"/>
      <c r="Y1051" s="49"/>
      <c r="Z1051" s="49"/>
    </row>
    <row r="1052" ht="15.75" customHeight="1">
      <c r="A1052" s="49"/>
      <c r="B1052" s="49"/>
      <c r="C1052" s="49"/>
      <c r="D1052" s="49"/>
      <c r="E1052" s="49"/>
      <c r="F1052" s="49"/>
      <c r="G1052" s="49"/>
      <c r="H1052" s="49"/>
      <c r="I1052" s="49"/>
      <c r="J1052" s="49"/>
      <c r="K1052" s="49"/>
      <c r="L1052" s="49"/>
      <c r="M1052" s="49"/>
      <c r="N1052" s="49"/>
      <c r="O1052" s="49"/>
      <c r="P1052" s="49"/>
      <c r="Q1052" s="49"/>
      <c r="R1052" s="49"/>
      <c r="S1052" s="49"/>
      <c r="T1052" s="49"/>
      <c r="U1052" s="49"/>
      <c r="V1052" s="49"/>
      <c r="W1052" s="49"/>
      <c r="X1052" s="49"/>
      <c r="Y1052" s="49"/>
      <c r="Z1052" s="49"/>
    </row>
    <row r="1053" ht="15.75" customHeight="1">
      <c r="A1053" s="49"/>
      <c r="B1053" s="49"/>
      <c r="C1053" s="49"/>
      <c r="D1053" s="49"/>
      <c r="E1053" s="49"/>
      <c r="F1053" s="49"/>
      <c r="G1053" s="49"/>
      <c r="H1053" s="49"/>
      <c r="I1053" s="49"/>
      <c r="J1053" s="49"/>
      <c r="K1053" s="49"/>
      <c r="L1053" s="49"/>
      <c r="M1053" s="49"/>
      <c r="N1053" s="49"/>
      <c r="O1053" s="49"/>
      <c r="P1053" s="49"/>
      <c r="Q1053" s="49"/>
      <c r="R1053" s="49"/>
      <c r="S1053" s="49"/>
      <c r="T1053" s="49"/>
      <c r="U1053" s="49"/>
      <c r="V1053" s="49"/>
      <c r="W1053" s="49"/>
      <c r="X1053" s="49"/>
      <c r="Y1053" s="49"/>
      <c r="Z1053" s="49"/>
    </row>
    <row r="1054" ht="15.75" customHeight="1">
      <c r="A1054" s="49"/>
      <c r="B1054" s="49"/>
      <c r="C1054" s="49"/>
      <c r="D1054" s="49"/>
      <c r="E1054" s="49"/>
      <c r="F1054" s="49"/>
      <c r="G1054" s="49"/>
      <c r="H1054" s="49"/>
      <c r="I1054" s="49"/>
      <c r="J1054" s="49"/>
      <c r="K1054" s="49"/>
      <c r="L1054" s="49"/>
      <c r="M1054" s="49"/>
      <c r="N1054" s="49"/>
      <c r="O1054" s="49"/>
      <c r="P1054" s="49"/>
      <c r="Q1054" s="49"/>
      <c r="R1054" s="49"/>
      <c r="S1054" s="49"/>
      <c r="T1054" s="49"/>
      <c r="U1054" s="49"/>
      <c r="V1054" s="49"/>
      <c r="W1054" s="49"/>
      <c r="X1054" s="49"/>
      <c r="Y1054" s="49"/>
      <c r="Z1054" s="49"/>
    </row>
    <row r="1055" ht="15.75" customHeight="1">
      <c r="A1055" s="49"/>
      <c r="B1055" s="49"/>
      <c r="C1055" s="49"/>
      <c r="D1055" s="49"/>
      <c r="E1055" s="49"/>
      <c r="F1055" s="49"/>
      <c r="G1055" s="49"/>
      <c r="H1055" s="49"/>
      <c r="I1055" s="49"/>
      <c r="J1055" s="49"/>
      <c r="K1055" s="49"/>
      <c r="L1055" s="49"/>
      <c r="M1055" s="49"/>
      <c r="N1055" s="49"/>
      <c r="O1055" s="49"/>
      <c r="P1055" s="49"/>
      <c r="Q1055" s="49"/>
      <c r="R1055" s="49"/>
      <c r="S1055" s="49"/>
      <c r="T1055" s="49"/>
      <c r="U1055" s="49"/>
      <c r="V1055" s="49"/>
      <c r="W1055" s="49"/>
      <c r="X1055" s="49"/>
      <c r="Y1055" s="49"/>
      <c r="Z1055" s="49"/>
    </row>
    <row r="1056" ht="15.75" customHeight="1">
      <c r="A1056" s="49"/>
      <c r="B1056" s="49"/>
      <c r="C1056" s="49"/>
      <c r="D1056" s="49"/>
      <c r="E1056" s="49"/>
      <c r="F1056" s="49"/>
      <c r="G1056" s="49"/>
      <c r="H1056" s="49"/>
      <c r="I1056" s="49"/>
      <c r="J1056" s="49"/>
      <c r="K1056" s="49"/>
      <c r="L1056" s="49"/>
      <c r="M1056" s="49"/>
      <c r="N1056" s="49"/>
      <c r="O1056" s="49"/>
      <c r="P1056" s="49"/>
      <c r="Q1056" s="49"/>
      <c r="R1056" s="49"/>
      <c r="S1056" s="49"/>
      <c r="T1056" s="49"/>
      <c r="U1056" s="49"/>
      <c r="V1056" s="49"/>
      <c r="W1056" s="49"/>
      <c r="X1056" s="49"/>
      <c r="Y1056" s="49"/>
      <c r="Z1056" s="49"/>
    </row>
    <row r="1057" ht="15.75" customHeight="1">
      <c r="A1057" s="49"/>
      <c r="B1057" s="49"/>
      <c r="C1057" s="49"/>
      <c r="D1057" s="49"/>
      <c r="E1057" s="49"/>
      <c r="F1057" s="49"/>
      <c r="G1057" s="49"/>
      <c r="H1057" s="49"/>
      <c r="I1057" s="49"/>
      <c r="J1057" s="49"/>
      <c r="K1057" s="49"/>
      <c r="L1057" s="49"/>
      <c r="M1057" s="49"/>
      <c r="N1057" s="49"/>
      <c r="O1057" s="49"/>
      <c r="P1057" s="49"/>
      <c r="Q1057" s="49"/>
      <c r="R1057" s="49"/>
      <c r="S1057" s="49"/>
      <c r="T1057" s="49"/>
      <c r="U1057" s="49"/>
      <c r="V1057" s="49"/>
      <c r="W1057" s="49"/>
      <c r="X1057" s="49"/>
      <c r="Y1057" s="49"/>
      <c r="Z1057" s="49"/>
    </row>
    <row r="1058" ht="15.75" customHeight="1">
      <c r="A1058" s="49"/>
      <c r="B1058" s="49"/>
      <c r="C1058" s="49"/>
      <c r="D1058" s="49"/>
      <c r="E1058" s="49"/>
      <c r="F1058" s="49"/>
      <c r="G1058" s="49"/>
      <c r="H1058" s="49"/>
      <c r="I1058" s="49"/>
      <c r="J1058" s="49"/>
      <c r="K1058" s="49"/>
      <c r="L1058" s="49"/>
      <c r="M1058" s="49"/>
      <c r="N1058" s="49"/>
      <c r="O1058" s="49"/>
      <c r="P1058" s="49"/>
      <c r="Q1058" s="49"/>
      <c r="R1058" s="49"/>
      <c r="S1058" s="49"/>
      <c r="T1058" s="49"/>
      <c r="U1058" s="49"/>
      <c r="V1058" s="49"/>
      <c r="W1058" s="49"/>
      <c r="X1058" s="49"/>
      <c r="Y1058" s="49"/>
      <c r="Z1058" s="49"/>
    </row>
    <row r="1059" ht="15.75" customHeight="1">
      <c r="A1059" s="49"/>
      <c r="B1059" s="49"/>
      <c r="C1059" s="49"/>
      <c r="D1059" s="49"/>
      <c r="E1059" s="49"/>
      <c r="F1059" s="49"/>
      <c r="G1059" s="49"/>
      <c r="H1059" s="49"/>
      <c r="I1059" s="49"/>
      <c r="J1059" s="49"/>
      <c r="K1059" s="49"/>
      <c r="L1059" s="49"/>
      <c r="M1059" s="49"/>
      <c r="N1059" s="49"/>
      <c r="O1059" s="49"/>
      <c r="P1059" s="49"/>
      <c r="Q1059" s="49"/>
      <c r="R1059" s="49"/>
      <c r="S1059" s="49"/>
      <c r="T1059" s="49"/>
      <c r="U1059" s="49"/>
      <c r="V1059" s="49"/>
      <c r="W1059" s="49"/>
      <c r="X1059" s="49"/>
      <c r="Y1059" s="49"/>
      <c r="Z1059" s="49"/>
    </row>
    <row r="1060" ht="15.75" customHeight="1">
      <c r="A1060" s="49"/>
      <c r="B1060" s="49"/>
      <c r="C1060" s="49"/>
      <c r="D1060" s="49"/>
      <c r="E1060" s="49"/>
      <c r="F1060" s="49"/>
      <c r="G1060" s="49"/>
      <c r="H1060" s="49"/>
      <c r="I1060" s="49"/>
      <c r="J1060" s="49"/>
      <c r="K1060" s="49"/>
      <c r="L1060" s="49"/>
      <c r="M1060" s="49"/>
      <c r="N1060" s="49"/>
      <c r="O1060" s="49"/>
      <c r="P1060" s="49"/>
      <c r="Q1060" s="49"/>
      <c r="R1060" s="49"/>
      <c r="S1060" s="49"/>
      <c r="T1060" s="49"/>
      <c r="U1060" s="49"/>
      <c r="V1060" s="49"/>
      <c r="W1060" s="49"/>
      <c r="X1060" s="49"/>
      <c r="Y1060" s="49"/>
      <c r="Z1060" s="49"/>
    </row>
    <row r="1061" ht="15.75" customHeight="1">
      <c r="A1061" s="49"/>
      <c r="B1061" s="49"/>
      <c r="C1061" s="49"/>
      <c r="D1061" s="49"/>
      <c r="E1061" s="49"/>
      <c r="F1061" s="49"/>
      <c r="G1061" s="49"/>
      <c r="H1061" s="49"/>
      <c r="I1061" s="49"/>
      <c r="J1061" s="49"/>
      <c r="K1061" s="49"/>
      <c r="L1061" s="49"/>
      <c r="M1061" s="49"/>
      <c r="N1061" s="49"/>
      <c r="O1061" s="49"/>
      <c r="P1061" s="49"/>
      <c r="Q1061" s="49"/>
      <c r="R1061" s="49"/>
      <c r="S1061" s="49"/>
      <c r="T1061" s="49"/>
      <c r="U1061" s="49"/>
      <c r="V1061" s="49"/>
      <c r="W1061" s="49"/>
      <c r="X1061" s="49"/>
      <c r="Y1061" s="49"/>
      <c r="Z1061" s="49"/>
    </row>
    <row r="1062" ht="15.75" customHeight="1">
      <c r="A1062" s="49"/>
      <c r="B1062" s="49"/>
      <c r="C1062" s="49"/>
      <c r="D1062" s="49"/>
      <c r="E1062" s="49"/>
      <c r="F1062" s="49"/>
      <c r="G1062" s="49"/>
      <c r="H1062" s="49"/>
      <c r="I1062" s="49"/>
      <c r="J1062" s="49"/>
      <c r="K1062" s="49"/>
      <c r="L1062" s="49"/>
      <c r="M1062" s="49"/>
      <c r="N1062" s="49"/>
      <c r="O1062" s="49"/>
      <c r="P1062" s="49"/>
      <c r="Q1062" s="49"/>
      <c r="R1062" s="49"/>
      <c r="S1062" s="49"/>
      <c r="T1062" s="49"/>
      <c r="U1062" s="49"/>
      <c r="V1062" s="49"/>
      <c r="W1062" s="49"/>
      <c r="X1062" s="49"/>
      <c r="Y1062" s="49"/>
      <c r="Z1062" s="49"/>
    </row>
    <row r="1063" ht="15.75" customHeight="1">
      <c r="A1063" s="49"/>
      <c r="B1063" s="49"/>
      <c r="C1063" s="49"/>
      <c r="D1063" s="49"/>
      <c r="E1063" s="49"/>
      <c r="F1063" s="49"/>
      <c r="G1063" s="49"/>
      <c r="H1063" s="49"/>
      <c r="I1063" s="49"/>
      <c r="J1063" s="49"/>
      <c r="K1063" s="49"/>
      <c r="L1063" s="49"/>
      <c r="M1063" s="49"/>
      <c r="N1063" s="49"/>
      <c r="O1063" s="49"/>
      <c r="P1063" s="49"/>
      <c r="Q1063" s="49"/>
      <c r="R1063" s="49"/>
      <c r="S1063" s="49"/>
      <c r="T1063" s="49"/>
      <c r="U1063" s="49"/>
      <c r="V1063" s="49"/>
      <c r="W1063" s="49"/>
      <c r="X1063" s="49"/>
      <c r="Y1063" s="49"/>
      <c r="Z1063" s="49"/>
    </row>
    <row r="1064" ht="15.75" customHeight="1">
      <c r="A1064" s="49"/>
      <c r="B1064" s="49"/>
      <c r="C1064" s="49"/>
      <c r="D1064" s="49"/>
      <c r="E1064" s="49"/>
      <c r="F1064" s="49"/>
      <c r="G1064" s="49"/>
      <c r="H1064" s="49"/>
      <c r="I1064" s="49"/>
      <c r="J1064" s="49"/>
      <c r="K1064" s="49"/>
      <c r="L1064" s="49"/>
      <c r="M1064" s="49"/>
      <c r="N1064" s="49"/>
      <c r="O1064" s="49"/>
      <c r="P1064" s="49"/>
      <c r="Q1064" s="49"/>
      <c r="R1064" s="49"/>
      <c r="S1064" s="49"/>
      <c r="T1064" s="49"/>
      <c r="U1064" s="49"/>
      <c r="V1064" s="49"/>
      <c r="W1064" s="49"/>
      <c r="X1064" s="49"/>
      <c r="Y1064" s="49"/>
      <c r="Z1064" s="49"/>
    </row>
    <row r="1065" ht="15.75" customHeight="1">
      <c r="A1065" s="49"/>
      <c r="B1065" s="49"/>
      <c r="C1065" s="49"/>
      <c r="D1065" s="49"/>
      <c r="E1065" s="49"/>
      <c r="F1065" s="49"/>
      <c r="G1065" s="49"/>
      <c r="H1065" s="49"/>
      <c r="I1065" s="49"/>
      <c r="J1065" s="49"/>
      <c r="K1065" s="49"/>
      <c r="L1065" s="49"/>
      <c r="M1065" s="49"/>
      <c r="N1065" s="49"/>
      <c r="O1065" s="49"/>
      <c r="P1065" s="49"/>
      <c r="Q1065" s="49"/>
      <c r="R1065" s="49"/>
      <c r="S1065" s="49"/>
      <c r="T1065" s="49"/>
      <c r="U1065" s="49"/>
      <c r="V1065" s="49"/>
      <c r="W1065" s="49"/>
      <c r="X1065" s="49"/>
      <c r="Y1065" s="49"/>
      <c r="Z1065" s="49"/>
    </row>
    <row r="1066" ht="15.75" customHeight="1">
      <c r="A1066" s="49"/>
      <c r="B1066" s="49"/>
      <c r="C1066" s="49"/>
      <c r="D1066" s="49"/>
      <c r="E1066" s="49"/>
      <c r="F1066" s="49"/>
      <c r="G1066" s="49"/>
      <c r="H1066" s="49"/>
      <c r="I1066" s="49"/>
      <c r="J1066" s="49"/>
      <c r="K1066" s="49"/>
      <c r="L1066" s="49"/>
      <c r="M1066" s="49"/>
      <c r="N1066" s="49"/>
      <c r="O1066" s="49"/>
      <c r="P1066" s="49"/>
      <c r="Q1066" s="49"/>
      <c r="R1066" s="49"/>
      <c r="S1066" s="49"/>
      <c r="T1066" s="49"/>
      <c r="U1066" s="49"/>
      <c r="V1066" s="49"/>
      <c r="W1066" s="49"/>
      <c r="X1066" s="49"/>
      <c r="Y1066" s="49"/>
      <c r="Z1066" s="49"/>
    </row>
    <row r="1067" ht="15.75" customHeight="1">
      <c r="A1067" s="49"/>
      <c r="B1067" s="49"/>
      <c r="C1067" s="49"/>
      <c r="D1067" s="49"/>
      <c r="E1067" s="49"/>
      <c r="F1067" s="49"/>
      <c r="G1067" s="49"/>
      <c r="H1067" s="49"/>
      <c r="I1067" s="49"/>
      <c r="J1067" s="49"/>
      <c r="K1067" s="49"/>
      <c r="L1067" s="49"/>
      <c r="M1067" s="49"/>
      <c r="N1067" s="49"/>
      <c r="O1067" s="49"/>
      <c r="P1067" s="49"/>
      <c r="Q1067" s="49"/>
      <c r="R1067" s="49"/>
      <c r="S1067" s="49"/>
      <c r="T1067" s="49"/>
      <c r="U1067" s="49"/>
      <c r="V1067" s="49"/>
      <c r="W1067" s="49"/>
      <c r="X1067" s="49"/>
      <c r="Y1067" s="49"/>
      <c r="Z1067" s="49"/>
    </row>
    <row r="1068" ht="15.75" customHeight="1">
      <c r="A1068" s="49"/>
      <c r="B1068" s="49"/>
      <c r="C1068" s="49"/>
      <c r="D1068" s="49"/>
      <c r="E1068" s="49"/>
      <c r="F1068" s="49"/>
      <c r="G1068" s="49"/>
      <c r="H1068" s="49"/>
      <c r="I1068" s="49"/>
      <c r="J1068" s="49"/>
      <c r="K1068" s="49"/>
      <c r="L1068" s="49"/>
      <c r="M1068" s="49"/>
      <c r="N1068" s="49"/>
      <c r="O1068" s="49"/>
      <c r="P1068" s="49"/>
      <c r="Q1068" s="49"/>
      <c r="R1068" s="49"/>
      <c r="S1068" s="49"/>
      <c r="T1068" s="49"/>
      <c r="U1068" s="49"/>
      <c r="V1068" s="49"/>
      <c r="W1068" s="49"/>
      <c r="X1068" s="49"/>
      <c r="Y1068" s="49"/>
      <c r="Z1068" s="49"/>
    </row>
    <row r="1069" ht="15.75" customHeight="1">
      <c r="A1069" s="49"/>
      <c r="B1069" s="49"/>
      <c r="C1069" s="49"/>
      <c r="D1069" s="49"/>
      <c r="E1069" s="49"/>
      <c r="F1069" s="49"/>
      <c r="G1069" s="49"/>
      <c r="H1069" s="49"/>
      <c r="I1069" s="49"/>
      <c r="J1069" s="49"/>
      <c r="K1069" s="49"/>
      <c r="L1069" s="49"/>
      <c r="M1069" s="49"/>
      <c r="N1069" s="49"/>
      <c r="O1069" s="49"/>
      <c r="P1069" s="49"/>
      <c r="Q1069" s="49"/>
      <c r="R1069" s="49"/>
      <c r="S1069" s="49"/>
      <c r="T1069" s="49"/>
      <c r="U1069" s="49"/>
      <c r="V1069" s="49"/>
      <c r="W1069" s="49"/>
      <c r="X1069" s="49"/>
      <c r="Y1069" s="49"/>
      <c r="Z1069" s="49"/>
    </row>
    <row r="1070" ht="15.75" customHeight="1">
      <c r="A1070" s="49"/>
      <c r="B1070" s="49"/>
      <c r="C1070" s="49"/>
      <c r="D1070" s="49"/>
      <c r="E1070" s="49"/>
      <c r="F1070" s="49"/>
      <c r="G1070" s="49"/>
      <c r="H1070" s="49"/>
      <c r="I1070" s="49"/>
      <c r="J1070" s="49"/>
      <c r="K1070" s="49"/>
      <c r="L1070" s="49"/>
      <c r="M1070" s="49"/>
      <c r="N1070" s="49"/>
      <c r="O1070" s="49"/>
      <c r="P1070" s="49"/>
      <c r="Q1070" s="49"/>
      <c r="R1070" s="49"/>
      <c r="S1070" s="49"/>
      <c r="T1070" s="49"/>
      <c r="U1070" s="49"/>
      <c r="V1070" s="49"/>
      <c r="W1070" s="49"/>
      <c r="X1070" s="49"/>
      <c r="Y1070" s="49"/>
      <c r="Z1070" s="49"/>
    </row>
    <row r="1071" ht="15.75" customHeight="1">
      <c r="A1071" s="49"/>
      <c r="B1071" s="49"/>
      <c r="C1071" s="49"/>
      <c r="D1071" s="49"/>
      <c r="E1071" s="49"/>
      <c r="F1071" s="49"/>
      <c r="G1071" s="49"/>
      <c r="H1071" s="49"/>
      <c r="I1071" s="49"/>
      <c r="J1071" s="49"/>
      <c r="K1071" s="49"/>
      <c r="L1071" s="49"/>
      <c r="M1071" s="49"/>
      <c r="N1071" s="49"/>
      <c r="O1071" s="49"/>
      <c r="P1071" s="49"/>
      <c r="Q1071" s="49"/>
      <c r="R1071" s="49"/>
      <c r="S1071" s="49"/>
      <c r="T1071" s="49"/>
      <c r="U1071" s="49"/>
      <c r="V1071" s="49"/>
      <c r="W1071" s="49"/>
      <c r="X1071" s="49"/>
      <c r="Y1071" s="49"/>
      <c r="Z1071" s="49"/>
    </row>
    <row r="1072" ht="15.75" customHeight="1">
      <c r="A1072" s="49"/>
      <c r="B1072" s="49"/>
      <c r="C1072" s="49"/>
      <c r="D1072" s="49"/>
      <c r="E1072" s="49"/>
      <c r="F1072" s="49"/>
      <c r="G1072" s="49"/>
      <c r="H1072" s="49"/>
      <c r="I1072" s="49"/>
      <c r="J1072" s="49"/>
      <c r="K1072" s="49"/>
      <c r="L1072" s="49"/>
      <c r="M1072" s="49"/>
      <c r="N1072" s="49"/>
      <c r="O1072" s="49"/>
      <c r="P1072" s="49"/>
      <c r="Q1072" s="49"/>
      <c r="R1072" s="49"/>
      <c r="S1072" s="49"/>
      <c r="T1072" s="49"/>
      <c r="U1072" s="49"/>
      <c r="V1072" s="49"/>
      <c r="W1072" s="49"/>
      <c r="X1072" s="49"/>
      <c r="Y1072" s="49"/>
      <c r="Z1072" s="49"/>
    </row>
    <row r="1073" ht="15.75" customHeight="1">
      <c r="A1073" s="49"/>
      <c r="B1073" s="49"/>
      <c r="C1073" s="49"/>
      <c r="D1073" s="49"/>
      <c r="E1073" s="49"/>
      <c r="F1073" s="49"/>
      <c r="G1073" s="49"/>
      <c r="H1073" s="49"/>
      <c r="I1073" s="49"/>
      <c r="J1073" s="49"/>
      <c r="K1073" s="49"/>
      <c r="L1073" s="49"/>
      <c r="M1073" s="49"/>
      <c r="N1073" s="49"/>
      <c r="O1073" s="49"/>
      <c r="P1073" s="49"/>
      <c r="Q1073" s="49"/>
      <c r="R1073" s="49"/>
      <c r="S1073" s="49"/>
      <c r="T1073" s="49"/>
      <c r="U1073" s="49"/>
      <c r="V1073" s="49"/>
      <c r="W1073" s="49"/>
      <c r="X1073" s="49"/>
      <c r="Y1073" s="49"/>
      <c r="Z1073" s="49"/>
    </row>
    <row r="1074" ht="15.75" customHeight="1">
      <c r="A1074" s="49"/>
      <c r="B1074" s="49"/>
      <c r="C1074" s="49"/>
      <c r="D1074" s="49"/>
      <c r="E1074" s="49"/>
      <c r="F1074" s="49"/>
      <c r="G1074" s="49"/>
      <c r="H1074" s="49"/>
      <c r="I1074" s="49"/>
      <c r="J1074" s="49"/>
      <c r="K1074" s="49"/>
      <c r="L1074" s="49"/>
      <c r="M1074" s="49"/>
      <c r="N1074" s="49"/>
      <c r="O1074" s="49"/>
      <c r="P1074" s="49"/>
      <c r="Q1074" s="49"/>
      <c r="R1074" s="49"/>
      <c r="S1074" s="49"/>
      <c r="T1074" s="49"/>
      <c r="U1074" s="49"/>
      <c r="V1074" s="49"/>
      <c r="W1074" s="49"/>
      <c r="X1074" s="49"/>
      <c r="Y1074" s="49"/>
      <c r="Z1074" s="49"/>
    </row>
    <row r="1075" ht="15.75" customHeight="1">
      <c r="A1075" s="49"/>
      <c r="B1075" s="49"/>
      <c r="C1075" s="49"/>
      <c r="D1075" s="49"/>
      <c r="E1075" s="49"/>
      <c r="F1075" s="49"/>
      <c r="G1075" s="49"/>
      <c r="H1075" s="49"/>
      <c r="I1075" s="49"/>
      <c r="J1075" s="49"/>
      <c r="K1075" s="49"/>
      <c r="L1075" s="49"/>
      <c r="M1075" s="49"/>
      <c r="N1075" s="49"/>
      <c r="O1075" s="49"/>
      <c r="P1075" s="49"/>
      <c r="Q1075" s="49"/>
      <c r="R1075" s="49"/>
      <c r="S1075" s="49"/>
      <c r="T1075" s="49"/>
      <c r="U1075" s="49"/>
      <c r="V1075" s="49"/>
      <c r="W1075" s="49"/>
      <c r="X1075" s="49"/>
      <c r="Y1075" s="49"/>
      <c r="Z1075" s="49"/>
    </row>
    <row r="1076" ht="15.75" customHeight="1">
      <c r="A1076" s="49"/>
      <c r="B1076" s="49"/>
      <c r="C1076" s="49"/>
      <c r="D1076" s="49"/>
      <c r="E1076" s="49"/>
      <c r="F1076" s="49"/>
      <c r="G1076" s="49"/>
      <c r="H1076" s="49"/>
      <c r="I1076" s="49"/>
      <c r="J1076" s="49"/>
      <c r="K1076" s="49"/>
      <c r="L1076" s="49"/>
      <c r="M1076" s="49"/>
      <c r="N1076" s="49"/>
      <c r="O1076" s="49"/>
      <c r="P1076" s="49"/>
      <c r="Q1076" s="49"/>
      <c r="R1076" s="49"/>
      <c r="S1076" s="49"/>
      <c r="T1076" s="49"/>
      <c r="U1076" s="49"/>
      <c r="V1076" s="49"/>
      <c r="W1076" s="49"/>
      <c r="X1076" s="49"/>
      <c r="Y1076" s="49"/>
      <c r="Z1076" s="49"/>
    </row>
    <row r="1077" ht="15.75" customHeight="1">
      <c r="A1077" s="49"/>
      <c r="B1077" s="49"/>
      <c r="C1077" s="49"/>
      <c r="D1077" s="49"/>
      <c r="E1077" s="49"/>
      <c r="F1077" s="49"/>
      <c r="G1077" s="49"/>
      <c r="H1077" s="49"/>
      <c r="I1077" s="49"/>
      <c r="J1077" s="49"/>
      <c r="K1077" s="49"/>
      <c r="L1077" s="49"/>
      <c r="M1077" s="49"/>
      <c r="N1077" s="49"/>
      <c r="O1077" s="49"/>
      <c r="P1077" s="49"/>
      <c r="Q1077" s="49"/>
      <c r="R1077" s="49"/>
      <c r="S1077" s="49"/>
      <c r="T1077" s="49"/>
      <c r="U1077" s="49"/>
      <c r="V1077" s="49"/>
      <c r="W1077" s="49"/>
      <c r="X1077" s="49"/>
      <c r="Y1077" s="49"/>
      <c r="Z1077" s="49"/>
    </row>
    <row r="1078" ht="15.75" customHeight="1">
      <c r="A1078" s="49"/>
      <c r="B1078" s="49"/>
      <c r="C1078" s="49"/>
      <c r="D1078" s="49"/>
      <c r="E1078" s="49"/>
      <c r="F1078" s="49"/>
      <c r="G1078" s="49"/>
      <c r="H1078" s="49"/>
      <c r="I1078" s="49"/>
      <c r="J1078" s="49"/>
      <c r="K1078" s="49"/>
      <c r="L1078" s="49"/>
      <c r="M1078" s="49"/>
      <c r="N1078" s="49"/>
      <c r="O1078" s="49"/>
      <c r="P1078" s="49"/>
      <c r="Q1078" s="49"/>
      <c r="R1078" s="49"/>
      <c r="S1078" s="49"/>
      <c r="T1078" s="49"/>
      <c r="U1078" s="49"/>
      <c r="V1078" s="49"/>
      <c r="W1078" s="49"/>
      <c r="X1078" s="49"/>
      <c r="Y1078" s="49"/>
      <c r="Z1078" s="49"/>
    </row>
    <row r="1079" ht="15.75" customHeight="1">
      <c r="A1079" s="49"/>
      <c r="B1079" s="49"/>
      <c r="C1079" s="49"/>
      <c r="D1079" s="49"/>
      <c r="E1079" s="49"/>
      <c r="F1079" s="49"/>
      <c r="G1079" s="49"/>
      <c r="H1079" s="49"/>
      <c r="I1079" s="49"/>
      <c r="J1079" s="49"/>
      <c r="K1079" s="49"/>
      <c r="L1079" s="49"/>
      <c r="M1079" s="49"/>
      <c r="N1079" s="49"/>
      <c r="O1079" s="49"/>
      <c r="P1079" s="49"/>
      <c r="Q1079" s="49"/>
      <c r="R1079" s="49"/>
      <c r="S1079" s="49"/>
      <c r="T1079" s="49"/>
      <c r="U1079" s="49"/>
      <c r="V1079" s="49"/>
      <c r="W1079" s="49"/>
      <c r="X1079" s="49"/>
      <c r="Y1079" s="49"/>
      <c r="Z1079" s="49"/>
    </row>
    <row r="1080" ht="15.75" customHeight="1">
      <c r="A1080" s="49"/>
      <c r="B1080" s="49"/>
      <c r="C1080" s="49"/>
      <c r="D1080" s="49"/>
      <c r="E1080" s="49"/>
      <c r="F1080" s="49"/>
      <c r="G1080" s="49"/>
      <c r="H1080" s="49"/>
      <c r="I1080" s="49"/>
      <c r="J1080" s="49"/>
      <c r="K1080" s="49"/>
      <c r="L1080" s="49"/>
      <c r="M1080" s="49"/>
      <c r="N1080" s="49"/>
      <c r="O1080" s="49"/>
      <c r="P1080" s="49"/>
      <c r="Q1080" s="49"/>
      <c r="R1080" s="49"/>
      <c r="S1080" s="49"/>
      <c r="T1080" s="49"/>
      <c r="U1080" s="49"/>
      <c r="V1080" s="49"/>
      <c r="W1080" s="49"/>
      <c r="X1080" s="49"/>
      <c r="Y1080" s="49"/>
      <c r="Z1080" s="49"/>
    </row>
    <row r="1081" ht="15.75" customHeight="1">
      <c r="A1081" s="49"/>
      <c r="B1081" s="49"/>
      <c r="C1081" s="49"/>
      <c r="D1081" s="49"/>
      <c r="E1081" s="49"/>
      <c r="F1081" s="49"/>
      <c r="G1081" s="49"/>
      <c r="H1081" s="49"/>
      <c r="I1081" s="49"/>
      <c r="J1081" s="49"/>
      <c r="K1081" s="49"/>
      <c r="L1081" s="49"/>
      <c r="M1081" s="49"/>
      <c r="N1081" s="49"/>
      <c r="O1081" s="49"/>
      <c r="P1081" s="49"/>
      <c r="Q1081" s="49"/>
      <c r="R1081" s="49"/>
      <c r="S1081" s="49"/>
      <c r="T1081" s="49"/>
      <c r="U1081" s="49"/>
      <c r="V1081" s="49"/>
      <c r="W1081" s="49"/>
      <c r="X1081" s="49"/>
      <c r="Y1081" s="49"/>
      <c r="Z1081" s="49"/>
    </row>
    <row r="1082" ht="15.75" customHeight="1">
      <c r="A1082" s="49"/>
      <c r="B1082" s="49"/>
      <c r="C1082" s="49"/>
      <c r="D1082" s="49"/>
      <c r="E1082" s="49"/>
      <c r="F1082" s="49"/>
      <c r="G1082" s="49"/>
      <c r="H1082" s="49"/>
      <c r="I1082" s="49"/>
      <c r="J1082" s="49"/>
      <c r="K1082" s="49"/>
      <c r="L1082" s="49"/>
      <c r="M1082" s="49"/>
      <c r="N1082" s="49"/>
      <c r="O1082" s="49"/>
      <c r="P1082" s="49"/>
      <c r="Q1082" s="49"/>
      <c r="R1082" s="49"/>
      <c r="S1082" s="49"/>
      <c r="T1082" s="49"/>
      <c r="U1082" s="49"/>
      <c r="V1082" s="49"/>
      <c r="W1082" s="49"/>
      <c r="X1082" s="49"/>
      <c r="Y1082" s="49"/>
      <c r="Z1082" s="49"/>
    </row>
    <row r="1083" ht="15.75" customHeight="1">
      <c r="A1083" s="49"/>
      <c r="B1083" s="49"/>
      <c r="C1083" s="49"/>
      <c r="D1083" s="49"/>
      <c r="E1083" s="49"/>
      <c r="F1083" s="49"/>
      <c r="G1083" s="49"/>
      <c r="H1083" s="49"/>
      <c r="I1083" s="49"/>
      <c r="J1083" s="49"/>
      <c r="K1083" s="49"/>
      <c r="L1083" s="49"/>
      <c r="M1083" s="49"/>
      <c r="N1083" s="49"/>
      <c r="O1083" s="49"/>
      <c r="P1083" s="49"/>
      <c r="Q1083" s="49"/>
      <c r="R1083" s="49"/>
      <c r="S1083" s="49"/>
      <c r="T1083" s="49"/>
      <c r="U1083" s="49"/>
      <c r="V1083" s="49"/>
      <c r="W1083" s="49"/>
      <c r="X1083" s="49"/>
      <c r="Y1083" s="49"/>
      <c r="Z1083" s="49"/>
    </row>
    <row r="1084" ht="15.75" customHeight="1">
      <c r="A1084" s="49"/>
      <c r="B1084" s="49"/>
      <c r="C1084" s="49"/>
      <c r="D1084" s="49"/>
      <c r="E1084" s="49"/>
      <c r="F1084" s="49"/>
      <c r="G1084" s="49"/>
      <c r="H1084" s="49"/>
      <c r="I1084" s="49"/>
      <c r="J1084" s="49"/>
      <c r="K1084" s="49"/>
      <c r="L1084" s="49"/>
      <c r="M1084" s="49"/>
      <c r="N1084" s="49"/>
      <c r="O1084" s="49"/>
      <c r="P1084" s="49"/>
      <c r="Q1084" s="49"/>
      <c r="R1084" s="49"/>
      <c r="S1084" s="49"/>
      <c r="T1084" s="49"/>
      <c r="U1084" s="49"/>
      <c r="V1084" s="49"/>
      <c r="W1084" s="49"/>
      <c r="X1084" s="49"/>
      <c r="Y1084" s="49"/>
      <c r="Z1084" s="49"/>
    </row>
    <row r="1085" ht="15.75" customHeight="1">
      <c r="A1085" s="49"/>
      <c r="B1085" s="49"/>
      <c r="C1085" s="49"/>
      <c r="D1085" s="49"/>
      <c r="E1085" s="49"/>
      <c r="F1085" s="49"/>
      <c r="G1085" s="49"/>
      <c r="H1085" s="49"/>
      <c r="I1085" s="49"/>
      <c r="J1085" s="49"/>
      <c r="K1085" s="49"/>
      <c r="L1085" s="49"/>
      <c r="M1085" s="49"/>
      <c r="N1085" s="49"/>
      <c r="O1085" s="49"/>
      <c r="P1085" s="49"/>
      <c r="Q1085" s="49"/>
      <c r="R1085" s="49"/>
      <c r="S1085" s="49"/>
      <c r="T1085" s="49"/>
      <c r="U1085" s="49"/>
      <c r="V1085" s="49"/>
      <c r="W1085" s="49"/>
      <c r="X1085" s="49"/>
      <c r="Y1085" s="49"/>
      <c r="Z1085" s="49"/>
    </row>
    <row r="1086" ht="15.75" customHeight="1">
      <c r="A1086" s="49"/>
      <c r="B1086" s="49"/>
      <c r="C1086" s="49"/>
      <c r="D1086" s="49"/>
      <c r="E1086" s="49"/>
      <c r="F1086" s="49"/>
      <c r="G1086" s="49"/>
      <c r="H1086" s="49"/>
      <c r="I1086" s="49"/>
      <c r="J1086" s="49"/>
      <c r="K1086" s="49"/>
      <c r="L1086" s="49"/>
      <c r="M1086" s="49"/>
      <c r="N1086" s="49"/>
      <c r="O1086" s="49"/>
      <c r="P1086" s="49"/>
      <c r="Q1086" s="49"/>
      <c r="R1086" s="49"/>
      <c r="S1086" s="49"/>
      <c r="T1086" s="49"/>
      <c r="U1086" s="49"/>
      <c r="V1086" s="49"/>
      <c r="W1086" s="49"/>
      <c r="X1086" s="49"/>
      <c r="Y1086" s="49"/>
      <c r="Z1086" s="49"/>
    </row>
    <row r="1087" ht="15.75" customHeight="1">
      <c r="A1087" s="49"/>
      <c r="B1087" s="49"/>
      <c r="C1087" s="49"/>
      <c r="D1087" s="49"/>
      <c r="E1087" s="49"/>
      <c r="F1087" s="49"/>
      <c r="G1087" s="49"/>
      <c r="H1087" s="49"/>
      <c r="I1087" s="49"/>
      <c r="J1087" s="49"/>
      <c r="K1087" s="49"/>
      <c r="L1087" s="49"/>
      <c r="M1087" s="49"/>
      <c r="N1087" s="49"/>
      <c r="O1087" s="49"/>
      <c r="P1087" s="49"/>
      <c r="Q1087" s="49"/>
      <c r="R1087" s="49"/>
      <c r="S1087" s="49"/>
      <c r="T1087" s="49"/>
      <c r="U1087" s="49"/>
      <c r="V1087" s="49"/>
      <c r="W1087" s="49"/>
      <c r="X1087" s="49"/>
      <c r="Y1087" s="49"/>
      <c r="Z1087" s="49"/>
    </row>
    <row r="1088" ht="15.75" customHeight="1">
      <c r="A1088" s="49"/>
      <c r="B1088" s="49"/>
      <c r="C1088" s="49"/>
      <c r="D1088" s="49"/>
      <c r="E1088" s="49"/>
      <c r="F1088" s="49"/>
      <c r="G1088" s="49"/>
      <c r="H1088" s="49"/>
      <c r="I1088" s="49"/>
      <c r="J1088" s="49"/>
      <c r="K1088" s="49"/>
      <c r="L1088" s="49"/>
      <c r="M1088" s="49"/>
      <c r="N1088" s="49"/>
      <c r="O1088" s="49"/>
      <c r="P1088" s="49"/>
      <c r="Q1088" s="49"/>
      <c r="R1088" s="49"/>
      <c r="S1088" s="49"/>
      <c r="T1088" s="49"/>
      <c r="U1088" s="49"/>
      <c r="V1088" s="49"/>
      <c r="W1088" s="49"/>
      <c r="X1088" s="49"/>
      <c r="Y1088" s="49"/>
      <c r="Z1088" s="49"/>
    </row>
    <row r="1089" ht="15.75" customHeight="1">
      <c r="A1089" s="49"/>
      <c r="B1089" s="49"/>
      <c r="C1089" s="49"/>
      <c r="D1089" s="49"/>
      <c r="E1089" s="49"/>
      <c r="F1089" s="49"/>
      <c r="G1089" s="49"/>
      <c r="H1089" s="49"/>
      <c r="I1089" s="49"/>
      <c r="J1089" s="49"/>
      <c r="K1089" s="49"/>
      <c r="L1089" s="49"/>
      <c r="M1089" s="49"/>
      <c r="N1089" s="49"/>
      <c r="O1089" s="49"/>
      <c r="P1089" s="49"/>
      <c r="Q1089" s="49"/>
      <c r="R1089" s="49"/>
      <c r="S1089" s="49"/>
      <c r="T1089" s="49"/>
      <c r="U1089" s="49"/>
      <c r="V1089" s="49"/>
      <c r="W1089" s="49"/>
      <c r="X1089" s="49"/>
      <c r="Y1089" s="49"/>
      <c r="Z1089" s="49"/>
    </row>
    <row r="1090" ht="15.75" customHeight="1">
      <c r="A1090" s="49"/>
      <c r="B1090" s="49"/>
      <c r="C1090" s="49"/>
      <c r="D1090" s="49"/>
      <c r="E1090" s="49"/>
      <c r="F1090" s="49"/>
      <c r="G1090" s="49"/>
      <c r="H1090" s="49"/>
      <c r="I1090" s="49"/>
      <c r="J1090" s="49"/>
      <c r="K1090" s="49"/>
      <c r="L1090" s="49"/>
      <c r="M1090" s="49"/>
      <c r="N1090" s="49"/>
      <c r="O1090" s="49"/>
      <c r="P1090" s="49"/>
      <c r="Q1090" s="49"/>
      <c r="R1090" s="49"/>
      <c r="S1090" s="49"/>
      <c r="T1090" s="49"/>
      <c r="U1090" s="49"/>
      <c r="V1090" s="49"/>
      <c r="W1090" s="49"/>
      <c r="X1090" s="49"/>
      <c r="Y1090" s="49"/>
      <c r="Z1090" s="49"/>
    </row>
    <row r="1091" ht="15.75" customHeight="1">
      <c r="A1091" s="49"/>
      <c r="B1091" s="49"/>
      <c r="C1091" s="49"/>
      <c r="D1091" s="49"/>
      <c r="E1091" s="49"/>
      <c r="F1091" s="49"/>
      <c r="G1091" s="49"/>
      <c r="H1091" s="49"/>
      <c r="I1091" s="49"/>
      <c r="J1091" s="49"/>
      <c r="K1091" s="49"/>
      <c r="L1091" s="49"/>
      <c r="M1091" s="49"/>
      <c r="N1091" s="49"/>
      <c r="O1091" s="49"/>
      <c r="P1091" s="49"/>
      <c r="Q1091" s="49"/>
      <c r="R1091" s="49"/>
      <c r="S1091" s="49"/>
      <c r="T1091" s="49"/>
      <c r="U1091" s="49"/>
      <c r="V1091" s="49"/>
      <c r="W1091" s="49"/>
      <c r="X1091" s="49"/>
      <c r="Y1091" s="49"/>
      <c r="Z1091" s="49"/>
    </row>
    <row r="1092" ht="15.75" customHeight="1">
      <c r="A1092" s="49"/>
      <c r="B1092" s="49"/>
      <c r="C1092" s="49"/>
      <c r="D1092" s="49"/>
      <c r="E1092" s="49"/>
      <c r="F1092" s="49"/>
      <c r="G1092" s="49"/>
      <c r="H1092" s="49"/>
      <c r="I1092" s="49"/>
      <c r="J1092" s="49"/>
      <c r="K1092" s="49"/>
      <c r="L1092" s="49"/>
      <c r="M1092" s="49"/>
      <c r="N1092" s="49"/>
      <c r="O1092" s="49"/>
      <c r="P1092" s="49"/>
      <c r="Q1092" s="49"/>
      <c r="R1092" s="49"/>
      <c r="S1092" s="49"/>
      <c r="T1092" s="49"/>
      <c r="U1092" s="49"/>
      <c r="V1092" s="49"/>
      <c r="W1092" s="49"/>
      <c r="X1092" s="49"/>
      <c r="Y1092" s="49"/>
      <c r="Z1092" s="49"/>
    </row>
    <row r="1093" ht="15.75" customHeight="1">
      <c r="A1093" s="49"/>
      <c r="B1093" s="49"/>
      <c r="C1093" s="49"/>
      <c r="D1093" s="49"/>
      <c r="E1093" s="49"/>
      <c r="F1093" s="49"/>
      <c r="G1093" s="49"/>
      <c r="H1093" s="49"/>
      <c r="I1093" s="49"/>
      <c r="J1093" s="49"/>
      <c r="K1093" s="49"/>
      <c r="L1093" s="49"/>
      <c r="M1093" s="49"/>
      <c r="N1093" s="49"/>
      <c r="O1093" s="49"/>
      <c r="P1093" s="49"/>
      <c r="Q1093" s="49"/>
      <c r="R1093" s="49"/>
      <c r="S1093" s="49"/>
      <c r="T1093" s="49"/>
      <c r="U1093" s="49"/>
      <c r="V1093" s="49"/>
      <c r="W1093" s="49"/>
      <c r="X1093" s="49"/>
      <c r="Y1093" s="49"/>
      <c r="Z1093" s="49"/>
    </row>
    <row r="1094" ht="15.75" customHeight="1">
      <c r="A1094" s="49"/>
      <c r="B1094" s="49"/>
      <c r="C1094" s="49"/>
      <c r="D1094" s="49"/>
      <c r="E1094" s="49"/>
      <c r="F1094" s="49"/>
      <c r="G1094" s="49"/>
      <c r="H1094" s="49"/>
      <c r="I1094" s="49"/>
      <c r="J1094" s="49"/>
      <c r="K1094" s="49"/>
      <c r="L1094" s="49"/>
      <c r="M1094" s="49"/>
      <c r="N1094" s="49"/>
      <c r="O1094" s="49"/>
      <c r="P1094" s="49"/>
      <c r="Q1094" s="49"/>
      <c r="R1094" s="49"/>
      <c r="S1094" s="49"/>
      <c r="T1094" s="49"/>
      <c r="U1094" s="49"/>
      <c r="V1094" s="49"/>
      <c r="W1094" s="49"/>
      <c r="X1094" s="49"/>
      <c r="Y1094" s="49"/>
      <c r="Z1094" s="49"/>
    </row>
    <row r="1095" ht="15.75" customHeight="1">
      <c r="A1095" s="49"/>
      <c r="B1095" s="49"/>
      <c r="C1095" s="49"/>
      <c r="D1095" s="49"/>
      <c r="E1095" s="49"/>
      <c r="F1095" s="49"/>
      <c r="G1095" s="49"/>
      <c r="H1095" s="49"/>
      <c r="I1095" s="49"/>
      <c r="J1095" s="49"/>
      <c r="K1095" s="49"/>
      <c r="L1095" s="49"/>
      <c r="M1095" s="49"/>
      <c r="N1095" s="49"/>
      <c r="O1095" s="49"/>
      <c r="P1095" s="49"/>
      <c r="Q1095" s="49"/>
      <c r="R1095" s="49"/>
      <c r="S1095" s="49"/>
      <c r="T1095" s="49"/>
      <c r="U1095" s="49"/>
      <c r="V1095" s="49"/>
      <c r="W1095" s="49"/>
      <c r="X1095" s="49"/>
      <c r="Y1095" s="49"/>
      <c r="Z1095" s="49"/>
    </row>
    <row r="1096" ht="15.75" customHeight="1">
      <c r="A1096" s="49"/>
      <c r="B1096" s="49"/>
      <c r="C1096" s="49"/>
      <c r="D1096" s="49"/>
      <c r="E1096" s="49"/>
      <c r="F1096" s="49"/>
      <c r="G1096" s="49"/>
      <c r="H1096" s="49"/>
      <c r="I1096" s="49"/>
      <c r="J1096" s="49"/>
      <c r="K1096" s="49"/>
      <c r="L1096" s="49"/>
      <c r="M1096" s="49"/>
      <c r="N1096" s="49"/>
      <c r="O1096" s="49"/>
      <c r="P1096" s="49"/>
      <c r="Q1096" s="49"/>
      <c r="R1096" s="49"/>
      <c r="S1096" s="49"/>
      <c r="T1096" s="49"/>
      <c r="U1096" s="49"/>
      <c r="V1096" s="49"/>
      <c r="W1096" s="49"/>
      <c r="X1096" s="49"/>
      <c r="Y1096" s="49"/>
      <c r="Z1096" s="49"/>
    </row>
    <row r="1097" ht="15.75" customHeight="1">
      <c r="A1097" s="49"/>
      <c r="B1097" s="49"/>
      <c r="C1097" s="49"/>
      <c r="D1097" s="49"/>
      <c r="E1097" s="49"/>
      <c r="F1097" s="49"/>
      <c r="G1097" s="49"/>
      <c r="H1097" s="49"/>
      <c r="I1097" s="49"/>
      <c r="J1097" s="49"/>
      <c r="K1097" s="49"/>
      <c r="L1097" s="49"/>
      <c r="M1097" s="49"/>
      <c r="N1097" s="49"/>
      <c r="O1097" s="49"/>
      <c r="P1097" s="49"/>
      <c r="Q1097" s="49"/>
      <c r="R1097" s="49"/>
      <c r="S1097" s="49"/>
      <c r="T1097" s="49"/>
      <c r="U1097" s="49"/>
      <c r="V1097" s="49"/>
      <c r="W1097" s="49"/>
      <c r="X1097" s="49"/>
      <c r="Y1097" s="49"/>
      <c r="Z1097" s="49"/>
    </row>
    <row r="1098" ht="15.75" customHeight="1">
      <c r="A1098" s="49"/>
      <c r="B1098" s="49"/>
      <c r="C1098" s="49"/>
      <c r="D1098" s="49"/>
      <c r="E1098" s="49"/>
      <c r="F1098" s="49"/>
      <c r="G1098" s="49"/>
      <c r="H1098" s="49"/>
      <c r="I1098" s="49"/>
      <c r="J1098" s="49"/>
      <c r="K1098" s="49"/>
      <c r="L1098" s="49"/>
      <c r="M1098" s="49"/>
      <c r="N1098" s="49"/>
      <c r="O1098" s="49"/>
      <c r="P1098" s="49"/>
      <c r="Q1098" s="49"/>
      <c r="R1098" s="49"/>
      <c r="S1098" s="49"/>
      <c r="T1098" s="49"/>
      <c r="U1098" s="49"/>
      <c r="V1098" s="49"/>
      <c r="W1098" s="49"/>
      <c r="X1098" s="49"/>
      <c r="Y1098" s="49"/>
      <c r="Z1098" s="49"/>
    </row>
    <row r="1099" ht="15.75" customHeight="1">
      <c r="A1099" s="49"/>
      <c r="B1099" s="49"/>
      <c r="C1099" s="49"/>
      <c r="D1099" s="49"/>
      <c r="E1099" s="49"/>
      <c r="F1099" s="49"/>
      <c r="G1099" s="49"/>
      <c r="H1099" s="49"/>
      <c r="I1099" s="49"/>
      <c r="J1099" s="49"/>
      <c r="K1099" s="49"/>
      <c r="L1099" s="49"/>
      <c r="M1099" s="49"/>
      <c r="N1099" s="49"/>
      <c r="O1099" s="49"/>
      <c r="P1099" s="49"/>
      <c r="Q1099" s="49"/>
      <c r="R1099" s="49"/>
      <c r="S1099" s="49"/>
      <c r="T1099" s="49"/>
      <c r="U1099" s="49"/>
      <c r="V1099" s="49"/>
      <c r="W1099" s="49"/>
      <c r="X1099" s="49"/>
      <c r="Y1099" s="49"/>
      <c r="Z1099" s="49"/>
    </row>
    <row r="1100" ht="15.75" customHeight="1">
      <c r="A1100" s="49"/>
      <c r="B1100" s="49"/>
      <c r="C1100" s="49"/>
      <c r="D1100" s="49"/>
      <c r="E1100" s="49"/>
      <c r="F1100" s="49"/>
      <c r="G1100" s="49"/>
      <c r="H1100" s="49"/>
      <c r="I1100" s="49"/>
      <c r="J1100" s="49"/>
      <c r="K1100" s="49"/>
      <c r="L1100" s="49"/>
      <c r="M1100" s="49"/>
      <c r="N1100" s="49"/>
      <c r="O1100" s="49"/>
      <c r="P1100" s="49"/>
      <c r="Q1100" s="49"/>
      <c r="R1100" s="49"/>
      <c r="S1100" s="49"/>
      <c r="T1100" s="49"/>
      <c r="U1100" s="49"/>
      <c r="V1100" s="49"/>
      <c r="W1100" s="49"/>
      <c r="X1100" s="49"/>
      <c r="Y1100" s="49"/>
      <c r="Z1100" s="49"/>
    </row>
    <row r="1101" ht="15.75" customHeight="1">
      <c r="A1101" s="49"/>
      <c r="B1101" s="49"/>
      <c r="C1101" s="49"/>
      <c r="D1101" s="49"/>
      <c r="E1101" s="49"/>
      <c r="F1101" s="49"/>
      <c r="G1101" s="49"/>
      <c r="H1101" s="49"/>
      <c r="I1101" s="49"/>
      <c r="J1101" s="49"/>
      <c r="K1101" s="49"/>
      <c r="L1101" s="49"/>
      <c r="M1101" s="49"/>
      <c r="N1101" s="49"/>
      <c r="O1101" s="49"/>
      <c r="P1101" s="49"/>
      <c r="Q1101" s="49"/>
      <c r="R1101" s="49"/>
      <c r="S1101" s="49"/>
      <c r="T1101" s="49"/>
      <c r="U1101" s="49"/>
      <c r="V1101" s="49"/>
      <c r="W1101" s="49"/>
      <c r="X1101" s="49"/>
      <c r="Y1101" s="49"/>
      <c r="Z1101" s="49"/>
    </row>
    <row r="1102" ht="15.75" customHeight="1">
      <c r="A1102" s="49"/>
      <c r="B1102" s="49"/>
      <c r="C1102" s="49"/>
      <c r="D1102" s="49"/>
      <c r="E1102" s="49"/>
      <c r="F1102" s="49"/>
      <c r="G1102" s="49"/>
      <c r="H1102" s="49"/>
      <c r="I1102" s="49"/>
      <c r="J1102" s="49"/>
      <c r="K1102" s="49"/>
      <c r="L1102" s="49"/>
      <c r="M1102" s="49"/>
      <c r="N1102" s="49"/>
      <c r="O1102" s="49"/>
      <c r="P1102" s="49"/>
      <c r="Q1102" s="49"/>
      <c r="R1102" s="49"/>
      <c r="S1102" s="49"/>
      <c r="T1102" s="49"/>
      <c r="U1102" s="49"/>
      <c r="V1102" s="49"/>
      <c r="W1102" s="49"/>
      <c r="X1102" s="49"/>
      <c r="Y1102" s="49"/>
      <c r="Z1102" s="49"/>
    </row>
    <row r="1103" ht="15.75" customHeight="1">
      <c r="A1103" s="49"/>
      <c r="B1103" s="49"/>
      <c r="C1103" s="49"/>
      <c r="D1103" s="49"/>
      <c r="E1103" s="49"/>
      <c r="F1103" s="49"/>
      <c r="G1103" s="49"/>
      <c r="H1103" s="49"/>
      <c r="I1103" s="49"/>
      <c r="J1103" s="49"/>
      <c r="K1103" s="49"/>
      <c r="L1103" s="49"/>
      <c r="M1103" s="49"/>
      <c r="N1103" s="49"/>
      <c r="O1103" s="49"/>
      <c r="P1103" s="49"/>
      <c r="Q1103" s="49"/>
      <c r="R1103" s="49"/>
      <c r="S1103" s="49"/>
      <c r="T1103" s="49"/>
      <c r="U1103" s="49"/>
      <c r="V1103" s="49"/>
      <c r="W1103" s="49"/>
      <c r="X1103" s="49"/>
      <c r="Y1103" s="49"/>
      <c r="Z1103" s="49"/>
    </row>
    <row r="1104" ht="15.75" customHeight="1">
      <c r="A1104" s="49"/>
      <c r="B1104" s="49"/>
      <c r="C1104" s="49"/>
      <c r="D1104" s="49"/>
      <c r="E1104" s="49"/>
      <c r="F1104" s="49"/>
      <c r="G1104" s="49"/>
      <c r="H1104" s="49"/>
      <c r="I1104" s="49"/>
      <c r="J1104" s="49"/>
      <c r="K1104" s="49"/>
      <c r="L1104" s="49"/>
      <c r="M1104" s="49"/>
      <c r="N1104" s="49"/>
      <c r="O1104" s="49"/>
      <c r="P1104" s="49"/>
      <c r="Q1104" s="49"/>
      <c r="R1104" s="49"/>
      <c r="S1104" s="49"/>
      <c r="T1104" s="49"/>
      <c r="U1104" s="49"/>
      <c r="V1104" s="49"/>
      <c r="W1104" s="49"/>
      <c r="X1104" s="49"/>
      <c r="Y1104" s="49"/>
      <c r="Z1104" s="49"/>
    </row>
    <row r="1105" ht="15.75" customHeight="1">
      <c r="A1105" s="49"/>
      <c r="B1105" s="49"/>
      <c r="C1105" s="49"/>
      <c r="D1105" s="49"/>
      <c r="E1105" s="49"/>
      <c r="F1105" s="49"/>
      <c r="G1105" s="49"/>
      <c r="H1105" s="49"/>
      <c r="I1105" s="49"/>
      <c r="J1105" s="49"/>
      <c r="K1105" s="49"/>
      <c r="L1105" s="49"/>
      <c r="M1105" s="49"/>
      <c r="N1105" s="49"/>
      <c r="O1105" s="49"/>
      <c r="P1105" s="49"/>
      <c r="Q1105" s="49"/>
      <c r="R1105" s="49"/>
      <c r="S1105" s="49"/>
      <c r="T1105" s="49"/>
      <c r="U1105" s="49"/>
      <c r="V1105" s="49"/>
      <c r="W1105" s="49"/>
      <c r="X1105" s="49"/>
      <c r="Y1105" s="49"/>
      <c r="Z1105" s="49"/>
    </row>
    <row r="1106" ht="15.75" customHeight="1">
      <c r="A1106" s="49"/>
      <c r="B1106" s="49"/>
      <c r="C1106" s="49"/>
      <c r="D1106" s="49"/>
      <c r="E1106" s="49"/>
      <c r="F1106" s="49"/>
      <c r="G1106" s="49"/>
      <c r="H1106" s="49"/>
      <c r="I1106" s="49"/>
      <c r="J1106" s="49"/>
      <c r="K1106" s="49"/>
      <c r="L1106" s="49"/>
      <c r="M1106" s="49"/>
      <c r="N1106" s="49"/>
      <c r="O1106" s="49"/>
      <c r="P1106" s="49"/>
      <c r="Q1106" s="49"/>
      <c r="R1106" s="49"/>
      <c r="S1106" s="49"/>
      <c r="T1106" s="49"/>
      <c r="U1106" s="49"/>
      <c r="V1106" s="49"/>
      <c r="W1106" s="49"/>
      <c r="X1106" s="49"/>
      <c r="Y1106" s="49"/>
      <c r="Z1106" s="49"/>
    </row>
    <row r="1107" ht="15.75" customHeight="1">
      <c r="A1107" s="49"/>
      <c r="B1107" s="49"/>
      <c r="C1107" s="49"/>
      <c r="D1107" s="49"/>
      <c r="E1107" s="49"/>
      <c r="F1107" s="49"/>
      <c r="G1107" s="49"/>
      <c r="H1107" s="49"/>
      <c r="I1107" s="49"/>
      <c r="J1107" s="49"/>
      <c r="K1107" s="49"/>
      <c r="L1107" s="49"/>
      <c r="M1107" s="49"/>
      <c r="N1107" s="49"/>
      <c r="O1107" s="49"/>
      <c r="P1107" s="49"/>
      <c r="Q1107" s="49"/>
      <c r="R1107" s="49"/>
      <c r="S1107" s="49"/>
      <c r="T1107" s="49"/>
      <c r="U1107" s="49"/>
      <c r="V1107" s="49"/>
      <c r="W1107" s="49"/>
      <c r="X1107" s="49"/>
      <c r="Y1107" s="49"/>
      <c r="Z1107" s="49"/>
    </row>
    <row r="1108" ht="15.75" customHeight="1">
      <c r="A1108" s="49"/>
      <c r="B1108" s="49"/>
      <c r="C1108" s="49"/>
      <c r="D1108" s="49"/>
      <c r="E1108" s="49"/>
      <c r="F1108" s="49"/>
      <c r="G1108" s="49"/>
      <c r="H1108" s="49"/>
      <c r="I1108" s="49"/>
      <c r="J1108" s="49"/>
      <c r="K1108" s="49"/>
      <c r="L1108" s="49"/>
      <c r="M1108" s="49"/>
      <c r="N1108" s="49"/>
      <c r="O1108" s="49"/>
      <c r="P1108" s="49"/>
      <c r="Q1108" s="49"/>
      <c r="R1108" s="49"/>
      <c r="S1108" s="49"/>
      <c r="T1108" s="49"/>
      <c r="U1108" s="49"/>
      <c r="V1108" s="49"/>
      <c r="W1108" s="49"/>
      <c r="X1108" s="49"/>
      <c r="Y1108" s="49"/>
      <c r="Z1108" s="49"/>
    </row>
    <row r="1109" ht="15.75" customHeight="1">
      <c r="A1109" s="49"/>
      <c r="B1109" s="49"/>
      <c r="C1109" s="49"/>
      <c r="D1109" s="49"/>
      <c r="E1109" s="49"/>
      <c r="F1109" s="49"/>
      <c r="G1109" s="49"/>
      <c r="H1109" s="49"/>
      <c r="I1109" s="49"/>
      <c r="J1109" s="49"/>
      <c r="K1109" s="49"/>
      <c r="L1109" s="49"/>
      <c r="M1109" s="49"/>
      <c r="N1109" s="49"/>
      <c r="O1109" s="49"/>
      <c r="P1109" s="49"/>
      <c r="Q1109" s="49"/>
      <c r="R1109" s="49"/>
      <c r="S1109" s="49"/>
      <c r="T1109" s="49"/>
      <c r="U1109" s="49"/>
      <c r="V1109" s="49"/>
      <c r="W1109" s="49"/>
      <c r="X1109" s="49"/>
      <c r="Y1109" s="49"/>
      <c r="Z1109" s="49"/>
    </row>
    <row r="1110" ht="15.75" customHeight="1">
      <c r="A1110" s="49"/>
      <c r="B1110" s="49"/>
      <c r="C1110" s="49"/>
      <c r="D1110" s="49"/>
      <c r="E1110" s="49"/>
      <c r="F1110" s="49"/>
      <c r="G1110" s="49"/>
      <c r="H1110" s="49"/>
      <c r="I1110" s="49"/>
      <c r="J1110" s="49"/>
      <c r="K1110" s="49"/>
      <c r="L1110" s="49"/>
      <c r="M1110" s="49"/>
      <c r="N1110" s="49"/>
      <c r="O1110" s="49"/>
      <c r="P1110" s="49"/>
      <c r="Q1110" s="49"/>
      <c r="R1110" s="49"/>
      <c r="S1110" s="49"/>
      <c r="T1110" s="49"/>
      <c r="U1110" s="49"/>
      <c r="V1110" s="49"/>
      <c r="W1110" s="49"/>
      <c r="X1110" s="49"/>
      <c r="Y1110" s="49"/>
      <c r="Z1110" s="49"/>
    </row>
    <row r="1111" ht="15.75" customHeight="1">
      <c r="A1111" s="49"/>
      <c r="B1111" s="49"/>
      <c r="C1111" s="49"/>
      <c r="D1111" s="49"/>
      <c r="E1111" s="49"/>
      <c r="F1111" s="49"/>
      <c r="G1111" s="49"/>
      <c r="H1111" s="49"/>
      <c r="I1111" s="49"/>
      <c r="J1111" s="49"/>
      <c r="K1111" s="49"/>
      <c r="L1111" s="49"/>
      <c r="M1111" s="49"/>
      <c r="N1111" s="49"/>
      <c r="O1111" s="49"/>
      <c r="P1111" s="49"/>
      <c r="Q1111" s="49"/>
      <c r="R1111" s="49"/>
      <c r="S1111" s="49"/>
      <c r="T1111" s="49"/>
      <c r="U1111" s="49"/>
      <c r="V1111" s="49"/>
      <c r="W1111" s="49"/>
      <c r="X1111" s="49"/>
      <c r="Y1111" s="49"/>
      <c r="Z1111" s="49"/>
    </row>
    <row r="1112" ht="15.75" customHeight="1">
      <c r="A1112" s="49"/>
      <c r="B1112" s="49"/>
      <c r="C1112" s="49"/>
      <c r="D1112" s="49"/>
      <c r="E1112" s="49"/>
      <c r="F1112" s="49"/>
      <c r="G1112" s="49"/>
      <c r="H1112" s="49"/>
      <c r="I1112" s="49"/>
      <c r="J1112" s="49"/>
      <c r="K1112" s="49"/>
      <c r="L1112" s="49"/>
      <c r="M1112" s="49"/>
      <c r="N1112" s="49"/>
      <c r="O1112" s="49"/>
      <c r="P1112" s="49"/>
      <c r="Q1112" s="49"/>
      <c r="R1112" s="49"/>
      <c r="S1112" s="49"/>
      <c r="T1112" s="49"/>
      <c r="U1112" s="49"/>
      <c r="V1112" s="49"/>
      <c r="W1112" s="49"/>
      <c r="X1112" s="49"/>
      <c r="Y1112" s="49"/>
      <c r="Z1112" s="49"/>
    </row>
    <row r="1113" ht="15.75" customHeight="1">
      <c r="A1113" s="49"/>
      <c r="B1113" s="49"/>
      <c r="C1113" s="49"/>
      <c r="D1113" s="49"/>
      <c r="E1113" s="49"/>
      <c r="F1113" s="49"/>
      <c r="G1113" s="49"/>
      <c r="H1113" s="49"/>
      <c r="I1113" s="49"/>
      <c r="J1113" s="49"/>
      <c r="K1113" s="49"/>
      <c r="L1113" s="49"/>
      <c r="M1113" s="49"/>
      <c r="N1113" s="49"/>
      <c r="O1113" s="49"/>
      <c r="P1113" s="49"/>
      <c r="Q1113" s="49"/>
      <c r="R1113" s="49"/>
      <c r="S1113" s="49"/>
      <c r="T1113" s="49"/>
      <c r="U1113" s="49"/>
      <c r="V1113" s="49"/>
      <c r="W1113" s="49"/>
      <c r="X1113" s="49"/>
      <c r="Y1113" s="49"/>
      <c r="Z1113" s="49"/>
    </row>
    <row r="1114" ht="15.75" customHeight="1">
      <c r="A1114" s="49"/>
      <c r="B1114" s="49"/>
      <c r="C1114" s="49"/>
      <c r="D1114" s="49"/>
      <c r="E1114" s="49"/>
      <c r="F1114" s="49"/>
      <c r="G1114" s="49"/>
      <c r="H1114" s="49"/>
      <c r="I1114" s="49"/>
      <c r="J1114" s="49"/>
      <c r="K1114" s="49"/>
      <c r="L1114" s="49"/>
      <c r="M1114" s="49"/>
      <c r="N1114" s="49"/>
      <c r="O1114" s="49"/>
      <c r="P1114" s="49"/>
      <c r="Q1114" s="49"/>
      <c r="R1114" s="49"/>
      <c r="S1114" s="49"/>
      <c r="T1114" s="49"/>
      <c r="U1114" s="49"/>
      <c r="V1114" s="49"/>
      <c r="W1114" s="49"/>
      <c r="X1114" s="49"/>
      <c r="Y1114" s="49"/>
      <c r="Z1114" s="49"/>
    </row>
    <row r="1115" ht="15.75" customHeight="1">
      <c r="A1115" s="49"/>
      <c r="B1115" s="49"/>
      <c r="C1115" s="49"/>
      <c r="D1115" s="49"/>
      <c r="E1115" s="49"/>
      <c r="F1115" s="49"/>
      <c r="G1115" s="49"/>
      <c r="H1115" s="49"/>
      <c r="I1115" s="49"/>
      <c r="J1115" s="49"/>
      <c r="K1115" s="49"/>
      <c r="L1115" s="49"/>
      <c r="M1115" s="49"/>
      <c r="N1115" s="49"/>
      <c r="O1115" s="49"/>
      <c r="P1115" s="49"/>
      <c r="Q1115" s="49"/>
      <c r="R1115" s="49"/>
      <c r="S1115" s="49"/>
      <c r="T1115" s="49"/>
      <c r="U1115" s="49"/>
      <c r="V1115" s="49"/>
      <c r="W1115" s="49"/>
      <c r="X1115" s="49"/>
      <c r="Y1115" s="49"/>
      <c r="Z1115" s="49"/>
    </row>
    <row r="1116" ht="15.75" customHeight="1">
      <c r="A1116" s="49"/>
      <c r="B1116" s="49"/>
      <c r="C1116" s="49"/>
      <c r="D1116" s="49"/>
      <c r="E1116" s="49"/>
      <c r="F1116" s="49"/>
      <c r="G1116" s="49"/>
      <c r="H1116" s="49"/>
      <c r="I1116" s="49"/>
      <c r="J1116" s="49"/>
      <c r="K1116" s="49"/>
      <c r="L1116" s="49"/>
      <c r="M1116" s="49"/>
      <c r="N1116" s="49"/>
      <c r="O1116" s="49"/>
      <c r="P1116" s="49"/>
      <c r="Q1116" s="49"/>
      <c r="R1116" s="49"/>
      <c r="S1116" s="49"/>
      <c r="T1116" s="49"/>
      <c r="U1116" s="49"/>
      <c r="V1116" s="49"/>
      <c r="W1116" s="49"/>
      <c r="X1116" s="49"/>
      <c r="Y1116" s="49"/>
      <c r="Z1116" s="49"/>
    </row>
  </sheetData>
  <hyperlinks>
    <hyperlink r:id="rId1" location="is_advertising=true&amp;searchVariation=MLA20245981&amp;backend_model=search-backend&amp;position=3&amp;search_layout=grid&amp;type=pad&amp;tracking_id=802222b0-99c8-4b26-94f0-68151ba2ecc9&amp;ad_domain=VQCATCORE_LST&amp;ad_position=3&amp;ad_click_id=ZWY3NTI1ZjUtZTQwMS00MTBiLWI0OWYtNmFkYzdmYTNjOTFi" ref="H90"/>
    <hyperlink r:id="rId2" location="polycard_client=search-nordic&amp;search_layout=grid&amp;position=13&amp;type=product&amp;tracking_id=36b18fd0-fd18-4ef7-8e53-da437711f856&amp;wid=MLA2194314818&amp;sid=search" ref="H91"/>
    <hyperlink r:id="rId3" location="polycard_client=search-nordic&amp;search_layout=grid&amp;position=2&amp;type=product&amp;tracking_id=fdc3d4b8-b24b-44f2-9682-547aac02c148&amp;wid=MLA1932861148&amp;sid=search" ref="H93"/>
    <hyperlink r:id="rId4" location="polycard_client=search-nordic&amp;searchVariation=25060632050&amp;search_layout=grid&amp;position=38&amp;type=item&amp;tracking_id=b8012c01-662c-4429-bff6-2065056dc6d5" ref="H94"/>
    <hyperlink r:id="rId5" location="polycard_client=search-nordic&amp;search_layout=grid&amp;position=5&amp;type=product&amp;tracking_id=c3b8f1c0-4b46-4813-952d-325c5131e3bd&amp;wid=MLA1484865149&amp;sid=search" ref="H95"/>
    <hyperlink r:id="rId6" location="is_advertising=true&amp;searchVariation=MLA26043589&amp;backend_model=search-backend&amp;position=2&amp;search_layout=grid&amp;type=pad&amp;tracking_id=70e1d787-528b-4799-97f7-034afec552a7&amp;ad_domain=VQCATCORE_LST&amp;ad_position=2&amp;ad_click_id=OGE0MThiODItODJiNi00NTU5LTkwNWQtNjdmZmU0ZjdiMWU2" ref="H98"/>
    <hyperlink r:id="rId7" location="polycard_client=search_best-seller&amp;tracking_id=046d4ae3-7aab-4ee9-b927-e000dde398a1&amp;wid=MLA1886342808&amp;sid=search" ref="H130"/>
    <hyperlink r:id="rId8" location="polycard_client=search-nordic&amp;search_layout=stack&amp;position=1&amp;type=product&amp;tracking_id=7173e1e7-ad94-4d1f-9246-18eae3c753e6&amp;wid=MLA923364357&amp;sid=search" ref="H131"/>
    <hyperlink r:id="rId9" location="polycard_client=search-nordic&amp;search_layout=grid&amp;position=29&amp;type=product&amp;tracking_id=b5809188-653c-43e5-b4d0-e0c1f5cc9678&amp;wid=MLA1479680588&amp;sid=search" ref="H137"/>
    <hyperlink r:id="rId10" location="polycard_client=search-nordic&amp;search_layout=grid&amp;position=2&amp;type=product&amp;tracking_id=e0aa031c-f318-4836-a3ea-71f894ab6851&amp;wid=MLA1912988222&amp;sid=search" ref="H138"/>
  </hyperlinks>
  <printOptions/>
  <pageMargins bottom="0.75" footer="0.0" header="0.0" left="0.7" right="0.7" top="0.75"/>
  <pageSetup orientation="portrait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EFD9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43"/>
    <col customWidth="1" min="3" max="3" width="7.71"/>
    <col customWidth="1" min="4" max="4" width="13.71"/>
    <col customWidth="1" min="5" max="5" width="10.57"/>
    <col customWidth="1" min="6" max="6" width="8.71"/>
  </cols>
  <sheetData>
    <row r="1">
      <c r="A1" s="58" t="s">
        <v>619</v>
      </c>
      <c r="B1" s="59"/>
      <c r="C1" s="59"/>
      <c r="D1" s="59"/>
      <c r="E1" s="59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60" t="s">
        <v>1</v>
      </c>
      <c r="B3" s="60" t="s">
        <v>2</v>
      </c>
      <c r="C3" s="60" t="s">
        <v>3</v>
      </c>
      <c r="D3" s="60" t="s">
        <v>5</v>
      </c>
      <c r="E3" s="60" t="s">
        <v>620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61" t="s">
        <v>621</v>
      </c>
      <c r="B4" s="61" t="s">
        <v>622</v>
      </c>
      <c r="C4" s="3" t="s">
        <v>21</v>
      </c>
      <c r="D4" s="13">
        <f>80000*1.5</f>
        <v>120000</v>
      </c>
      <c r="E4" s="17">
        <v>46063.0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61" t="s">
        <v>623</v>
      </c>
      <c r="B5" s="61" t="s">
        <v>624</v>
      </c>
      <c r="C5" s="3" t="s">
        <v>21</v>
      </c>
      <c r="D5" s="13">
        <f>70000*1.5</f>
        <v>105000</v>
      </c>
      <c r="E5" s="17">
        <v>46063.0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61" t="s">
        <v>625</v>
      </c>
      <c r="B6" s="61" t="s">
        <v>626</v>
      </c>
      <c r="C6" s="3" t="s">
        <v>21</v>
      </c>
      <c r="D6" s="13">
        <f>60000*1.5</f>
        <v>90000</v>
      </c>
      <c r="E6" s="17">
        <v>46063.0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61" t="s">
        <v>627</v>
      </c>
      <c r="B7" s="61" t="s">
        <v>628</v>
      </c>
      <c r="C7" s="3" t="s">
        <v>21</v>
      </c>
      <c r="D7" s="13">
        <f>40000*1.5</f>
        <v>60000</v>
      </c>
      <c r="E7" s="17">
        <v>46063.0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/>
      <c r="B8" s="3"/>
      <c r="C8" s="3"/>
      <c r="D8" s="10"/>
      <c r="E8" s="11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EFD9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43"/>
    <col customWidth="1" min="3" max="3" width="7.71"/>
    <col customWidth="1" min="4" max="4" width="12.86"/>
    <col customWidth="1" min="5" max="6" width="8.71"/>
  </cols>
  <sheetData>
    <row r="1">
      <c r="A1" s="1" t="s">
        <v>629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</v>
      </c>
      <c r="B3" s="4" t="s">
        <v>2</v>
      </c>
      <c r="C3" s="5" t="s">
        <v>3</v>
      </c>
      <c r="D3" s="4" t="s">
        <v>5</v>
      </c>
      <c r="E3" s="4" t="s">
        <v>630</v>
      </c>
      <c r="F3" s="4" t="s">
        <v>620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62" t="s">
        <v>631</v>
      </c>
      <c r="B4" s="62" t="s">
        <v>632</v>
      </c>
      <c r="C4" s="63" t="s">
        <v>21</v>
      </c>
      <c r="D4" s="64">
        <v>420000.0</v>
      </c>
      <c r="E4" s="3" t="s">
        <v>633</v>
      </c>
      <c r="F4" s="65">
        <v>45945.0</v>
      </c>
      <c r="G4" s="3" t="s">
        <v>634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1" t="s">
        <v>635</v>
      </c>
      <c r="B5" s="21" t="s">
        <v>636</v>
      </c>
      <c r="C5" s="12" t="s">
        <v>21</v>
      </c>
      <c r="D5" s="13">
        <v>550000.0</v>
      </c>
      <c r="E5" s="66" t="s">
        <v>62</v>
      </c>
      <c r="F5" s="67">
        <v>45804.0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1" t="s">
        <v>637</v>
      </c>
      <c r="B6" s="21" t="s">
        <v>638</v>
      </c>
      <c r="C6" s="12" t="s">
        <v>21</v>
      </c>
      <c r="D6" s="13">
        <v>550000.0</v>
      </c>
      <c r="E6" s="66" t="s">
        <v>62</v>
      </c>
      <c r="F6" s="67">
        <v>45804.0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" t="s">
        <v>639</v>
      </c>
      <c r="B7" s="6" t="s">
        <v>640</v>
      </c>
      <c r="C7" s="7" t="s">
        <v>21</v>
      </c>
      <c r="D7" s="9">
        <v>40000.0</v>
      </c>
      <c r="E7" s="3"/>
      <c r="F7" s="11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62" t="s">
        <v>641</v>
      </c>
      <c r="B8" s="62" t="s">
        <v>642</v>
      </c>
      <c r="C8" s="63" t="s">
        <v>21</v>
      </c>
      <c r="D8" s="64">
        <v>680000.0</v>
      </c>
      <c r="E8" s="3" t="s">
        <v>633</v>
      </c>
      <c r="F8" s="65">
        <v>45945.0</v>
      </c>
      <c r="G8" s="3" t="s">
        <v>634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62" t="s">
        <v>643</v>
      </c>
      <c r="B9" s="62" t="s">
        <v>644</v>
      </c>
      <c r="C9" s="63" t="s">
        <v>21</v>
      </c>
      <c r="D9" s="64">
        <v>680000.0</v>
      </c>
      <c r="E9" s="3" t="s">
        <v>633</v>
      </c>
      <c r="F9" s="65">
        <v>45945.0</v>
      </c>
      <c r="G9" s="3" t="s">
        <v>634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62" t="s">
        <v>645</v>
      </c>
      <c r="B10" s="62" t="s">
        <v>646</v>
      </c>
      <c r="C10" s="63" t="s">
        <v>21</v>
      </c>
      <c r="D10" s="64">
        <v>900000.0</v>
      </c>
      <c r="E10" s="3" t="s">
        <v>633</v>
      </c>
      <c r="F10" s="65">
        <v>45945.0</v>
      </c>
      <c r="G10" s="3" t="s">
        <v>634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62" t="s">
        <v>647</v>
      </c>
      <c r="B11" s="62" t="s">
        <v>648</v>
      </c>
      <c r="C11" s="63" t="s">
        <v>21</v>
      </c>
      <c r="D11" s="64">
        <v>350000.0</v>
      </c>
      <c r="E11" s="3" t="s">
        <v>633</v>
      </c>
      <c r="F11" s="65">
        <v>45945.0</v>
      </c>
      <c r="G11" s="3" t="s">
        <v>634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62" t="s">
        <v>649</v>
      </c>
      <c r="B12" s="62" t="s">
        <v>650</v>
      </c>
      <c r="C12" s="63" t="s">
        <v>21</v>
      </c>
      <c r="D12" s="64">
        <v>350000.0</v>
      </c>
      <c r="E12" s="3" t="s">
        <v>633</v>
      </c>
      <c r="F12" s="65">
        <v>45945.0</v>
      </c>
      <c r="G12" s="3" t="s">
        <v>634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1" t="s">
        <v>651</v>
      </c>
      <c r="B13" s="21" t="s">
        <v>652</v>
      </c>
      <c r="C13" s="12" t="s">
        <v>21</v>
      </c>
      <c r="D13" s="13">
        <v>45000.0</v>
      </c>
      <c r="E13" s="66" t="s">
        <v>653</v>
      </c>
      <c r="F13" s="67">
        <v>45916.0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1" t="s">
        <v>654</v>
      </c>
      <c r="B14" s="21" t="s">
        <v>655</v>
      </c>
      <c r="C14" s="12" t="s">
        <v>21</v>
      </c>
      <c r="D14" s="13">
        <v>60000.0</v>
      </c>
      <c r="E14" s="3"/>
      <c r="F14" s="67">
        <v>45890.0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1" t="s">
        <v>656</v>
      </c>
      <c r="B15" s="21" t="s">
        <v>657</v>
      </c>
      <c r="C15" s="12" t="s">
        <v>21</v>
      </c>
      <c r="D15" s="13">
        <v>160000.0</v>
      </c>
      <c r="E15" s="66" t="s">
        <v>658</v>
      </c>
      <c r="F15" s="67">
        <v>45890.0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1" t="s">
        <v>659</v>
      </c>
      <c r="B16" s="21" t="s">
        <v>660</v>
      </c>
      <c r="C16" s="12" t="s">
        <v>21</v>
      </c>
      <c r="D16" s="13">
        <v>480000.0</v>
      </c>
      <c r="E16" s="66" t="s">
        <v>62</v>
      </c>
      <c r="F16" s="67">
        <v>45804.0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661</v>
      </c>
      <c r="B17" s="21" t="s">
        <v>662</v>
      </c>
      <c r="C17" s="12" t="s">
        <v>10</v>
      </c>
      <c r="D17" s="13">
        <v>30000.0</v>
      </c>
      <c r="E17" s="66" t="s">
        <v>62</v>
      </c>
      <c r="F17" s="67">
        <v>45804.0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62" t="s">
        <v>663</v>
      </c>
      <c r="B18" s="62" t="s">
        <v>664</v>
      </c>
      <c r="C18" s="63" t="s">
        <v>10</v>
      </c>
      <c r="D18" s="64">
        <v>10500.0</v>
      </c>
      <c r="E18" s="3" t="s">
        <v>633</v>
      </c>
      <c r="F18" s="65">
        <v>45945.0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665</v>
      </c>
      <c r="B19" s="21" t="s">
        <v>666</v>
      </c>
      <c r="C19" s="12" t="s">
        <v>10</v>
      </c>
      <c r="D19" s="68">
        <v>30000.0</v>
      </c>
      <c r="E19" s="66"/>
      <c r="F19" s="67"/>
      <c r="G19" s="69" t="s">
        <v>667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668</v>
      </c>
      <c r="B20" s="21" t="s">
        <v>669</v>
      </c>
      <c r="C20" s="12" t="s">
        <v>10</v>
      </c>
      <c r="D20" s="13">
        <v>25000.0</v>
      </c>
      <c r="E20" s="66" t="s">
        <v>62</v>
      </c>
      <c r="F20" s="67">
        <v>45804.0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 t="s">
        <v>670</v>
      </c>
      <c r="B21" s="21" t="s">
        <v>671</v>
      </c>
      <c r="C21" s="12" t="s">
        <v>21</v>
      </c>
      <c r="D21" s="13">
        <v>570000.0</v>
      </c>
      <c r="E21" s="66" t="s">
        <v>62</v>
      </c>
      <c r="F21" s="67">
        <v>45804.0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62" t="s">
        <v>672</v>
      </c>
      <c r="B22" s="62" t="s">
        <v>673</v>
      </c>
      <c r="C22" s="63" t="s">
        <v>21</v>
      </c>
      <c r="D22" s="64">
        <v>200000.0</v>
      </c>
      <c r="E22" s="3"/>
      <c r="F22" s="11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 t="s">
        <v>674</v>
      </c>
      <c r="B23" s="21" t="s">
        <v>675</v>
      </c>
      <c r="C23" s="12" t="s">
        <v>21</v>
      </c>
      <c r="D23" s="13">
        <v>300000.0</v>
      </c>
      <c r="E23" s="66" t="s">
        <v>62</v>
      </c>
      <c r="F23" s="67">
        <v>45804.0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 t="s">
        <v>676</v>
      </c>
      <c r="B24" s="3" t="s">
        <v>677</v>
      </c>
      <c r="C24" s="12" t="s">
        <v>21</v>
      </c>
      <c r="D24" s="13">
        <v>200000.0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62" t="s">
        <v>678</v>
      </c>
      <c r="B25" s="62" t="s">
        <v>679</v>
      </c>
      <c r="C25" s="63" t="s">
        <v>21</v>
      </c>
      <c r="D25" s="64">
        <v>900000.0</v>
      </c>
      <c r="E25" s="3" t="s">
        <v>633</v>
      </c>
      <c r="F25" s="65">
        <v>45945.0</v>
      </c>
      <c r="G25" s="3" t="s">
        <v>634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62" t="s">
        <v>680</v>
      </c>
      <c r="B26" s="62" t="s">
        <v>681</v>
      </c>
      <c r="C26" s="63" t="s">
        <v>21</v>
      </c>
      <c r="D26" s="64">
        <v>1350000.0</v>
      </c>
      <c r="E26" s="3" t="s">
        <v>633</v>
      </c>
      <c r="F26" s="65">
        <v>45945.0</v>
      </c>
      <c r="G26" s="3" t="s">
        <v>634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62" t="s">
        <v>682</v>
      </c>
      <c r="B27" s="62" t="s">
        <v>683</v>
      </c>
      <c r="C27" s="63" t="s">
        <v>21</v>
      </c>
      <c r="D27" s="64">
        <v>800000.0</v>
      </c>
      <c r="E27" s="3" t="s">
        <v>633</v>
      </c>
      <c r="F27" s="65">
        <v>45945.0</v>
      </c>
      <c r="G27" s="3" t="s">
        <v>634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EFD9"/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68.0"/>
    <col customWidth="1" min="3" max="3" width="7.71"/>
    <col customWidth="1" min="4" max="4" width="15.86"/>
    <col customWidth="1" min="5" max="5" width="12.43"/>
    <col customWidth="1" min="6" max="6" width="10.14"/>
  </cols>
  <sheetData>
    <row r="1">
      <c r="A1" s="1" t="s">
        <v>684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4" t="s">
        <v>1</v>
      </c>
      <c r="B3" s="4" t="s">
        <v>685</v>
      </c>
      <c r="C3" s="5" t="s">
        <v>3</v>
      </c>
      <c r="D3" s="4" t="s">
        <v>5</v>
      </c>
      <c r="E3" s="4" t="s">
        <v>630</v>
      </c>
      <c r="F3" s="4" t="s">
        <v>620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 t="s">
        <v>686</v>
      </c>
      <c r="B4" s="3" t="s">
        <v>687</v>
      </c>
      <c r="C4" s="12" t="s">
        <v>48</v>
      </c>
      <c r="D4" s="13">
        <v>15000.0</v>
      </c>
      <c r="E4" s="66" t="s">
        <v>688</v>
      </c>
      <c r="F4" s="67">
        <v>45904.0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 t="s">
        <v>689</v>
      </c>
      <c r="B5" s="3" t="s">
        <v>690</v>
      </c>
      <c r="C5" s="12" t="s">
        <v>48</v>
      </c>
      <c r="D5" s="13">
        <v>10000.0</v>
      </c>
      <c r="E5" s="66" t="s">
        <v>688</v>
      </c>
      <c r="F5" s="67">
        <v>45904.0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 t="s">
        <v>691</v>
      </c>
      <c r="B6" s="3" t="s">
        <v>692</v>
      </c>
      <c r="C6" s="12" t="s">
        <v>48</v>
      </c>
      <c r="D6" s="13">
        <v>12000.0</v>
      </c>
      <c r="E6" s="66" t="s">
        <v>688</v>
      </c>
      <c r="F6" s="67">
        <v>45904.0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6" t="s">
        <v>693</v>
      </c>
      <c r="B7" s="6" t="s">
        <v>694</v>
      </c>
      <c r="C7" s="7" t="s">
        <v>48</v>
      </c>
      <c r="D7" s="9">
        <v>10000.0</v>
      </c>
      <c r="E7" s="3"/>
      <c r="F7" s="11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 t="s">
        <v>695</v>
      </c>
      <c r="B8" s="3" t="s">
        <v>696</v>
      </c>
      <c r="C8" s="12" t="s">
        <v>48</v>
      </c>
      <c r="D8" s="13">
        <v>10000.0</v>
      </c>
      <c r="E8" s="66" t="s">
        <v>688</v>
      </c>
      <c r="F8" s="67">
        <v>45904.0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6" t="s">
        <v>686</v>
      </c>
      <c r="B9" s="6" t="s">
        <v>697</v>
      </c>
      <c r="C9" s="7" t="s">
        <v>48</v>
      </c>
      <c r="D9" s="9">
        <v>8000.0</v>
      </c>
      <c r="E9" s="3"/>
      <c r="F9" s="11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6" t="s">
        <v>698</v>
      </c>
      <c r="B10" s="6" t="s">
        <v>699</v>
      </c>
      <c r="C10" s="7" t="s">
        <v>48</v>
      </c>
      <c r="D10" s="9">
        <v>8000.0</v>
      </c>
      <c r="E10" s="3"/>
      <c r="F10" s="11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6" t="s">
        <v>700</v>
      </c>
      <c r="B11" s="6" t="s">
        <v>701</v>
      </c>
      <c r="C11" s="7" t="s">
        <v>21</v>
      </c>
      <c r="D11" s="9">
        <v>25000.0</v>
      </c>
      <c r="E11" s="3"/>
      <c r="F11" s="11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6" t="s">
        <v>702</v>
      </c>
      <c r="B12" s="6" t="s">
        <v>703</v>
      </c>
      <c r="C12" s="7" t="s">
        <v>21</v>
      </c>
      <c r="D12" s="9">
        <v>50000.0</v>
      </c>
      <c r="E12" s="3"/>
      <c r="F12" s="11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4" t="s">
        <v>1</v>
      </c>
      <c r="B13" s="4" t="s">
        <v>704</v>
      </c>
      <c r="C13" s="5" t="s">
        <v>3</v>
      </c>
      <c r="D13" s="23" t="s">
        <v>5</v>
      </c>
      <c r="E13" s="4" t="s">
        <v>630</v>
      </c>
      <c r="F13" s="4" t="s">
        <v>620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 t="s">
        <v>705</v>
      </c>
      <c r="B14" s="3" t="s">
        <v>706</v>
      </c>
      <c r="C14" s="12" t="s">
        <v>48</v>
      </c>
      <c r="D14" s="13">
        <v>37000.0</v>
      </c>
      <c r="E14" s="66" t="s">
        <v>707</v>
      </c>
      <c r="F14" s="67">
        <v>45791.0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 t="s">
        <v>708</v>
      </c>
      <c r="B15" s="3" t="s">
        <v>709</v>
      </c>
      <c r="C15" s="12" t="s">
        <v>48</v>
      </c>
      <c r="D15" s="13">
        <v>37000.0</v>
      </c>
      <c r="E15" s="66" t="s">
        <v>707</v>
      </c>
      <c r="F15" s="67">
        <v>45791.0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 t="s">
        <v>710</v>
      </c>
      <c r="B16" s="3" t="s">
        <v>711</v>
      </c>
      <c r="C16" s="12" t="s">
        <v>164</v>
      </c>
      <c r="D16" s="13">
        <v>45000.0</v>
      </c>
      <c r="E16" s="66" t="s">
        <v>707</v>
      </c>
      <c r="F16" s="67">
        <v>45791.0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 t="s">
        <v>712</v>
      </c>
      <c r="B17" s="3" t="s">
        <v>713</v>
      </c>
      <c r="C17" s="12" t="s">
        <v>164</v>
      </c>
      <c r="D17" s="13">
        <v>20000.0</v>
      </c>
      <c r="E17" s="66" t="s">
        <v>707</v>
      </c>
      <c r="F17" s="67">
        <v>45791.0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 t="s">
        <v>714</v>
      </c>
      <c r="B18" s="3" t="s">
        <v>715</v>
      </c>
      <c r="C18" s="12" t="s">
        <v>164</v>
      </c>
      <c r="D18" s="13">
        <v>45000.0</v>
      </c>
      <c r="E18" s="66" t="s">
        <v>707</v>
      </c>
      <c r="F18" s="67">
        <v>45791.0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 t="s">
        <v>716</v>
      </c>
      <c r="B19" s="3" t="s">
        <v>717</v>
      </c>
      <c r="C19" s="12" t="s">
        <v>48</v>
      </c>
      <c r="D19" s="13">
        <v>48000.0</v>
      </c>
      <c r="E19" s="66" t="s">
        <v>707</v>
      </c>
      <c r="F19" s="67">
        <v>45791.0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 t="s">
        <v>718</v>
      </c>
      <c r="B20" s="3" t="s">
        <v>719</v>
      </c>
      <c r="C20" s="12" t="s">
        <v>164</v>
      </c>
      <c r="D20" s="13">
        <v>16000.0</v>
      </c>
      <c r="E20" s="66" t="s">
        <v>707</v>
      </c>
      <c r="F20" s="67">
        <v>45791.0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 t="s">
        <v>720</v>
      </c>
      <c r="B21" s="3" t="s">
        <v>721</v>
      </c>
      <c r="C21" s="12" t="s">
        <v>164</v>
      </c>
      <c r="D21" s="13">
        <v>16000.0</v>
      </c>
      <c r="E21" s="66" t="s">
        <v>707</v>
      </c>
      <c r="F21" s="67">
        <v>45791.0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4" t="s">
        <v>1</v>
      </c>
      <c r="B22" s="4" t="s">
        <v>722</v>
      </c>
      <c r="C22" s="5" t="s">
        <v>3</v>
      </c>
      <c r="D22" s="4" t="s">
        <v>5</v>
      </c>
      <c r="E22" s="4" t="s">
        <v>630</v>
      </c>
      <c r="F22" s="4" t="s">
        <v>620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 t="s">
        <v>723</v>
      </c>
      <c r="B23" s="3" t="s">
        <v>724</v>
      </c>
      <c r="C23" s="12" t="s">
        <v>725</v>
      </c>
      <c r="D23" s="13">
        <v>100000.0</v>
      </c>
      <c r="E23" s="66" t="s">
        <v>726</v>
      </c>
      <c r="F23" s="67">
        <v>45800.0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 t="s">
        <v>727</v>
      </c>
      <c r="B24" s="3" t="s">
        <v>728</v>
      </c>
      <c r="C24" s="12" t="s">
        <v>21</v>
      </c>
      <c r="D24" s="13">
        <v>7000.0</v>
      </c>
      <c r="E24" s="66" t="s">
        <v>726</v>
      </c>
      <c r="F24" s="67">
        <v>45800.0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 t="s">
        <v>729</v>
      </c>
      <c r="B25" s="3" t="s">
        <v>730</v>
      </c>
      <c r="C25" s="12" t="s">
        <v>21</v>
      </c>
      <c r="D25" s="13">
        <v>100000.0</v>
      </c>
      <c r="E25" s="66" t="s">
        <v>726</v>
      </c>
      <c r="F25" s="67">
        <v>45800.0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 t="s">
        <v>731</v>
      </c>
      <c r="B26" s="3" t="s">
        <v>732</v>
      </c>
      <c r="C26" s="12" t="s">
        <v>21</v>
      </c>
      <c r="D26" s="13">
        <v>100000.0</v>
      </c>
      <c r="E26" s="66" t="s">
        <v>726</v>
      </c>
      <c r="F26" s="67">
        <v>45800.0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21" t="s">
        <v>733</v>
      </c>
      <c r="B27" s="21" t="s">
        <v>734</v>
      </c>
      <c r="C27" s="12" t="s">
        <v>725</v>
      </c>
      <c r="D27" s="13">
        <v>60000.0</v>
      </c>
      <c r="E27" s="66" t="s">
        <v>726</v>
      </c>
      <c r="F27" s="67">
        <v>45800.0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4" t="s">
        <v>1</v>
      </c>
      <c r="B28" s="4" t="s">
        <v>735</v>
      </c>
      <c r="C28" s="5" t="s">
        <v>3</v>
      </c>
      <c r="D28" s="4" t="s">
        <v>5</v>
      </c>
      <c r="E28" s="4" t="s">
        <v>630</v>
      </c>
      <c r="F28" s="4" t="s">
        <v>620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 t="s">
        <v>736</v>
      </c>
      <c r="B29" s="3" t="s">
        <v>737</v>
      </c>
      <c r="C29" s="12" t="s">
        <v>738</v>
      </c>
      <c r="D29" s="15">
        <v>10000.0</v>
      </c>
      <c r="E29" s="70" t="s">
        <v>739</v>
      </c>
      <c r="F29" s="71">
        <v>46079.0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 t="s">
        <v>740</v>
      </c>
      <c r="B30" s="3" t="s">
        <v>741</v>
      </c>
      <c r="C30" s="12" t="s">
        <v>164</v>
      </c>
      <c r="D30" s="13">
        <v>10000.0</v>
      </c>
      <c r="E30" s="66" t="s">
        <v>742</v>
      </c>
      <c r="F30" s="67">
        <v>45800.0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20" t="s">
        <v>743</v>
      </c>
      <c r="B31" s="20" t="s">
        <v>744</v>
      </c>
      <c r="C31" s="12" t="s">
        <v>745</v>
      </c>
      <c r="D31" s="15">
        <v>12000.0</v>
      </c>
      <c r="E31" s="70" t="s">
        <v>746</v>
      </c>
      <c r="F31" s="71">
        <v>46079.0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4" t="s">
        <v>1</v>
      </c>
      <c r="B32" s="4" t="s">
        <v>747</v>
      </c>
      <c r="C32" s="5" t="s">
        <v>3</v>
      </c>
      <c r="D32" s="4" t="s">
        <v>5</v>
      </c>
      <c r="E32" s="4" t="s">
        <v>630</v>
      </c>
      <c r="F32" s="4" t="s">
        <v>620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 t="s">
        <v>748</v>
      </c>
      <c r="B33" s="3" t="s">
        <v>749</v>
      </c>
      <c r="C33" s="12" t="s">
        <v>48</v>
      </c>
      <c r="D33" s="13">
        <v>18000.0</v>
      </c>
      <c r="E33" s="3"/>
      <c r="F33" s="11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 t="s">
        <v>750</v>
      </c>
      <c r="B34" s="3" t="s">
        <v>751</v>
      </c>
      <c r="C34" s="12" t="s">
        <v>48</v>
      </c>
      <c r="D34" s="13">
        <v>18000.0</v>
      </c>
      <c r="E34" s="66" t="s">
        <v>752</v>
      </c>
      <c r="F34" s="67">
        <v>45902.0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 t="s">
        <v>753</v>
      </c>
      <c r="B35" s="3" t="s">
        <v>754</v>
      </c>
      <c r="C35" s="12" t="s">
        <v>48</v>
      </c>
      <c r="D35" s="13">
        <v>10000.0</v>
      </c>
      <c r="E35" s="66" t="s">
        <v>746</v>
      </c>
      <c r="F35" s="67">
        <v>45902.0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 t="s">
        <v>755</v>
      </c>
      <c r="B36" s="3" t="s">
        <v>756</v>
      </c>
      <c r="C36" s="12" t="s">
        <v>757</v>
      </c>
      <c r="D36" s="13">
        <v>10000.0</v>
      </c>
      <c r="E36" s="66" t="s">
        <v>746</v>
      </c>
      <c r="F36" s="67">
        <v>45902.0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4" t="s">
        <v>1</v>
      </c>
      <c r="B37" s="4" t="s">
        <v>758</v>
      </c>
      <c r="C37" s="5" t="s">
        <v>3</v>
      </c>
      <c r="D37" s="23" t="s">
        <v>5</v>
      </c>
      <c r="E37" s="4" t="s">
        <v>630</v>
      </c>
      <c r="F37" s="4" t="s">
        <v>620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 t="s">
        <v>759</v>
      </c>
      <c r="B38" s="21" t="s">
        <v>760</v>
      </c>
      <c r="C38" s="12" t="s">
        <v>21</v>
      </c>
      <c r="D38" s="13">
        <v>420000.0</v>
      </c>
      <c r="E38" s="66" t="s">
        <v>761</v>
      </c>
      <c r="F38" s="67">
        <v>45743.0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 t="s">
        <v>762</v>
      </c>
      <c r="B39" s="21" t="s">
        <v>763</v>
      </c>
      <c r="C39" s="12" t="s">
        <v>21</v>
      </c>
      <c r="D39" s="13">
        <v>550000.0</v>
      </c>
      <c r="E39" s="66" t="s">
        <v>761</v>
      </c>
      <c r="F39" s="67">
        <v>45743.0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 t="s">
        <v>764</v>
      </c>
      <c r="B40" s="21" t="s">
        <v>765</v>
      </c>
      <c r="C40" s="12" t="s">
        <v>21</v>
      </c>
      <c r="D40" s="13">
        <v>550000.0</v>
      </c>
      <c r="E40" s="66" t="s">
        <v>761</v>
      </c>
      <c r="F40" s="67">
        <v>45743.0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 t="s">
        <v>766</v>
      </c>
      <c r="B41" s="21" t="s">
        <v>675</v>
      </c>
      <c r="C41" s="12" t="s">
        <v>21</v>
      </c>
      <c r="D41" s="13">
        <v>300000.0</v>
      </c>
      <c r="E41" s="66" t="s">
        <v>761</v>
      </c>
      <c r="F41" s="67">
        <v>45743.0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 t="s">
        <v>767</v>
      </c>
      <c r="B42" s="21" t="s">
        <v>768</v>
      </c>
      <c r="C42" s="12" t="s">
        <v>21</v>
      </c>
      <c r="D42" s="13">
        <v>60000.0</v>
      </c>
      <c r="E42" s="66" t="s">
        <v>761</v>
      </c>
      <c r="F42" s="67">
        <v>45743.0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 t="s">
        <v>769</v>
      </c>
      <c r="B43" s="21" t="s">
        <v>770</v>
      </c>
      <c r="C43" s="12" t="s">
        <v>10</v>
      </c>
      <c r="D43" s="13">
        <v>30000.0</v>
      </c>
      <c r="E43" s="66" t="s">
        <v>771</v>
      </c>
      <c r="F43" s="67">
        <v>45929.0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 t="s">
        <v>661</v>
      </c>
      <c r="B44" s="21" t="s">
        <v>662</v>
      </c>
      <c r="C44" s="12" t="s">
        <v>10</v>
      </c>
      <c r="D44" s="13">
        <v>30000.0</v>
      </c>
      <c r="E44" s="66" t="s">
        <v>761</v>
      </c>
      <c r="F44" s="67">
        <v>45743.0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 t="s">
        <v>772</v>
      </c>
      <c r="B45" s="21" t="s">
        <v>773</v>
      </c>
      <c r="C45" s="12" t="s">
        <v>10</v>
      </c>
      <c r="D45" s="13">
        <v>55000.0</v>
      </c>
      <c r="E45" s="66" t="s">
        <v>771</v>
      </c>
      <c r="F45" s="67">
        <v>45929.0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 t="s">
        <v>663</v>
      </c>
      <c r="B46" s="21" t="s">
        <v>774</v>
      </c>
      <c r="C46" s="12" t="s">
        <v>10</v>
      </c>
      <c r="D46" s="13">
        <f>D44*8</f>
        <v>240000</v>
      </c>
      <c r="E46" s="66" t="s">
        <v>761</v>
      </c>
      <c r="F46" s="67">
        <v>45743.0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 t="s">
        <v>665</v>
      </c>
      <c r="B47" s="21" t="s">
        <v>666</v>
      </c>
      <c r="C47" s="12" t="s">
        <v>10</v>
      </c>
      <c r="D47" s="13">
        <v>21000.0</v>
      </c>
      <c r="E47" s="66" t="s">
        <v>761</v>
      </c>
      <c r="F47" s="67">
        <v>45743.0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 t="s">
        <v>668</v>
      </c>
      <c r="B48" s="21" t="s">
        <v>669</v>
      </c>
      <c r="C48" s="12" t="s">
        <v>10</v>
      </c>
      <c r="D48" s="13">
        <v>25000.0</v>
      </c>
      <c r="E48" s="66" t="s">
        <v>761</v>
      </c>
      <c r="F48" s="67">
        <v>45743.0</v>
      </c>
      <c r="G48" s="3"/>
      <c r="H48" s="10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 t="s">
        <v>670</v>
      </c>
      <c r="B49" s="21" t="s">
        <v>671</v>
      </c>
      <c r="C49" s="12" t="s">
        <v>21</v>
      </c>
      <c r="D49" s="13">
        <v>200000.0</v>
      </c>
      <c r="E49" s="66" t="s">
        <v>761</v>
      </c>
      <c r="F49" s="67">
        <v>45743.0</v>
      </c>
      <c r="G49" s="3"/>
      <c r="H49" s="10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4" t="s">
        <v>1</v>
      </c>
      <c r="B50" s="4" t="s">
        <v>775</v>
      </c>
      <c r="C50" s="5" t="s">
        <v>3</v>
      </c>
      <c r="D50" s="23" t="s">
        <v>5</v>
      </c>
      <c r="E50" s="4" t="s">
        <v>630</v>
      </c>
      <c r="F50" s="4" t="s">
        <v>620</v>
      </c>
      <c r="G50" s="3"/>
      <c r="H50" s="10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 t="s">
        <v>776</v>
      </c>
      <c r="B51" s="21" t="s">
        <v>777</v>
      </c>
      <c r="C51" s="3"/>
      <c r="D51" s="14">
        <v>2800000.0</v>
      </c>
      <c r="E51" s="66" t="s">
        <v>771</v>
      </c>
      <c r="F51" s="67">
        <v>45883.0</v>
      </c>
      <c r="G51" s="3"/>
      <c r="H51" s="10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4" t="s">
        <v>1</v>
      </c>
      <c r="B52" s="4" t="s">
        <v>538</v>
      </c>
      <c r="C52" s="5" t="s">
        <v>3</v>
      </c>
      <c r="D52" s="23" t="s">
        <v>5</v>
      </c>
      <c r="E52" s="4" t="s">
        <v>630</v>
      </c>
      <c r="F52" s="72" t="s">
        <v>620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 t="s">
        <v>778</v>
      </c>
      <c r="B53" s="3" t="s">
        <v>779</v>
      </c>
      <c r="C53" s="12" t="s">
        <v>21</v>
      </c>
      <c r="D53" s="13">
        <v>390000.0</v>
      </c>
      <c r="E53" s="66" t="s">
        <v>780</v>
      </c>
      <c r="F53" s="67">
        <v>45895.0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 t="s">
        <v>781</v>
      </c>
      <c r="B54" s="3" t="s">
        <v>782</v>
      </c>
      <c r="C54" s="12" t="s">
        <v>21</v>
      </c>
      <c r="D54" s="13">
        <v>430000.0</v>
      </c>
      <c r="E54" s="66" t="s">
        <v>780</v>
      </c>
      <c r="F54" s="67">
        <v>45895.0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 t="s">
        <v>783</v>
      </c>
      <c r="B55" s="3" t="s">
        <v>784</v>
      </c>
      <c r="C55" s="12" t="s">
        <v>21</v>
      </c>
      <c r="D55" s="13">
        <v>90000.0</v>
      </c>
      <c r="E55" s="66" t="s">
        <v>780</v>
      </c>
      <c r="F55" s="67">
        <v>45895.0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 t="s">
        <v>785</v>
      </c>
      <c r="B56" s="3" t="s">
        <v>786</v>
      </c>
      <c r="C56" s="12" t="s">
        <v>21</v>
      </c>
      <c r="D56" s="13">
        <v>70000.0</v>
      </c>
      <c r="E56" s="66" t="s">
        <v>780</v>
      </c>
      <c r="F56" s="67">
        <v>45895.0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4" t="s">
        <v>1</v>
      </c>
      <c r="B57" s="4" t="s">
        <v>787</v>
      </c>
      <c r="C57" s="5" t="s">
        <v>3</v>
      </c>
      <c r="D57" s="23" t="s">
        <v>5</v>
      </c>
      <c r="E57" s="4" t="s">
        <v>630</v>
      </c>
      <c r="F57" s="4" t="s">
        <v>620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6" t="s">
        <v>788</v>
      </c>
      <c r="B58" s="6" t="s">
        <v>789</v>
      </c>
      <c r="C58" s="7" t="s">
        <v>21</v>
      </c>
      <c r="D58" s="9">
        <v>700000.0</v>
      </c>
      <c r="E58" s="3"/>
      <c r="F58" s="11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4" t="s">
        <v>1</v>
      </c>
      <c r="B59" s="4" t="s">
        <v>790</v>
      </c>
      <c r="C59" s="5" t="s">
        <v>3</v>
      </c>
      <c r="D59" s="23" t="s">
        <v>5</v>
      </c>
      <c r="E59" s="4" t="s">
        <v>630</v>
      </c>
      <c r="F59" s="72" t="s">
        <v>620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 t="s">
        <v>791</v>
      </c>
      <c r="B60" s="21" t="s">
        <v>792</v>
      </c>
      <c r="C60" s="12" t="s">
        <v>21</v>
      </c>
      <c r="D60" s="13">
        <v>65000.0</v>
      </c>
      <c r="E60" s="3" t="s">
        <v>793</v>
      </c>
      <c r="F60" s="67">
        <v>45916.0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 t="s">
        <v>794</v>
      </c>
      <c r="B61" s="21" t="s">
        <v>795</v>
      </c>
      <c r="C61" s="12" t="s">
        <v>21</v>
      </c>
      <c r="D61" s="13">
        <v>148000.0</v>
      </c>
      <c r="E61" s="3" t="s">
        <v>796</v>
      </c>
      <c r="F61" s="67">
        <v>45916.0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4" t="s">
        <v>1</v>
      </c>
      <c r="B62" s="73" t="s">
        <v>797</v>
      </c>
      <c r="C62" s="5" t="s">
        <v>3</v>
      </c>
      <c r="D62" s="23" t="s">
        <v>5</v>
      </c>
      <c r="E62" s="4" t="s">
        <v>630</v>
      </c>
      <c r="F62" s="72" t="s">
        <v>620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20" t="s">
        <v>798</v>
      </c>
      <c r="B63" s="74" t="s">
        <v>799</v>
      </c>
      <c r="C63" s="12" t="s">
        <v>48</v>
      </c>
      <c r="D63" s="15">
        <v>10000.0</v>
      </c>
      <c r="E63" s="20" t="s">
        <v>800</v>
      </c>
      <c r="F63" s="71">
        <v>46081.0</v>
      </c>
      <c r="G63" s="20" t="s">
        <v>801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20" t="s">
        <v>802</v>
      </c>
      <c r="B64" s="74" t="s">
        <v>803</v>
      </c>
      <c r="C64" s="12" t="s">
        <v>48</v>
      </c>
      <c r="D64" s="15">
        <v>20000.0</v>
      </c>
      <c r="E64" s="20" t="s">
        <v>800</v>
      </c>
      <c r="F64" s="71">
        <v>46081.0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20" t="s">
        <v>804</v>
      </c>
      <c r="B65" s="74" t="s">
        <v>805</v>
      </c>
      <c r="C65" s="12" t="s">
        <v>48</v>
      </c>
      <c r="D65" s="15">
        <v>30000.0</v>
      </c>
      <c r="E65" s="20" t="s">
        <v>800</v>
      </c>
      <c r="F65" s="71">
        <v>46081.0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20" t="s">
        <v>806</v>
      </c>
      <c r="B66" s="74" t="s">
        <v>807</v>
      </c>
      <c r="C66" s="27" t="s">
        <v>164</v>
      </c>
      <c r="D66" s="15">
        <v>8000.0</v>
      </c>
      <c r="E66" s="20" t="s">
        <v>800</v>
      </c>
      <c r="F66" s="71">
        <v>46081.0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20" t="s">
        <v>808</v>
      </c>
      <c r="B67" s="74" t="s">
        <v>809</v>
      </c>
      <c r="C67" s="27" t="s">
        <v>164</v>
      </c>
      <c r="D67" s="15">
        <v>8000.0</v>
      </c>
      <c r="E67" s="20" t="s">
        <v>800</v>
      </c>
      <c r="F67" s="71">
        <v>46081.0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4" t="s">
        <v>1</v>
      </c>
      <c r="B68" s="4" t="s">
        <v>810</v>
      </c>
      <c r="C68" s="5" t="s">
        <v>3</v>
      </c>
      <c r="D68" s="23" t="s">
        <v>5</v>
      </c>
      <c r="E68" s="4" t="s">
        <v>630</v>
      </c>
      <c r="F68" s="72" t="s">
        <v>620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 t="s">
        <v>811</v>
      </c>
      <c r="B69" s="21" t="s">
        <v>812</v>
      </c>
      <c r="C69" s="12" t="s">
        <v>48</v>
      </c>
      <c r="D69" s="13">
        <v>13000.0</v>
      </c>
      <c r="E69" s="66" t="s">
        <v>813</v>
      </c>
      <c r="F69" s="67">
        <v>45936.0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 t="s">
        <v>814</v>
      </c>
      <c r="B70" s="21" t="s">
        <v>815</v>
      </c>
      <c r="C70" s="12" t="s">
        <v>48</v>
      </c>
      <c r="D70" s="13">
        <v>25000.0</v>
      </c>
      <c r="E70" s="66" t="s">
        <v>813</v>
      </c>
      <c r="F70" s="67">
        <v>45936.0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5.7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5.75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5.75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5.75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5.75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5.75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5.75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5.75" customHeight="1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5.75" customHeight="1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5.75" customHeight="1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5.75" customHeight="1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15.75" customHeight="1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15.75" customHeight="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15.75" customHeight="1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t="15.75" customHeight="1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17.29"/>
  </cols>
  <sheetData>
    <row r="1">
      <c r="A1" s="75" t="s">
        <v>816</v>
      </c>
      <c r="B1" s="3"/>
      <c r="C1" s="3"/>
    </row>
    <row r="2">
      <c r="A2" s="76"/>
      <c r="B2" s="76"/>
      <c r="C2" s="3"/>
    </row>
    <row r="3">
      <c r="A3" s="77" t="s">
        <v>817</v>
      </c>
      <c r="B3" s="78">
        <f>SUM(B4:B5)</f>
        <v>2500000</v>
      </c>
      <c r="C3" s="3"/>
    </row>
    <row r="4">
      <c r="A4" s="79" t="s">
        <v>818</v>
      </c>
      <c r="B4" s="80" t="s">
        <v>145</v>
      </c>
      <c r="C4" s="3"/>
    </row>
    <row r="5">
      <c r="A5" s="79" t="s">
        <v>819</v>
      </c>
      <c r="B5" s="80">
        <v>2500000.0</v>
      </c>
      <c r="C5" s="3"/>
    </row>
    <row r="6">
      <c r="A6" s="77" t="s">
        <v>820</v>
      </c>
      <c r="B6" s="78">
        <f>SUM(B7:B10)</f>
        <v>3400000</v>
      </c>
      <c r="C6" s="3"/>
    </row>
    <row r="7">
      <c r="A7" s="81" t="s">
        <v>821</v>
      </c>
      <c r="B7" s="82">
        <v>500000.0</v>
      </c>
      <c r="C7" s="3"/>
    </row>
    <row r="8">
      <c r="A8" s="81" t="s">
        <v>822</v>
      </c>
      <c r="B8" s="82">
        <v>500000.0</v>
      </c>
      <c r="C8" s="3"/>
    </row>
    <row r="9">
      <c r="A9" s="81" t="s">
        <v>823</v>
      </c>
      <c r="B9" s="82">
        <v>400000.0</v>
      </c>
      <c r="C9" s="3"/>
    </row>
    <row r="10">
      <c r="A10" s="83" t="s">
        <v>824</v>
      </c>
      <c r="B10" s="84">
        <v>2000000.0</v>
      </c>
      <c r="C10" s="3"/>
    </row>
    <row r="11">
      <c r="A11" s="3"/>
      <c r="B11" s="76"/>
      <c r="C11" s="3"/>
      <c r="D11" s="85" t="s">
        <v>825</v>
      </c>
      <c r="E11" s="86" t="s">
        <v>826</v>
      </c>
    </row>
    <row r="12">
      <c r="A12" s="87"/>
      <c r="B12" s="88">
        <f>SUM(B6+B3)</f>
        <v>5900000</v>
      </c>
      <c r="C12" s="50"/>
      <c r="D12" s="89">
        <f>'01_C&amp;P'!D9</f>
        <v>16</v>
      </c>
      <c r="E12" s="88">
        <f>(D12*B12)</f>
        <v>94400000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0.57"/>
    <col customWidth="1" min="2" max="2" width="57.86"/>
    <col customWidth="1" min="3" max="3" width="7.71"/>
    <col customWidth="1" min="4" max="4" width="11.57"/>
    <col customWidth="1" min="5" max="26" width="20.71"/>
    <col customWidth="1" min="27" max="37" width="8.71"/>
  </cols>
  <sheetData>
    <row r="1" ht="33.75" customHeight="1">
      <c r="A1" s="90" t="s">
        <v>827</v>
      </c>
      <c r="B1" s="91"/>
      <c r="Z1" s="92"/>
    </row>
    <row r="2" ht="9.0" customHeight="1"/>
    <row r="3" ht="30.75" customHeight="1">
      <c r="A3" s="93" t="s">
        <v>828</v>
      </c>
      <c r="B3" s="93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ht="15.0" customHeight="1">
      <c r="C4" s="92"/>
    </row>
    <row r="5" ht="14.25" customHeight="1">
      <c r="A5" s="95" t="s">
        <v>829</v>
      </c>
      <c r="B5" s="96" t="s">
        <v>830</v>
      </c>
      <c r="C5" s="95" t="s">
        <v>3</v>
      </c>
      <c r="D5" s="97" t="s">
        <v>831</v>
      </c>
      <c r="E5" s="98" t="s">
        <v>832</v>
      </c>
      <c r="F5" s="99"/>
      <c r="G5" s="99"/>
      <c r="H5" s="99"/>
      <c r="I5" s="99"/>
      <c r="J5" s="99"/>
      <c r="K5" s="99"/>
      <c r="L5" s="99"/>
      <c r="M5" s="99"/>
      <c r="N5" s="100"/>
      <c r="O5" s="101" t="s">
        <v>833</v>
      </c>
      <c r="P5" s="99"/>
      <c r="Q5" s="100"/>
      <c r="R5" s="101" t="s">
        <v>834</v>
      </c>
      <c r="S5" s="99"/>
      <c r="T5" s="100"/>
      <c r="U5" s="101" t="s">
        <v>835</v>
      </c>
      <c r="V5" s="99"/>
      <c r="W5" s="99"/>
      <c r="X5" s="99"/>
      <c r="Y5" s="99"/>
      <c r="Z5" s="102"/>
    </row>
    <row r="6" ht="14.25" customHeight="1">
      <c r="A6" s="103"/>
      <c r="B6" s="103"/>
      <c r="C6" s="103"/>
      <c r="D6" s="104"/>
      <c r="E6" s="105" t="s">
        <v>836</v>
      </c>
      <c r="F6" s="106"/>
      <c r="G6" s="106"/>
      <c r="H6" s="106"/>
      <c r="I6" s="106"/>
      <c r="J6" s="106"/>
      <c r="K6" s="107"/>
      <c r="L6" s="108" t="s">
        <v>837</v>
      </c>
      <c r="M6" s="106"/>
      <c r="N6" s="109"/>
      <c r="O6" s="110" t="s">
        <v>838</v>
      </c>
      <c r="P6" s="106"/>
      <c r="Q6" s="109"/>
      <c r="R6" s="110" t="s">
        <v>838</v>
      </c>
      <c r="S6" s="106"/>
      <c r="T6" s="109"/>
      <c r="U6" s="110" t="s">
        <v>839</v>
      </c>
      <c r="V6" s="106"/>
      <c r="W6" s="107"/>
      <c r="X6" s="111" t="s">
        <v>837</v>
      </c>
      <c r="Y6" s="106"/>
      <c r="Z6" s="112"/>
    </row>
    <row r="7" ht="14.25" customHeight="1">
      <c r="A7" s="113"/>
      <c r="B7" s="113"/>
      <c r="C7" s="113"/>
      <c r="D7" s="114"/>
      <c r="E7" s="115" t="s">
        <v>840</v>
      </c>
      <c r="F7" s="116" t="s">
        <v>841</v>
      </c>
      <c r="G7" s="116" t="s">
        <v>842</v>
      </c>
      <c r="H7" s="116" t="s">
        <v>843</v>
      </c>
      <c r="I7" s="116" t="s">
        <v>844</v>
      </c>
      <c r="J7" s="116" t="s">
        <v>845</v>
      </c>
      <c r="K7" s="116" t="s">
        <v>846</v>
      </c>
      <c r="L7" s="116" t="s">
        <v>840</v>
      </c>
      <c r="M7" s="116" t="s">
        <v>847</v>
      </c>
      <c r="N7" s="117" t="s">
        <v>846</v>
      </c>
      <c r="O7" s="118" t="s">
        <v>840</v>
      </c>
      <c r="P7" s="119" t="s">
        <v>845</v>
      </c>
      <c r="Q7" s="120" t="s">
        <v>846</v>
      </c>
      <c r="R7" s="118" t="s">
        <v>840</v>
      </c>
      <c r="S7" s="119" t="s">
        <v>845</v>
      </c>
      <c r="T7" s="120" t="s">
        <v>846</v>
      </c>
      <c r="U7" s="118" t="s">
        <v>840</v>
      </c>
      <c r="V7" s="119" t="s">
        <v>847</v>
      </c>
      <c r="W7" s="119" t="s">
        <v>846</v>
      </c>
      <c r="X7" s="119" t="s">
        <v>840</v>
      </c>
      <c r="Y7" s="119" t="s">
        <v>847</v>
      </c>
      <c r="Z7" s="121" t="s">
        <v>846</v>
      </c>
    </row>
    <row r="8" ht="14.25" customHeight="1">
      <c r="A8" s="122" t="s">
        <v>848</v>
      </c>
      <c r="B8" s="123"/>
      <c r="C8" s="124"/>
      <c r="D8" s="125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</row>
    <row r="9" ht="14.25" customHeight="1">
      <c r="A9" s="126" t="s">
        <v>849</v>
      </c>
      <c r="B9" s="127" t="s">
        <v>795</v>
      </c>
      <c r="C9" s="116" t="s">
        <v>850</v>
      </c>
      <c r="D9" s="128">
        <v>16.0</v>
      </c>
      <c r="E9" s="129"/>
      <c r="F9" s="129"/>
      <c r="G9" s="129"/>
      <c r="H9" s="129"/>
      <c r="I9" s="130">
        <v>700000.0</v>
      </c>
      <c r="J9" s="131">
        <f t="shared" ref="J9:J16" si="1">SUM(F9:I9)</f>
        <v>700000</v>
      </c>
      <c r="K9" s="131">
        <f t="shared" ref="K9:K16" si="2">SUM(E9,J9)</f>
        <v>700000</v>
      </c>
      <c r="L9" s="131">
        <f t="shared" ref="L9:L16" si="3">$D9*E9</f>
        <v>0</v>
      </c>
      <c r="M9" s="131">
        <f t="shared" ref="M9:M16" si="4">$D9*(SUM(F9:I9))</f>
        <v>11200000</v>
      </c>
      <c r="N9" s="131">
        <f t="shared" ref="N9:N16" si="5">L9+M9</f>
        <v>11200000</v>
      </c>
      <c r="O9" s="131">
        <f t="shared" ref="O9:O16" si="6">L9</f>
        <v>0</v>
      </c>
      <c r="P9" s="131">
        <f t="shared" ref="P9:P16" si="7">(P$130*M9)/M$130</f>
        <v>12790400</v>
      </c>
      <c r="Q9" s="131">
        <f t="shared" ref="Q9:Q16" si="8">O9+P9</f>
        <v>12790400</v>
      </c>
      <c r="R9" s="131">
        <f t="shared" ref="R9:R16" si="9">L9</f>
        <v>0</v>
      </c>
      <c r="S9" s="131">
        <f t="shared" ref="S9:S16" si="10">(S$130*P9)/P$130</f>
        <v>15988000</v>
      </c>
      <c r="T9" s="131">
        <f t="shared" ref="T9:T16" si="11">R9+S9</f>
        <v>15988000</v>
      </c>
      <c r="U9" s="131" t="str">
        <f t="shared" ref="U9:U16" si="12">E9</f>
        <v/>
      </c>
      <c r="V9" s="131">
        <f t="shared" ref="V9:V16" si="13">Y9/D9</f>
        <v>1081188.5</v>
      </c>
      <c r="W9" s="131">
        <f t="shared" ref="W9:W16" si="14">U9+V9</f>
        <v>1081188.5</v>
      </c>
      <c r="X9" s="131">
        <f t="shared" ref="X9:X16" si="15">L9</f>
        <v>0</v>
      </c>
      <c r="Y9" s="131">
        <f t="shared" ref="Y9:Y16" si="16">(Y$130*S9)/S$130</f>
        <v>17299016</v>
      </c>
      <c r="Z9" s="131">
        <f t="shared" ref="Z9:Z16" si="17">X9+Y9</f>
        <v>17299016</v>
      </c>
    </row>
    <row r="10" ht="14.25" customHeight="1">
      <c r="A10" s="126" t="s">
        <v>851</v>
      </c>
      <c r="B10" s="127" t="s">
        <v>852</v>
      </c>
      <c r="C10" s="116" t="s">
        <v>850</v>
      </c>
      <c r="D10" s="128">
        <f>D9</f>
        <v>16</v>
      </c>
      <c r="E10" s="129"/>
      <c r="F10" s="129"/>
      <c r="G10" s="129"/>
      <c r="H10" s="129"/>
      <c r="I10" s="132">
        <v>240000.0</v>
      </c>
      <c r="J10" s="131">
        <f t="shared" si="1"/>
        <v>240000</v>
      </c>
      <c r="K10" s="131">
        <f t="shared" si="2"/>
        <v>240000</v>
      </c>
      <c r="L10" s="131">
        <f t="shared" si="3"/>
        <v>0</v>
      </c>
      <c r="M10" s="131">
        <f t="shared" si="4"/>
        <v>3840000</v>
      </c>
      <c r="N10" s="131">
        <f t="shared" si="5"/>
        <v>3840000</v>
      </c>
      <c r="O10" s="131">
        <f t="shared" si="6"/>
        <v>0</v>
      </c>
      <c r="P10" s="131">
        <f t="shared" si="7"/>
        <v>4385280</v>
      </c>
      <c r="Q10" s="131">
        <f t="shared" si="8"/>
        <v>4385280</v>
      </c>
      <c r="R10" s="131">
        <f t="shared" si="9"/>
        <v>0</v>
      </c>
      <c r="S10" s="131">
        <f t="shared" si="10"/>
        <v>5481600</v>
      </c>
      <c r="T10" s="131">
        <f t="shared" si="11"/>
        <v>5481600</v>
      </c>
      <c r="U10" s="131" t="str">
        <f t="shared" si="12"/>
        <v/>
      </c>
      <c r="V10" s="131">
        <f t="shared" si="13"/>
        <v>370693.2</v>
      </c>
      <c r="W10" s="131">
        <f t="shared" si="14"/>
        <v>370693.2</v>
      </c>
      <c r="X10" s="131">
        <f t="shared" si="15"/>
        <v>0</v>
      </c>
      <c r="Y10" s="131">
        <f t="shared" si="16"/>
        <v>5931091.2</v>
      </c>
      <c r="Z10" s="131">
        <f t="shared" si="17"/>
        <v>5931091.2</v>
      </c>
    </row>
    <row r="11" ht="14.25" customHeight="1">
      <c r="A11" s="126" t="s">
        <v>853</v>
      </c>
      <c r="B11" s="127" t="s">
        <v>854</v>
      </c>
      <c r="C11" s="116" t="s">
        <v>855</v>
      </c>
      <c r="D11" s="133">
        <v>1.0</v>
      </c>
      <c r="E11" s="129"/>
      <c r="F11" s="129"/>
      <c r="G11" s="129"/>
      <c r="H11" s="129"/>
      <c r="I11" s="132">
        <v>5000000.0</v>
      </c>
      <c r="J11" s="131">
        <f t="shared" si="1"/>
        <v>5000000</v>
      </c>
      <c r="K11" s="131">
        <f t="shared" si="2"/>
        <v>5000000</v>
      </c>
      <c r="L11" s="131">
        <f t="shared" si="3"/>
        <v>0</v>
      </c>
      <c r="M11" s="131">
        <f t="shared" si="4"/>
        <v>5000000</v>
      </c>
      <c r="N11" s="131">
        <f t="shared" si="5"/>
        <v>5000000</v>
      </c>
      <c r="O11" s="131">
        <f t="shared" si="6"/>
        <v>0</v>
      </c>
      <c r="P11" s="131">
        <f t="shared" si="7"/>
        <v>5710000</v>
      </c>
      <c r="Q11" s="131">
        <f t="shared" si="8"/>
        <v>5710000</v>
      </c>
      <c r="R11" s="131">
        <f t="shared" si="9"/>
        <v>0</v>
      </c>
      <c r="S11" s="131">
        <f t="shared" si="10"/>
        <v>7137500</v>
      </c>
      <c r="T11" s="131">
        <f t="shared" si="11"/>
        <v>7137500</v>
      </c>
      <c r="U11" s="131" t="str">
        <f t="shared" si="12"/>
        <v/>
      </c>
      <c r="V11" s="131">
        <f t="shared" si="13"/>
        <v>7722775</v>
      </c>
      <c r="W11" s="131">
        <f t="shared" si="14"/>
        <v>7722775</v>
      </c>
      <c r="X11" s="131">
        <f t="shared" si="15"/>
        <v>0</v>
      </c>
      <c r="Y11" s="131">
        <f t="shared" si="16"/>
        <v>7722775</v>
      </c>
      <c r="Z11" s="131">
        <f t="shared" si="17"/>
        <v>7722775</v>
      </c>
    </row>
    <row r="12" ht="14.25" customHeight="1">
      <c r="A12" s="126" t="s">
        <v>856</v>
      </c>
      <c r="B12" s="127" t="s">
        <v>857</v>
      </c>
      <c r="C12" s="116" t="s">
        <v>850</v>
      </c>
      <c r="D12" s="128">
        <f>D9</f>
        <v>16</v>
      </c>
      <c r="E12" s="129"/>
      <c r="F12" s="129"/>
      <c r="G12" s="129"/>
      <c r="H12" s="129"/>
      <c r="I12" s="130">
        <v>1000000.0</v>
      </c>
      <c r="J12" s="131">
        <f t="shared" si="1"/>
        <v>1000000</v>
      </c>
      <c r="K12" s="131">
        <f t="shared" si="2"/>
        <v>1000000</v>
      </c>
      <c r="L12" s="131">
        <f t="shared" si="3"/>
        <v>0</v>
      </c>
      <c r="M12" s="131">
        <f t="shared" si="4"/>
        <v>16000000</v>
      </c>
      <c r="N12" s="131">
        <f t="shared" si="5"/>
        <v>16000000</v>
      </c>
      <c r="O12" s="131">
        <f t="shared" si="6"/>
        <v>0</v>
      </c>
      <c r="P12" s="131">
        <f t="shared" si="7"/>
        <v>18272000</v>
      </c>
      <c r="Q12" s="131">
        <f t="shared" si="8"/>
        <v>18272000</v>
      </c>
      <c r="R12" s="131">
        <f t="shared" si="9"/>
        <v>0</v>
      </c>
      <c r="S12" s="131">
        <f t="shared" si="10"/>
        <v>22840000</v>
      </c>
      <c r="T12" s="131">
        <f t="shared" si="11"/>
        <v>22840000</v>
      </c>
      <c r="U12" s="131" t="str">
        <f t="shared" si="12"/>
        <v/>
      </c>
      <c r="V12" s="131">
        <f t="shared" si="13"/>
        <v>1544555</v>
      </c>
      <c r="W12" s="131">
        <f t="shared" si="14"/>
        <v>1544555</v>
      </c>
      <c r="X12" s="131">
        <f t="shared" si="15"/>
        <v>0</v>
      </c>
      <c r="Y12" s="131">
        <f t="shared" si="16"/>
        <v>24712880</v>
      </c>
      <c r="Z12" s="131">
        <f t="shared" si="17"/>
        <v>24712880</v>
      </c>
    </row>
    <row r="13" ht="14.25" customHeight="1">
      <c r="A13" s="126" t="s">
        <v>858</v>
      </c>
      <c r="B13" s="127" t="s">
        <v>859</v>
      </c>
      <c r="C13" s="116" t="s">
        <v>850</v>
      </c>
      <c r="D13" s="128">
        <f>D9</f>
        <v>16</v>
      </c>
      <c r="E13" s="129"/>
      <c r="F13" s="129"/>
      <c r="G13" s="129"/>
      <c r="H13" s="129"/>
      <c r="I13" s="132">
        <v>1000000.0</v>
      </c>
      <c r="J13" s="131">
        <f t="shared" si="1"/>
        <v>1000000</v>
      </c>
      <c r="K13" s="131">
        <f t="shared" si="2"/>
        <v>1000000</v>
      </c>
      <c r="L13" s="131">
        <f t="shared" si="3"/>
        <v>0</v>
      </c>
      <c r="M13" s="131">
        <f t="shared" si="4"/>
        <v>16000000</v>
      </c>
      <c r="N13" s="131">
        <f t="shared" si="5"/>
        <v>16000000</v>
      </c>
      <c r="O13" s="131">
        <f t="shared" si="6"/>
        <v>0</v>
      </c>
      <c r="P13" s="131">
        <f t="shared" si="7"/>
        <v>18272000</v>
      </c>
      <c r="Q13" s="131">
        <f t="shared" si="8"/>
        <v>18272000</v>
      </c>
      <c r="R13" s="131">
        <f t="shared" si="9"/>
        <v>0</v>
      </c>
      <c r="S13" s="131">
        <f t="shared" si="10"/>
        <v>22840000</v>
      </c>
      <c r="T13" s="131">
        <f t="shared" si="11"/>
        <v>22840000</v>
      </c>
      <c r="U13" s="131" t="str">
        <f t="shared" si="12"/>
        <v/>
      </c>
      <c r="V13" s="131">
        <f t="shared" si="13"/>
        <v>1544555</v>
      </c>
      <c r="W13" s="131">
        <f t="shared" si="14"/>
        <v>1544555</v>
      </c>
      <c r="X13" s="131">
        <f t="shared" si="15"/>
        <v>0</v>
      </c>
      <c r="Y13" s="131">
        <f t="shared" si="16"/>
        <v>24712880</v>
      </c>
      <c r="Z13" s="131">
        <f t="shared" si="17"/>
        <v>24712880</v>
      </c>
    </row>
    <row r="14" ht="14.25" customHeight="1">
      <c r="A14" s="126" t="s">
        <v>860</v>
      </c>
      <c r="B14" s="127" t="s">
        <v>861</v>
      </c>
      <c r="C14" s="116" t="s">
        <v>850</v>
      </c>
      <c r="D14" s="128">
        <f>D9</f>
        <v>16</v>
      </c>
      <c r="E14" s="129"/>
      <c r="F14" s="129"/>
      <c r="G14" s="129"/>
      <c r="H14" s="129"/>
      <c r="I14" s="130">
        <v>3000000.0</v>
      </c>
      <c r="J14" s="131">
        <f t="shared" si="1"/>
        <v>3000000</v>
      </c>
      <c r="K14" s="131">
        <f t="shared" si="2"/>
        <v>3000000</v>
      </c>
      <c r="L14" s="131">
        <f t="shared" si="3"/>
        <v>0</v>
      </c>
      <c r="M14" s="131">
        <f t="shared" si="4"/>
        <v>48000000</v>
      </c>
      <c r="N14" s="131">
        <f t="shared" si="5"/>
        <v>48000000</v>
      </c>
      <c r="O14" s="131">
        <f t="shared" si="6"/>
        <v>0</v>
      </c>
      <c r="P14" s="131">
        <f t="shared" si="7"/>
        <v>54816000</v>
      </c>
      <c r="Q14" s="131">
        <f t="shared" si="8"/>
        <v>54816000</v>
      </c>
      <c r="R14" s="131">
        <f t="shared" si="9"/>
        <v>0</v>
      </c>
      <c r="S14" s="131">
        <f t="shared" si="10"/>
        <v>68520000</v>
      </c>
      <c r="T14" s="131">
        <f t="shared" si="11"/>
        <v>68520000</v>
      </c>
      <c r="U14" s="131" t="str">
        <f t="shared" si="12"/>
        <v/>
      </c>
      <c r="V14" s="131">
        <f t="shared" si="13"/>
        <v>4633665</v>
      </c>
      <c r="W14" s="131">
        <f t="shared" si="14"/>
        <v>4633665</v>
      </c>
      <c r="X14" s="131">
        <f t="shared" si="15"/>
        <v>0</v>
      </c>
      <c r="Y14" s="131">
        <f t="shared" si="16"/>
        <v>74138640</v>
      </c>
      <c r="Z14" s="131">
        <f t="shared" si="17"/>
        <v>74138640</v>
      </c>
    </row>
    <row r="15" ht="14.25" customHeight="1">
      <c r="A15" s="126" t="s">
        <v>862</v>
      </c>
      <c r="B15" s="127" t="s">
        <v>863</v>
      </c>
      <c r="C15" s="116" t="s">
        <v>855</v>
      </c>
      <c r="D15" s="133">
        <v>1.0</v>
      </c>
      <c r="E15" s="129"/>
      <c r="F15" s="129"/>
      <c r="G15" s="129"/>
      <c r="H15" s="129"/>
      <c r="I15" s="132">
        <v>2000000.0</v>
      </c>
      <c r="J15" s="131">
        <f t="shared" si="1"/>
        <v>2000000</v>
      </c>
      <c r="K15" s="131">
        <f t="shared" si="2"/>
        <v>2000000</v>
      </c>
      <c r="L15" s="131">
        <f t="shared" si="3"/>
        <v>0</v>
      </c>
      <c r="M15" s="131">
        <f t="shared" si="4"/>
        <v>2000000</v>
      </c>
      <c r="N15" s="131">
        <f t="shared" si="5"/>
        <v>2000000</v>
      </c>
      <c r="O15" s="131">
        <f t="shared" si="6"/>
        <v>0</v>
      </c>
      <c r="P15" s="131">
        <f t="shared" si="7"/>
        <v>2284000</v>
      </c>
      <c r="Q15" s="131">
        <f t="shared" si="8"/>
        <v>2284000</v>
      </c>
      <c r="R15" s="131">
        <f t="shared" si="9"/>
        <v>0</v>
      </c>
      <c r="S15" s="131">
        <f t="shared" si="10"/>
        <v>2855000</v>
      </c>
      <c r="T15" s="131">
        <f t="shared" si="11"/>
        <v>2855000</v>
      </c>
      <c r="U15" s="131" t="str">
        <f t="shared" si="12"/>
        <v/>
      </c>
      <c r="V15" s="131">
        <f t="shared" si="13"/>
        <v>3089110</v>
      </c>
      <c r="W15" s="131">
        <f t="shared" si="14"/>
        <v>3089110</v>
      </c>
      <c r="X15" s="131">
        <f t="shared" si="15"/>
        <v>0</v>
      </c>
      <c r="Y15" s="131">
        <f t="shared" si="16"/>
        <v>3089110</v>
      </c>
      <c r="Z15" s="131">
        <f t="shared" si="17"/>
        <v>3089110</v>
      </c>
    </row>
    <row r="16">
      <c r="A16" s="126" t="s">
        <v>864</v>
      </c>
      <c r="B16" s="127" t="s">
        <v>865</v>
      </c>
      <c r="C16" s="116" t="s">
        <v>855</v>
      </c>
      <c r="D16" s="133">
        <v>1.0</v>
      </c>
      <c r="E16" s="134"/>
      <c r="F16" s="129"/>
      <c r="G16" s="129">
        <f>ESTRUCTURA!I50</f>
        <v>129142648</v>
      </c>
      <c r="H16" s="129"/>
      <c r="I16" s="132"/>
      <c r="J16" s="131">
        <f t="shared" si="1"/>
        <v>129142648</v>
      </c>
      <c r="K16" s="131">
        <f t="shared" si="2"/>
        <v>129142648</v>
      </c>
      <c r="L16" s="131">
        <f t="shared" si="3"/>
        <v>0</v>
      </c>
      <c r="M16" s="131">
        <f t="shared" si="4"/>
        <v>129142648</v>
      </c>
      <c r="N16" s="131">
        <f t="shared" si="5"/>
        <v>129142648</v>
      </c>
      <c r="O16" s="131">
        <f t="shared" si="6"/>
        <v>0</v>
      </c>
      <c r="P16" s="131">
        <f t="shared" si="7"/>
        <v>147480904</v>
      </c>
      <c r="Q16" s="131">
        <f t="shared" si="8"/>
        <v>147480904</v>
      </c>
      <c r="R16" s="131">
        <f t="shared" si="9"/>
        <v>0</v>
      </c>
      <c r="S16" s="131">
        <f t="shared" si="10"/>
        <v>184351130</v>
      </c>
      <c r="T16" s="131">
        <f t="shared" si="11"/>
        <v>184351130</v>
      </c>
      <c r="U16" s="131" t="str">
        <f t="shared" si="12"/>
        <v/>
      </c>
      <c r="V16" s="131">
        <f t="shared" si="13"/>
        <v>199467922.7</v>
      </c>
      <c r="W16" s="131">
        <f t="shared" si="14"/>
        <v>199467922.7</v>
      </c>
      <c r="X16" s="131">
        <f t="shared" si="15"/>
        <v>0</v>
      </c>
      <c r="Y16" s="131">
        <f t="shared" si="16"/>
        <v>199467922.7</v>
      </c>
      <c r="Z16" s="131">
        <f t="shared" si="17"/>
        <v>199467922.7</v>
      </c>
    </row>
    <row r="17" ht="14.25" customHeight="1">
      <c r="A17" s="135" t="s">
        <v>866</v>
      </c>
      <c r="B17" s="123"/>
      <c r="C17" s="124"/>
      <c r="D17" s="125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124"/>
      <c r="Z17" s="124"/>
    </row>
    <row r="18" ht="14.25" customHeight="1">
      <c r="A18" s="126" t="s">
        <v>867</v>
      </c>
      <c r="B18" s="127" t="s">
        <v>868</v>
      </c>
      <c r="C18" s="136" t="s">
        <v>869</v>
      </c>
      <c r="D18" s="133">
        <f>172*2.13</f>
        <v>366.36</v>
      </c>
      <c r="E18" s="129">
        <f>'0.9'!$I$22</f>
        <v>0</v>
      </c>
      <c r="F18" s="129">
        <f>'0.9'!$I$36</f>
        <v>0</v>
      </c>
      <c r="G18" s="129">
        <f>'0.9'!$I$50</f>
        <v>37504.09433</v>
      </c>
      <c r="H18" s="129">
        <f>'0.9'!$I$64</f>
        <v>0</v>
      </c>
      <c r="I18" s="129">
        <f>'0.9'!$I$78</f>
        <v>0</v>
      </c>
      <c r="J18" s="131">
        <f t="shared" ref="J18:J20" si="18">SUM(F18:I18)</f>
        <v>37504.09433</v>
      </c>
      <c r="K18" s="131">
        <f t="shared" ref="K18:K20" si="19">SUM(E18,J18)</f>
        <v>37504.09433</v>
      </c>
      <c r="L18" s="131">
        <f t="shared" ref="L18:L20" si="20">$D18*E18</f>
        <v>0</v>
      </c>
      <c r="M18" s="131">
        <f t="shared" ref="M18:M20" si="21">$D18*(SUM(F18:I18))</f>
        <v>13740000</v>
      </c>
      <c r="N18" s="131">
        <f t="shared" ref="N18:N20" si="22">L18+M18</f>
        <v>13740000</v>
      </c>
      <c r="O18" s="131">
        <f t="shared" ref="O18:O20" si="23">L18</f>
        <v>0</v>
      </c>
      <c r="P18" s="131">
        <f t="shared" ref="P18:P20" si="24">(P$130*M18)/M$130</f>
        <v>15691080</v>
      </c>
      <c r="Q18" s="131">
        <f t="shared" ref="Q18:Q20" si="25">O18+P18</f>
        <v>15691080</v>
      </c>
      <c r="R18" s="131">
        <f t="shared" ref="R18:R20" si="26">L18</f>
        <v>0</v>
      </c>
      <c r="S18" s="131">
        <f t="shared" ref="S18:S20" si="27">(S$130*P18)/P$130</f>
        <v>19613850</v>
      </c>
      <c r="T18" s="131">
        <f t="shared" ref="T18:T20" si="28">R18+S18</f>
        <v>19613850</v>
      </c>
      <c r="U18" s="131">
        <f t="shared" ref="U18:U20" si="29">E18</f>
        <v>0</v>
      </c>
      <c r="V18" s="131">
        <f t="shared" ref="V18:V20" si="30">Y18/D18</f>
        <v>57927.13642</v>
      </c>
      <c r="W18" s="131">
        <f t="shared" ref="W18:W20" si="31">U18+V18</f>
        <v>57927.13642</v>
      </c>
      <c r="X18" s="131">
        <f t="shared" ref="X18:X20" si="32">L18</f>
        <v>0</v>
      </c>
      <c r="Y18" s="131">
        <f t="shared" ref="Y18:Y20" si="33">(Y$130*S18)/S$130</f>
        <v>21222185.7</v>
      </c>
      <c r="Z18" s="131">
        <f t="shared" ref="Z18:Z20" si="34">X18+Y18</f>
        <v>21222185.7</v>
      </c>
    </row>
    <row r="19" ht="14.25" customHeight="1">
      <c r="A19" s="126" t="s">
        <v>870</v>
      </c>
      <c r="B19" s="127" t="s">
        <v>871</v>
      </c>
      <c r="C19" s="136" t="s">
        <v>869</v>
      </c>
      <c r="D19" s="133">
        <f>(45*0.4)*0.3</f>
        <v>5.4</v>
      </c>
      <c r="E19" s="129">
        <f>'0.10'!$I$22</f>
        <v>0</v>
      </c>
      <c r="F19" s="129">
        <f>'0.10'!$I$36</f>
        <v>0</v>
      </c>
      <c r="G19" s="129">
        <f>'0.10'!$I$50</f>
        <v>50000</v>
      </c>
      <c r="H19" s="129">
        <f>'0.10'!$I$64</f>
        <v>0</v>
      </c>
      <c r="I19" s="129">
        <f>'0.10'!$I$78</f>
        <v>0</v>
      </c>
      <c r="J19" s="131">
        <f t="shared" si="18"/>
        <v>50000</v>
      </c>
      <c r="K19" s="131">
        <f t="shared" si="19"/>
        <v>50000</v>
      </c>
      <c r="L19" s="131">
        <f t="shared" si="20"/>
        <v>0</v>
      </c>
      <c r="M19" s="131">
        <f t="shared" si="21"/>
        <v>270000</v>
      </c>
      <c r="N19" s="131">
        <f t="shared" si="22"/>
        <v>270000</v>
      </c>
      <c r="O19" s="131">
        <f t="shared" si="23"/>
        <v>0</v>
      </c>
      <c r="P19" s="131">
        <f t="shared" si="24"/>
        <v>308340</v>
      </c>
      <c r="Q19" s="131">
        <f t="shared" si="25"/>
        <v>308340</v>
      </c>
      <c r="R19" s="131">
        <f t="shared" si="26"/>
        <v>0</v>
      </c>
      <c r="S19" s="131">
        <f t="shared" si="27"/>
        <v>385425</v>
      </c>
      <c r="T19" s="131">
        <f t="shared" si="28"/>
        <v>385425</v>
      </c>
      <c r="U19" s="131">
        <f t="shared" si="29"/>
        <v>0</v>
      </c>
      <c r="V19" s="131">
        <f t="shared" si="30"/>
        <v>77227.75</v>
      </c>
      <c r="W19" s="131">
        <f t="shared" si="31"/>
        <v>77227.75</v>
      </c>
      <c r="X19" s="131">
        <f t="shared" si="32"/>
        <v>0</v>
      </c>
      <c r="Y19" s="131">
        <f t="shared" si="33"/>
        <v>417029.85</v>
      </c>
      <c r="Z19" s="131">
        <f t="shared" si="34"/>
        <v>417029.85</v>
      </c>
    </row>
    <row r="20" ht="14.25" customHeight="1">
      <c r="A20" s="126" t="s">
        <v>872</v>
      </c>
      <c r="B20" s="127" t="s">
        <v>873</v>
      </c>
      <c r="C20" s="136" t="s">
        <v>869</v>
      </c>
      <c r="D20" s="133">
        <f>6*46</f>
        <v>276</v>
      </c>
      <c r="E20" s="129">
        <f>'0.11'!$I$22</f>
        <v>0</v>
      </c>
      <c r="F20" s="129">
        <f>'0.11'!$I$36</f>
        <v>0</v>
      </c>
      <c r="G20" s="129">
        <f>'0.11'!$I$50</f>
        <v>37500</v>
      </c>
      <c r="H20" s="129">
        <f>'0.11'!$I$64</f>
        <v>0</v>
      </c>
      <c r="I20" s="129">
        <f>'0.11'!$I$78</f>
        <v>0</v>
      </c>
      <c r="J20" s="131">
        <f t="shared" si="18"/>
        <v>37500</v>
      </c>
      <c r="K20" s="131">
        <f t="shared" si="19"/>
        <v>37500</v>
      </c>
      <c r="L20" s="131">
        <f t="shared" si="20"/>
        <v>0</v>
      </c>
      <c r="M20" s="131">
        <f t="shared" si="21"/>
        <v>10350000</v>
      </c>
      <c r="N20" s="131">
        <f t="shared" si="22"/>
        <v>10350000</v>
      </c>
      <c r="O20" s="131">
        <f t="shared" si="23"/>
        <v>0</v>
      </c>
      <c r="P20" s="131">
        <f t="shared" si="24"/>
        <v>11819700</v>
      </c>
      <c r="Q20" s="131">
        <f t="shared" si="25"/>
        <v>11819700</v>
      </c>
      <c r="R20" s="131">
        <f t="shared" si="26"/>
        <v>0</v>
      </c>
      <c r="S20" s="131">
        <f t="shared" si="27"/>
        <v>14774625</v>
      </c>
      <c r="T20" s="131">
        <f t="shared" si="28"/>
        <v>14774625</v>
      </c>
      <c r="U20" s="131">
        <f t="shared" si="29"/>
        <v>0</v>
      </c>
      <c r="V20" s="131">
        <f t="shared" si="30"/>
        <v>57920.8125</v>
      </c>
      <c r="W20" s="131">
        <f t="shared" si="31"/>
        <v>57920.8125</v>
      </c>
      <c r="X20" s="131">
        <f t="shared" si="32"/>
        <v>0</v>
      </c>
      <c r="Y20" s="131">
        <f t="shared" si="33"/>
        <v>15986144.25</v>
      </c>
      <c r="Z20" s="131">
        <f t="shared" si="34"/>
        <v>15986144.25</v>
      </c>
    </row>
    <row r="21" ht="14.25" customHeight="1">
      <c r="A21" s="135" t="s">
        <v>874</v>
      </c>
      <c r="B21" s="123"/>
      <c r="C21" s="124"/>
      <c r="D21" s="125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</row>
    <row r="22" ht="14.25" customHeight="1">
      <c r="A22" s="126" t="s">
        <v>875</v>
      </c>
      <c r="B22" s="127" t="s">
        <v>876</v>
      </c>
      <c r="C22" s="136" t="s">
        <v>869</v>
      </c>
      <c r="D22" s="133">
        <v>108.0</v>
      </c>
      <c r="E22" s="129">
        <f>'0.12'!$I$22</f>
        <v>264204.4859</v>
      </c>
      <c r="F22" s="129">
        <f>'0.12'!$I$36</f>
        <v>65000</v>
      </c>
      <c r="G22" s="129">
        <f>'0.12'!$I$50</f>
        <v>0</v>
      </c>
      <c r="H22" s="129">
        <f>'0.12'!$I$64</f>
        <v>6111.111111</v>
      </c>
      <c r="I22" s="129">
        <f>'0.12'!$I$78</f>
        <v>0</v>
      </c>
      <c r="J22" s="131">
        <f t="shared" ref="J22:J25" si="35">SUM(F22:I22)</f>
        <v>71111.11111</v>
      </c>
      <c r="K22" s="131">
        <f t="shared" ref="K22:K25" si="36">SUM(E22,J22)</f>
        <v>335315.597</v>
      </c>
      <c r="L22" s="131">
        <f t="shared" ref="L22:L25" si="37">$D22*E22</f>
        <v>28534084.48</v>
      </c>
      <c r="M22" s="131">
        <f t="shared" ref="M22:M25" si="38">$D22*(SUM(F22:I22))</f>
        <v>7680000</v>
      </c>
      <c r="N22" s="131">
        <f t="shared" ref="N22:N25" si="39">L22+M22</f>
        <v>36214084.48</v>
      </c>
      <c r="O22" s="131">
        <f t="shared" ref="O22:O25" si="40">L22</f>
        <v>28534084.48</v>
      </c>
      <c r="P22" s="131">
        <f t="shared" ref="P22:P25" si="41">(P$130*M22)/M$130</f>
        <v>8770560</v>
      </c>
      <c r="Q22" s="131">
        <f t="shared" ref="Q22:Q25" si="42">O22+P22</f>
        <v>37304644.48</v>
      </c>
      <c r="R22" s="131">
        <f t="shared" ref="R22:R25" si="43">L22</f>
        <v>28534084.48</v>
      </c>
      <c r="S22" s="131">
        <f t="shared" ref="S22:S25" si="44">(S$130*P22)/P$130</f>
        <v>10963200</v>
      </c>
      <c r="T22" s="131">
        <f t="shared" ref="T22:T25" si="45">R22+S22</f>
        <v>39497284.48</v>
      </c>
      <c r="U22" s="131">
        <f t="shared" ref="U22:U25" si="46">E22</f>
        <v>264204.4859</v>
      </c>
      <c r="V22" s="131">
        <f t="shared" ref="V22:V25" si="47">Y22/D22</f>
        <v>109835.0222</v>
      </c>
      <c r="W22" s="131">
        <f t="shared" ref="W22:W25" si="48">U22+V22</f>
        <v>374039.5081</v>
      </c>
      <c r="X22" s="131">
        <f t="shared" ref="X22:X25" si="49">L22</f>
        <v>28534084.48</v>
      </c>
      <c r="Y22" s="131">
        <f t="shared" ref="Y22:Y25" si="50">(Y$130*S22)/S$130</f>
        <v>11862182.4</v>
      </c>
      <c r="Z22" s="131">
        <f t="shared" ref="Z22:Z25" si="51">X22+Y22</f>
        <v>40396266.88</v>
      </c>
    </row>
    <row r="23" ht="14.25" customHeight="1">
      <c r="A23" s="126" t="s">
        <v>877</v>
      </c>
      <c r="B23" s="127" t="s">
        <v>878</v>
      </c>
      <c r="C23" s="136" t="s">
        <v>869</v>
      </c>
      <c r="D23" s="133">
        <v>20.0</v>
      </c>
      <c r="E23" s="129">
        <f>'0.13'!$I$22</f>
        <v>290615.563</v>
      </c>
      <c r="F23" s="129">
        <f>'0.13'!$I$36</f>
        <v>351000</v>
      </c>
      <c r="G23" s="129">
        <f>'0.13'!$I$50</f>
        <v>0</v>
      </c>
      <c r="H23" s="129">
        <f>'0.13'!$I$64</f>
        <v>13475</v>
      </c>
      <c r="I23" s="129">
        <f>'0.13'!$I$78</f>
        <v>0</v>
      </c>
      <c r="J23" s="131">
        <f t="shared" si="35"/>
        <v>364475</v>
      </c>
      <c r="K23" s="131">
        <f t="shared" si="36"/>
        <v>655090.563</v>
      </c>
      <c r="L23" s="131">
        <f t="shared" si="37"/>
        <v>5812311.26</v>
      </c>
      <c r="M23" s="131">
        <f t="shared" si="38"/>
        <v>7289500</v>
      </c>
      <c r="N23" s="131">
        <f t="shared" si="39"/>
        <v>13101811.26</v>
      </c>
      <c r="O23" s="131">
        <f t="shared" si="40"/>
        <v>5812311.26</v>
      </c>
      <c r="P23" s="131">
        <f t="shared" si="41"/>
        <v>8324609</v>
      </c>
      <c r="Q23" s="131">
        <f t="shared" si="42"/>
        <v>14136920.26</v>
      </c>
      <c r="R23" s="131">
        <f t="shared" si="43"/>
        <v>5812311.26</v>
      </c>
      <c r="S23" s="131">
        <f t="shared" si="44"/>
        <v>10405761.25</v>
      </c>
      <c r="T23" s="131">
        <f t="shared" si="45"/>
        <v>16218072.51</v>
      </c>
      <c r="U23" s="131">
        <f t="shared" si="46"/>
        <v>290615.563</v>
      </c>
      <c r="V23" s="131">
        <f t="shared" si="47"/>
        <v>562951.6836</v>
      </c>
      <c r="W23" s="131">
        <f t="shared" si="48"/>
        <v>853567.2466</v>
      </c>
      <c r="X23" s="131">
        <f t="shared" si="49"/>
        <v>5812311.26</v>
      </c>
      <c r="Y23" s="131">
        <f t="shared" si="50"/>
        <v>11259033.67</v>
      </c>
      <c r="Z23" s="131">
        <f t="shared" si="51"/>
        <v>17071344.93</v>
      </c>
    </row>
    <row r="24" ht="14.25" customHeight="1">
      <c r="A24" s="126" t="s">
        <v>879</v>
      </c>
      <c r="B24" s="127" t="s">
        <v>880</v>
      </c>
      <c r="C24" s="136" t="s">
        <v>869</v>
      </c>
      <c r="D24" s="133">
        <f>D19</f>
        <v>5.4</v>
      </c>
      <c r="E24" s="129">
        <f>'0.14'!$I$22</f>
        <v>389379.4444</v>
      </c>
      <c r="F24" s="129">
        <f>'0.14'!$I$36</f>
        <v>386111.1111</v>
      </c>
      <c r="G24" s="129">
        <f>'0.14'!$I$50</f>
        <v>0</v>
      </c>
      <c r="H24" s="129">
        <f>'0.14'!$I$64</f>
        <v>0</v>
      </c>
      <c r="I24" s="129">
        <f>'0.14'!$I$78</f>
        <v>0</v>
      </c>
      <c r="J24" s="131">
        <f t="shared" si="35"/>
        <v>386111.1111</v>
      </c>
      <c r="K24" s="131">
        <f t="shared" si="36"/>
        <v>775490.5556</v>
      </c>
      <c r="L24" s="131">
        <f t="shared" si="37"/>
        <v>2102649</v>
      </c>
      <c r="M24" s="131">
        <f t="shared" si="38"/>
        <v>2085000</v>
      </c>
      <c r="N24" s="131">
        <f t="shared" si="39"/>
        <v>4187649</v>
      </c>
      <c r="O24" s="131">
        <f t="shared" si="40"/>
        <v>2102649</v>
      </c>
      <c r="P24" s="131">
        <f t="shared" si="41"/>
        <v>2381070</v>
      </c>
      <c r="Q24" s="131">
        <f t="shared" si="42"/>
        <v>4483719</v>
      </c>
      <c r="R24" s="131">
        <f t="shared" si="43"/>
        <v>2102649</v>
      </c>
      <c r="S24" s="131">
        <f t="shared" si="44"/>
        <v>2976337.5</v>
      </c>
      <c r="T24" s="131">
        <f t="shared" si="45"/>
        <v>5078986.5</v>
      </c>
      <c r="U24" s="131">
        <f t="shared" si="46"/>
        <v>389379.4444</v>
      </c>
      <c r="V24" s="131">
        <f t="shared" si="47"/>
        <v>596369.8472</v>
      </c>
      <c r="W24" s="131">
        <f t="shared" si="48"/>
        <v>985749.2917</v>
      </c>
      <c r="X24" s="131">
        <f t="shared" si="49"/>
        <v>2102649</v>
      </c>
      <c r="Y24" s="131">
        <f t="shared" si="50"/>
        <v>3220397.175</v>
      </c>
      <c r="Z24" s="131">
        <f t="shared" si="51"/>
        <v>5323046.175</v>
      </c>
    </row>
    <row r="25" ht="14.25" customHeight="1">
      <c r="A25" s="126" t="s">
        <v>881</v>
      </c>
      <c r="B25" s="127" t="s">
        <v>882</v>
      </c>
      <c r="C25" s="136" t="s">
        <v>869</v>
      </c>
      <c r="D25" s="133">
        <f>95*3*0.15</f>
        <v>42.75</v>
      </c>
      <c r="E25" s="129">
        <f>'0.15'!$I$22</f>
        <v>442353.6842</v>
      </c>
      <c r="F25" s="129">
        <f>'0.15'!$I$36</f>
        <v>369239.7661</v>
      </c>
      <c r="G25" s="129">
        <f>'0.15'!$I$50</f>
        <v>0</v>
      </c>
      <c r="H25" s="129">
        <f>'0.15'!$I$64</f>
        <v>5146.19883</v>
      </c>
      <c r="I25" s="129">
        <f>'0.15'!$I$78</f>
        <v>0</v>
      </c>
      <c r="J25" s="131">
        <f t="shared" si="35"/>
        <v>374385.9649</v>
      </c>
      <c r="K25" s="131">
        <f t="shared" si="36"/>
        <v>816739.6491</v>
      </c>
      <c r="L25" s="131">
        <f t="shared" si="37"/>
        <v>18910620</v>
      </c>
      <c r="M25" s="131">
        <f t="shared" si="38"/>
        <v>16005000</v>
      </c>
      <c r="N25" s="131">
        <f t="shared" si="39"/>
        <v>34915620</v>
      </c>
      <c r="O25" s="131">
        <f t="shared" si="40"/>
        <v>18910620</v>
      </c>
      <c r="P25" s="131">
        <f t="shared" si="41"/>
        <v>18277710</v>
      </c>
      <c r="Q25" s="131">
        <f t="shared" si="42"/>
        <v>37188330</v>
      </c>
      <c r="R25" s="131">
        <f t="shared" si="43"/>
        <v>18910620</v>
      </c>
      <c r="S25" s="131">
        <f t="shared" si="44"/>
        <v>22847137.5</v>
      </c>
      <c r="T25" s="131">
        <f t="shared" si="45"/>
        <v>41757757.5</v>
      </c>
      <c r="U25" s="131">
        <f t="shared" si="46"/>
        <v>442353.6842</v>
      </c>
      <c r="V25" s="131">
        <f t="shared" si="47"/>
        <v>578259.714</v>
      </c>
      <c r="W25" s="131">
        <f t="shared" si="48"/>
        <v>1020613.398</v>
      </c>
      <c r="X25" s="131">
        <f t="shared" si="49"/>
        <v>18910620</v>
      </c>
      <c r="Y25" s="131">
        <f t="shared" si="50"/>
        <v>24720602.78</v>
      </c>
      <c r="Z25" s="131">
        <f t="shared" si="51"/>
        <v>43631222.78</v>
      </c>
    </row>
    <row r="26" ht="14.25" customHeight="1">
      <c r="A26" s="135" t="s">
        <v>883</v>
      </c>
      <c r="B26" s="123"/>
      <c r="C26" s="124"/>
      <c r="D26" s="125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</row>
    <row r="27" ht="14.25" customHeight="1">
      <c r="A27" s="137">
        <v>36892.0</v>
      </c>
      <c r="B27" s="127" t="s">
        <v>884</v>
      </c>
      <c r="C27" s="136" t="s">
        <v>869</v>
      </c>
      <c r="D27" s="133">
        <v>23.0</v>
      </c>
      <c r="E27" s="129">
        <f>'1.1'!$I$22</f>
        <v>548114.3443</v>
      </c>
      <c r="F27" s="129">
        <f>'1.1'!$I$36</f>
        <v>599347.8261</v>
      </c>
      <c r="G27" s="129">
        <f>'1.1'!$I$50</f>
        <v>0</v>
      </c>
      <c r="H27" s="129">
        <f>'1.1'!$I$64</f>
        <v>13869.56522</v>
      </c>
      <c r="I27" s="129">
        <f>'1.1'!$I$78</f>
        <v>0</v>
      </c>
      <c r="J27" s="131">
        <f t="shared" ref="J27:J36" si="52">SUM(F27:I27)</f>
        <v>613217.3913</v>
      </c>
      <c r="K27" s="131">
        <f t="shared" ref="K27:K36" si="53">SUM(E27,J27)</f>
        <v>1161331.736</v>
      </c>
      <c r="L27" s="131">
        <f t="shared" ref="L27:L36" si="54">$D27*E27</f>
        <v>12606629.92</v>
      </c>
      <c r="M27" s="131">
        <f t="shared" ref="M27:M36" si="55">$D27*(SUM(F27:I27))</f>
        <v>14104000</v>
      </c>
      <c r="N27" s="131">
        <f t="shared" ref="N27:N36" si="56">L27+M27</f>
        <v>26710629.92</v>
      </c>
      <c r="O27" s="131">
        <f t="shared" ref="O27:O36" si="57">L27</f>
        <v>12606629.92</v>
      </c>
      <c r="P27" s="131">
        <f t="shared" ref="P27:P36" si="58">(P$130*M27)/M$130</f>
        <v>16106768</v>
      </c>
      <c r="Q27" s="131">
        <f t="shared" ref="Q27:Q36" si="59">O27+P27</f>
        <v>28713397.92</v>
      </c>
      <c r="R27" s="131">
        <f t="shared" ref="R27:R36" si="60">L27</f>
        <v>12606629.92</v>
      </c>
      <c r="S27" s="131">
        <f t="shared" ref="S27:S36" si="61">(S$130*P27)/P$130</f>
        <v>20133460</v>
      </c>
      <c r="T27" s="131">
        <f t="shared" ref="T27:T36" si="62">R27+S27</f>
        <v>32740089.92</v>
      </c>
      <c r="U27" s="131">
        <f t="shared" ref="U27:U36" si="63">E27</f>
        <v>548114.3443</v>
      </c>
      <c r="V27" s="131">
        <f t="shared" ref="V27:V36" si="64">Y27/D27</f>
        <v>947147.9878</v>
      </c>
      <c r="W27" s="131">
        <f t="shared" ref="W27:W36" si="65">U27+V27</f>
        <v>1495262.332</v>
      </c>
      <c r="X27" s="131">
        <f t="shared" ref="X27:X36" si="66">L27</f>
        <v>12606629.92</v>
      </c>
      <c r="Y27" s="131">
        <f t="shared" ref="Y27:Y36" si="67">(Y$130*S27)/S$130</f>
        <v>21784403.72</v>
      </c>
      <c r="Z27" s="131">
        <f t="shared" ref="Z27:Z36" si="68">X27+Y27</f>
        <v>34391033.64</v>
      </c>
    </row>
    <row r="28" ht="14.25" customHeight="1">
      <c r="A28" s="137">
        <v>46054.0</v>
      </c>
      <c r="B28" s="127" t="s">
        <v>885</v>
      </c>
      <c r="C28" s="136" t="s">
        <v>869</v>
      </c>
      <c r="D28" s="133">
        <v>16.0</v>
      </c>
      <c r="E28" s="129">
        <f>'1.2'!$I$22</f>
        <v>539468.3675</v>
      </c>
      <c r="F28" s="129">
        <f>'1.2'!$I$36</f>
        <v>861562.5</v>
      </c>
      <c r="G28" s="129">
        <f>'1.2'!$I$50</f>
        <v>0</v>
      </c>
      <c r="H28" s="129">
        <f>'1.2'!$I$64</f>
        <v>19937.5</v>
      </c>
      <c r="I28" s="129">
        <f>'1.2'!$I$78</f>
        <v>0</v>
      </c>
      <c r="J28" s="131">
        <f t="shared" si="52"/>
        <v>881500</v>
      </c>
      <c r="K28" s="131">
        <f t="shared" si="53"/>
        <v>1420968.368</v>
      </c>
      <c r="L28" s="131">
        <f t="shared" si="54"/>
        <v>8631493.88</v>
      </c>
      <c r="M28" s="131">
        <f t="shared" si="55"/>
        <v>14104000</v>
      </c>
      <c r="N28" s="131">
        <f t="shared" si="56"/>
        <v>22735493.88</v>
      </c>
      <c r="O28" s="131">
        <f t="shared" si="57"/>
        <v>8631493.88</v>
      </c>
      <c r="P28" s="131">
        <f t="shared" si="58"/>
        <v>16106768</v>
      </c>
      <c r="Q28" s="131">
        <f t="shared" si="59"/>
        <v>24738261.88</v>
      </c>
      <c r="R28" s="131">
        <f t="shared" si="60"/>
        <v>8631493.88</v>
      </c>
      <c r="S28" s="131">
        <f t="shared" si="61"/>
        <v>20133460</v>
      </c>
      <c r="T28" s="131">
        <f t="shared" si="62"/>
        <v>28764953.88</v>
      </c>
      <c r="U28" s="131">
        <f t="shared" si="63"/>
        <v>539468.3675</v>
      </c>
      <c r="V28" s="131">
        <f t="shared" si="64"/>
        <v>1361525.233</v>
      </c>
      <c r="W28" s="131">
        <f t="shared" si="65"/>
        <v>1900993.6</v>
      </c>
      <c r="X28" s="131">
        <f t="shared" si="66"/>
        <v>8631493.88</v>
      </c>
      <c r="Y28" s="131">
        <f t="shared" si="67"/>
        <v>21784403.72</v>
      </c>
      <c r="Z28" s="131">
        <f t="shared" si="68"/>
        <v>30415897.6</v>
      </c>
    </row>
    <row r="29" ht="14.25" customHeight="1">
      <c r="A29" s="137">
        <v>46082.0</v>
      </c>
      <c r="B29" s="127" t="s">
        <v>886</v>
      </c>
      <c r="C29" s="136" t="s">
        <v>869</v>
      </c>
      <c r="D29" s="133">
        <f>54+3</f>
        <v>57</v>
      </c>
      <c r="E29" s="129">
        <f>'1.3'!$I$22</f>
        <v>362272.7368</v>
      </c>
      <c r="F29" s="129">
        <f>'1.3'!$I$36</f>
        <v>342105.2632</v>
      </c>
      <c r="G29" s="129">
        <f>'1.3'!$I$50</f>
        <v>0</v>
      </c>
      <c r="H29" s="129">
        <f>'1.3'!$I$64</f>
        <v>8587.719298</v>
      </c>
      <c r="I29" s="129">
        <f>'1.3'!$I$78</f>
        <v>0</v>
      </c>
      <c r="J29" s="131">
        <f t="shared" si="52"/>
        <v>350692.9825</v>
      </c>
      <c r="K29" s="131">
        <f t="shared" si="53"/>
        <v>712965.7193</v>
      </c>
      <c r="L29" s="131">
        <f t="shared" si="54"/>
        <v>20649546</v>
      </c>
      <c r="M29" s="131">
        <f t="shared" si="55"/>
        <v>19989500</v>
      </c>
      <c r="N29" s="131">
        <f t="shared" si="56"/>
        <v>40639046</v>
      </c>
      <c r="O29" s="131">
        <f t="shared" si="57"/>
        <v>20649546</v>
      </c>
      <c r="P29" s="131">
        <f t="shared" si="58"/>
        <v>22828009</v>
      </c>
      <c r="Q29" s="131">
        <f t="shared" si="59"/>
        <v>43477555</v>
      </c>
      <c r="R29" s="131">
        <f t="shared" si="60"/>
        <v>20649546</v>
      </c>
      <c r="S29" s="131">
        <f t="shared" si="61"/>
        <v>28535011.25</v>
      </c>
      <c r="T29" s="131">
        <f t="shared" si="62"/>
        <v>49184557.25</v>
      </c>
      <c r="U29" s="131">
        <f t="shared" si="63"/>
        <v>362272.7368</v>
      </c>
      <c r="V29" s="131">
        <f t="shared" si="64"/>
        <v>541664.5995</v>
      </c>
      <c r="W29" s="131">
        <f t="shared" si="65"/>
        <v>903937.3364</v>
      </c>
      <c r="X29" s="131">
        <f t="shared" si="66"/>
        <v>20649546</v>
      </c>
      <c r="Y29" s="131">
        <f t="shared" si="67"/>
        <v>30874882.17</v>
      </c>
      <c r="Z29" s="131">
        <f t="shared" si="68"/>
        <v>51524428.17</v>
      </c>
    </row>
    <row r="30" ht="14.25" customHeight="1">
      <c r="A30" s="126" t="s">
        <v>887</v>
      </c>
      <c r="B30" s="127" t="s">
        <v>888</v>
      </c>
      <c r="C30" s="136" t="s">
        <v>869</v>
      </c>
      <c r="D30" s="133">
        <f>390*0.1</f>
        <v>39</v>
      </c>
      <c r="E30" s="129">
        <f>'1.31'!$I$22</f>
        <v>218369.7179</v>
      </c>
      <c r="F30" s="129">
        <f>'1.31'!$I$36</f>
        <v>129615.3846</v>
      </c>
      <c r="G30" s="129">
        <f>'1.31'!$I$50</f>
        <v>0</v>
      </c>
      <c r="H30" s="129">
        <f>'1.31'!$I$64</f>
        <v>0</v>
      </c>
      <c r="I30" s="129">
        <f>'1.31'!$I$78</f>
        <v>0</v>
      </c>
      <c r="J30" s="131">
        <f t="shared" si="52"/>
        <v>129615.3846</v>
      </c>
      <c r="K30" s="131">
        <f t="shared" si="53"/>
        <v>347985.1026</v>
      </c>
      <c r="L30" s="131">
        <f t="shared" si="54"/>
        <v>8516419</v>
      </c>
      <c r="M30" s="131">
        <f t="shared" si="55"/>
        <v>5055000</v>
      </c>
      <c r="N30" s="131">
        <f t="shared" si="56"/>
        <v>13571419</v>
      </c>
      <c r="O30" s="131">
        <f t="shared" si="57"/>
        <v>8516419</v>
      </c>
      <c r="P30" s="131">
        <f t="shared" si="58"/>
        <v>5772810</v>
      </c>
      <c r="Q30" s="131">
        <f t="shared" si="59"/>
        <v>14289229</v>
      </c>
      <c r="R30" s="131">
        <f t="shared" si="60"/>
        <v>8516419</v>
      </c>
      <c r="S30" s="131">
        <f t="shared" si="61"/>
        <v>7216012.5</v>
      </c>
      <c r="T30" s="131">
        <f t="shared" si="62"/>
        <v>15732431.5</v>
      </c>
      <c r="U30" s="131">
        <f t="shared" si="63"/>
        <v>218369.7179</v>
      </c>
      <c r="V30" s="131">
        <f t="shared" si="64"/>
        <v>200198.0904</v>
      </c>
      <c r="W30" s="131">
        <f t="shared" si="65"/>
        <v>418567.8083</v>
      </c>
      <c r="X30" s="131">
        <f t="shared" si="66"/>
        <v>8516419</v>
      </c>
      <c r="Y30" s="131">
        <f t="shared" si="67"/>
        <v>7807725.525</v>
      </c>
      <c r="Z30" s="131">
        <f t="shared" si="68"/>
        <v>16324144.53</v>
      </c>
    </row>
    <row r="31" ht="14.25" customHeight="1">
      <c r="A31" s="126" t="s">
        <v>889</v>
      </c>
      <c r="B31" s="127" t="s">
        <v>890</v>
      </c>
      <c r="C31" s="136" t="s">
        <v>891</v>
      </c>
      <c r="D31" s="133">
        <v>310.0</v>
      </c>
      <c r="E31" s="129">
        <f>'1.32'!$I$22</f>
        <v>25336.65968</v>
      </c>
      <c r="F31" s="129">
        <f>'1.32'!$I$36</f>
        <v>3725.806452</v>
      </c>
      <c r="G31" s="129">
        <f>'1.32'!$I$50</f>
        <v>0</v>
      </c>
      <c r="H31" s="129">
        <f>'1.32'!$I$64</f>
        <v>0</v>
      </c>
      <c r="I31" s="129">
        <f>'1.32'!$I$78</f>
        <v>12516.12903</v>
      </c>
      <c r="J31" s="131">
        <f t="shared" si="52"/>
        <v>16241.93548</v>
      </c>
      <c r="K31" s="131">
        <f t="shared" si="53"/>
        <v>41578.59516</v>
      </c>
      <c r="L31" s="131">
        <f t="shared" si="54"/>
        <v>7854364.5</v>
      </c>
      <c r="M31" s="131">
        <f t="shared" si="55"/>
        <v>5035000</v>
      </c>
      <c r="N31" s="131">
        <f t="shared" si="56"/>
        <v>12889364.5</v>
      </c>
      <c r="O31" s="131">
        <f t="shared" si="57"/>
        <v>7854364.5</v>
      </c>
      <c r="P31" s="131">
        <f t="shared" si="58"/>
        <v>5749970</v>
      </c>
      <c r="Q31" s="131">
        <f t="shared" si="59"/>
        <v>13604334.5</v>
      </c>
      <c r="R31" s="131">
        <f t="shared" si="60"/>
        <v>7854364.5</v>
      </c>
      <c r="S31" s="131">
        <f t="shared" si="61"/>
        <v>7187462.5</v>
      </c>
      <c r="T31" s="131">
        <f t="shared" si="62"/>
        <v>15041827</v>
      </c>
      <c r="U31" s="131">
        <f t="shared" si="63"/>
        <v>25336.65968</v>
      </c>
      <c r="V31" s="131">
        <f t="shared" si="64"/>
        <v>25086.56266</v>
      </c>
      <c r="W31" s="131">
        <f t="shared" si="65"/>
        <v>50423.22234</v>
      </c>
      <c r="X31" s="131">
        <f t="shared" si="66"/>
        <v>7854364.5</v>
      </c>
      <c r="Y31" s="131">
        <f t="shared" si="67"/>
        <v>7776834.425</v>
      </c>
      <c r="Z31" s="131">
        <f t="shared" si="68"/>
        <v>15631198.93</v>
      </c>
    </row>
    <row r="32" ht="14.25" customHeight="1">
      <c r="A32" s="137">
        <v>46113.0</v>
      </c>
      <c r="B32" s="127" t="s">
        <v>892</v>
      </c>
      <c r="C32" s="136" t="s">
        <v>891</v>
      </c>
      <c r="D32" s="138">
        <f>120*3</f>
        <v>360</v>
      </c>
      <c r="E32" s="129">
        <f>'1.4'!$I$22</f>
        <v>28937.37103</v>
      </c>
      <c r="F32" s="129">
        <f>'1.4'!$I$36</f>
        <v>16625</v>
      </c>
      <c r="G32" s="129">
        <f>'1.4'!$I$50</f>
        <v>0</v>
      </c>
      <c r="H32" s="129">
        <f>'1.4'!$I$64</f>
        <v>222.2222222</v>
      </c>
      <c r="I32" s="129">
        <f>'1.4'!$I$78</f>
        <v>0</v>
      </c>
      <c r="J32" s="131">
        <f t="shared" si="52"/>
        <v>16847.22222</v>
      </c>
      <c r="K32" s="131">
        <f t="shared" si="53"/>
        <v>45784.59325</v>
      </c>
      <c r="L32" s="131">
        <f t="shared" si="54"/>
        <v>10417453.57</v>
      </c>
      <c r="M32" s="131">
        <f t="shared" si="55"/>
        <v>6065000</v>
      </c>
      <c r="N32" s="131">
        <f t="shared" si="56"/>
        <v>16482453.57</v>
      </c>
      <c r="O32" s="131">
        <f t="shared" si="57"/>
        <v>10417453.57</v>
      </c>
      <c r="P32" s="131">
        <f t="shared" si="58"/>
        <v>6926230</v>
      </c>
      <c r="Q32" s="131">
        <f t="shared" si="59"/>
        <v>17343683.57</v>
      </c>
      <c r="R32" s="131">
        <f t="shared" si="60"/>
        <v>10417453.57</v>
      </c>
      <c r="S32" s="131">
        <f t="shared" si="61"/>
        <v>8657787.5</v>
      </c>
      <c r="T32" s="131">
        <f t="shared" si="62"/>
        <v>19075241.07</v>
      </c>
      <c r="U32" s="131">
        <f t="shared" si="63"/>
        <v>28937.37103</v>
      </c>
      <c r="V32" s="131">
        <f t="shared" si="64"/>
        <v>26021.46132</v>
      </c>
      <c r="W32" s="131">
        <f t="shared" si="65"/>
        <v>54958.83235</v>
      </c>
      <c r="X32" s="131">
        <f t="shared" si="66"/>
        <v>10417453.57</v>
      </c>
      <c r="Y32" s="131">
        <f t="shared" si="67"/>
        <v>9367726.075</v>
      </c>
      <c r="Z32" s="131">
        <f t="shared" si="68"/>
        <v>19785179.65</v>
      </c>
    </row>
    <row r="33" ht="14.25" customHeight="1">
      <c r="A33" s="137">
        <v>46143.0</v>
      </c>
      <c r="B33" s="127" t="s">
        <v>893</v>
      </c>
      <c r="C33" s="136" t="s">
        <v>891</v>
      </c>
      <c r="D33" s="133">
        <v>80.0</v>
      </c>
      <c r="E33" s="129">
        <f>'1.5'!$I$22</f>
        <v>18664.73038</v>
      </c>
      <c r="F33" s="129">
        <f>'1.5'!$I$36</f>
        <v>14437.5</v>
      </c>
      <c r="G33" s="129">
        <f>'1.5'!$I$50</f>
        <v>0</v>
      </c>
      <c r="H33" s="129">
        <f>'1.5'!$I$64</f>
        <v>0</v>
      </c>
      <c r="I33" s="129">
        <f>'1.5'!$I$78</f>
        <v>15000</v>
      </c>
      <c r="J33" s="131">
        <f t="shared" si="52"/>
        <v>29437.5</v>
      </c>
      <c r="K33" s="131">
        <f t="shared" si="53"/>
        <v>48102.23038</v>
      </c>
      <c r="L33" s="131">
        <f t="shared" si="54"/>
        <v>1493178.43</v>
      </c>
      <c r="M33" s="131">
        <f t="shared" si="55"/>
        <v>2355000</v>
      </c>
      <c r="N33" s="131">
        <f t="shared" si="56"/>
        <v>3848178.43</v>
      </c>
      <c r="O33" s="131">
        <f t="shared" si="57"/>
        <v>1493178.43</v>
      </c>
      <c r="P33" s="131">
        <f t="shared" si="58"/>
        <v>2689410</v>
      </c>
      <c r="Q33" s="131">
        <f t="shared" si="59"/>
        <v>4182588.43</v>
      </c>
      <c r="R33" s="131">
        <f t="shared" si="60"/>
        <v>1493178.43</v>
      </c>
      <c r="S33" s="131">
        <f t="shared" si="61"/>
        <v>3361762.5</v>
      </c>
      <c r="T33" s="131">
        <f t="shared" si="62"/>
        <v>4854940.93</v>
      </c>
      <c r="U33" s="131">
        <f t="shared" si="63"/>
        <v>18664.73038</v>
      </c>
      <c r="V33" s="131">
        <f t="shared" si="64"/>
        <v>45467.83781</v>
      </c>
      <c r="W33" s="131">
        <f t="shared" si="65"/>
        <v>64132.56819</v>
      </c>
      <c r="X33" s="131">
        <f t="shared" si="66"/>
        <v>1493178.43</v>
      </c>
      <c r="Y33" s="131">
        <f t="shared" si="67"/>
        <v>3637427.025</v>
      </c>
      <c r="Z33" s="131">
        <f t="shared" si="68"/>
        <v>5130605.455</v>
      </c>
    </row>
    <row r="34" ht="14.25" customHeight="1">
      <c r="A34" s="137">
        <v>46174.0</v>
      </c>
      <c r="B34" s="127" t="s">
        <v>894</v>
      </c>
      <c r="C34" s="136" t="s">
        <v>891</v>
      </c>
      <c r="D34" s="133">
        <f>D33</f>
        <v>80</v>
      </c>
      <c r="E34" s="129">
        <f>'1.6'!$I$22</f>
        <v>5017.625</v>
      </c>
      <c r="F34" s="129">
        <f>'1.6'!$I$36</f>
        <v>17625</v>
      </c>
      <c r="G34" s="129">
        <f>'1.6'!$I$50</f>
        <v>0</v>
      </c>
      <c r="H34" s="129">
        <f>'1.6'!$I$64</f>
        <v>0</v>
      </c>
      <c r="I34" s="129">
        <f>'1.6'!$I$78</f>
        <v>0</v>
      </c>
      <c r="J34" s="131">
        <f t="shared" si="52"/>
        <v>17625</v>
      </c>
      <c r="K34" s="131">
        <f t="shared" si="53"/>
        <v>22642.625</v>
      </c>
      <c r="L34" s="131">
        <f t="shared" si="54"/>
        <v>401410</v>
      </c>
      <c r="M34" s="131">
        <f t="shared" si="55"/>
        <v>1410000</v>
      </c>
      <c r="N34" s="131">
        <f t="shared" si="56"/>
        <v>1811410</v>
      </c>
      <c r="O34" s="131">
        <f t="shared" si="57"/>
        <v>401410</v>
      </c>
      <c r="P34" s="131">
        <f t="shared" si="58"/>
        <v>1610220</v>
      </c>
      <c r="Q34" s="131">
        <f t="shared" si="59"/>
        <v>2011630</v>
      </c>
      <c r="R34" s="131">
        <f t="shared" si="60"/>
        <v>401410</v>
      </c>
      <c r="S34" s="131">
        <f t="shared" si="61"/>
        <v>2012775</v>
      </c>
      <c r="T34" s="131">
        <f t="shared" si="62"/>
        <v>2414185</v>
      </c>
      <c r="U34" s="131">
        <f t="shared" si="63"/>
        <v>5017.625</v>
      </c>
      <c r="V34" s="131">
        <f t="shared" si="64"/>
        <v>27222.78188</v>
      </c>
      <c r="W34" s="131">
        <f t="shared" si="65"/>
        <v>32240.40688</v>
      </c>
      <c r="X34" s="131">
        <f t="shared" si="66"/>
        <v>401410</v>
      </c>
      <c r="Y34" s="131">
        <f t="shared" si="67"/>
        <v>2177822.55</v>
      </c>
      <c r="Z34" s="131">
        <f t="shared" si="68"/>
        <v>2579232.55</v>
      </c>
    </row>
    <row r="35" ht="14.25" customHeight="1">
      <c r="A35" s="137">
        <v>46204.0</v>
      </c>
      <c r="B35" s="127" t="s">
        <v>895</v>
      </c>
      <c r="C35" s="136" t="s">
        <v>891</v>
      </c>
      <c r="D35" s="138">
        <f>30*3*2</f>
        <v>180</v>
      </c>
      <c r="E35" s="129">
        <f>'1.7'!$I$22</f>
        <v>2871.411846</v>
      </c>
      <c r="F35" s="129">
        <f>'1.7'!$I$36</f>
        <v>26000</v>
      </c>
      <c r="G35" s="129">
        <f>'1.7'!$I$50</f>
        <v>0</v>
      </c>
      <c r="H35" s="129">
        <f>'1.7'!$I$64</f>
        <v>0</v>
      </c>
      <c r="I35" s="129">
        <f>'1.7'!$I$78</f>
        <v>0</v>
      </c>
      <c r="J35" s="131">
        <f t="shared" si="52"/>
        <v>26000</v>
      </c>
      <c r="K35" s="131">
        <f t="shared" si="53"/>
        <v>28871.41185</v>
      </c>
      <c r="L35" s="131">
        <f t="shared" si="54"/>
        <v>516854.1322</v>
      </c>
      <c r="M35" s="131">
        <f t="shared" si="55"/>
        <v>4680000</v>
      </c>
      <c r="N35" s="131">
        <f t="shared" si="56"/>
        <v>5196854.132</v>
      </c>
      <c r="O35" s="131">
        <f t="shared" si="57"/>
        <v>516854.1322</v>
      </c>
      <c r="P35" s="131">
        <f t="shared" si="58"/>
        <v>5344560</v>
      </c>
      <c r="Q35" s="131">
        <f t="shared" si="59"/>
        <v>5861414.132</v>
      </c>
      <c r="R35" s="131">
        <f t="shared" si="60"/>
        <v>516854.1322</v>
      </c>
      <c r="S35" s="131">
        <f t="shared" si="61"/>
        <v>6680700</v>
      </c>
      <c r="T35" s="131">
        <f t="shared" si="62"/>
        <v>7197554.132</v>
      </c>
      <c r="U35" s="131">
        <f t="shared" si="63"/>
        <v>2871.411846</v>
      </c>
      <c r="V35" s="131">
        <f t="shared" si="64"/>
        <v>40158.43</v>
      </c>
      <c r="W35" s="131">
        <f t="shared" si="65"/>
        <v>43029.84185</v>
      </c>
      <c r="X35" s="131">
        <f t="shared" si="66"/>
        <v>516854.1322</v>
      </c>
      <c r="Y35" s="131">
        <f t="shared" si="67"/>
        <v>7228517.4</v>
      </c>
      <c r="Z35" s="131">
        <f t="shared" si="68"/>
        <v>7745371.532</v>
      </c>
    </row>
    <row r="36" ht="14.25" customHeight="1">
      <c r="A36" s="137">
        <v>46235.0</v>
      </c>
      <c r="B36" s="127" t="s">
        <v>896</v>
      </c>
      <c r="C36" s="136" t="s">
        <v>891</v>
      </c>
      <c r="D36" s="138">
        <f>94*3*1</f>
        <v>282</v>
      </c>
      <c r="E36" s="129">
        <f>'1.8'!$I$22</f>
        <v>3811.674579</v>
      </c>
      <c r="F36" s="129">
        <f>'1.8'!$I$36</f>
        <v>35053.19149</v>
      </c>
      <c r="G36" s="129">
        <f>'1.8'!$I$50</f>
        <v>0</v>
      </c>
      <c r="H36" s="129">
        <f>'1.8'!$I$64</f>
        <v>0</v>
      </c>
      <c r="I36" s="129">
        <f>'1.8'!$I$78</f>
        <v>0</v>
      </c>
      <c r="J36" s="131">
        <f t="shared" si="52"/>
        <v>35053.19149</v>
      </c>
      <c r="K36" s="131">
        <f t="shared" si="53"/>
        <v>38864.86607</v>
      </c>
      <c r="L36" s="131">
        <f t="shared" si="54"/>
        <v>1074892.231</v>
      </c>
      <c r="M36" s="131">
        <f t="shared" si="55"/>
        <v>9885000</v>
      </c>
      <c r="N36" s="131">
        <f t="shared" si="56"/>
        <v>10959892.23</v>
      </c>
      <c r="O36" s="131">
        <f t="shared" si="57"/>
        <v>1074892.231</v>
      </c>
      <c r="P36" s="131">
        <f t="shared" si="58"/>
        <v>11288670</v>
      </c>
      <c r="Q36" s="131">
        <f t="shared" si="59"/>
        <v>12363562.23</v>
      </c>
      <c r="R36" s="131">
        <f t="shared" si="60"/>
        <v>1074892.231</v>
      </c>
      <c r="S36" s="131">
        <f t="shared" si="61"/>
        <v>14110837.5</v>
      </c>
      <c r="T36" s="131">
        <f t="shared" si="62"/>
        <v>15185729.73</v>
      </c>
      <c r="U36" s="131">
        <f t="shared" si="63"/>
        <v>3811.674579</v>
      </c>
      <c r="V36" s="131">
        <f t="shared" si="64"/>
        <v>54141.58218</v>
      </c>
      <c r="W36" s="131">
        <f t="shared" si="65"/>
        <v>57953.25676</v>
      </c>
      <c r="X36" s="131">
        <f t="shared" si="66"/>
        <v>1074892.231</v>
      </c>
      <c r="Y36" s="131">
        <f t="shared" si="67"/>
        <v>15267926.18</v>
      </c>
      <c r="Z36" s="131">
        <f t="shared" si="68"/>
        <v>16342818.41</v>
      </c>
    </row>
    <row r="37" ht="14.25" customHeight="1">
      <c r="A37" s="135" t="s">
        <v>897</v>
      </c>
      <c r="B37" s="123"/>
      <c r="C37" s="124"/>
      <c r="D37" s="125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</row>
    <row r="38" ht="14.25" customHeight="1">
      <c r="A38" s="139">
        <v>45293.0</v>
      </c>
      <c r="B38" s="127" t="s">
        <v>884</v>
      </c>
      <c r="C38" s="136" t="s">
        <v>869</v>
      </c>
      <c r="D38" s="133">
        <v>31.0</v>
      </c>
      <c r="E38" s="129">
        <f>'2.1.'!I22</f>
        <v>537748.8432</v>
      </c>
      <c r="F38" s="129">
        <f>'2.1.'!I36</f>
        <v>377419.3548</v>
      </c>
      <c r="G38" s="129">
        <f>'2.1.'!I50</f>
        <v>0</v>
      </c>
      <c r="H38" s="129">
        <f>'2.1.'!I64</f>
        <v>15790.32258</v>
      </c>
      <c r="I38" s="129">
        <f>'2.1.'!I78</f>
        <v>0</v>
      </c>
      <c r="J38" s="131">
        <f t="shared" ref="J38:J46" si="69">SUM(F38:I38)</f>
        <v>393209.6774</v>
      </c>
      <c r="K38" s="131">
        <f t="shared" ref="K38:K46" si="70">SUM(E38,J38)</f>
        <v>930958.5206</v>
      </c>
      <c r="L38" s="131">
        <f t="shared" ref="L38:L46" si="71">$D38*E38</f>
        <v>16670214.14</v>
      </c>
      <c r="M38" s="131">
        <f t="shared" ref="M38:M46" si="72">$D38*(SUM(F38:I38))</f>
        <v>12189500</v>
      </c>
      <c r="N38" s="131">
        <f t="shared" ref="N38:N46" si="73">L38+M38</f>
        <v>28859714.14</v>
      </c>
      <c r="O38" s="131">
        <f t="shared" ref="O38:O46" si="74">L38</f>
        <v>16670214.14</v>
      </c>
      <c r="P38" s="131">
        <f t="shared" ref="P38:P46" si="75">(P$130*M38)/M$130</f>
        <v>13920409</v>
      </c>
      <c r="Q38" s="131">
        <f t="shared" ref="Q38:Q46" si="76">O38+P38</f>
        <v>30590623.14</v>
      </c>
      <c r="R38" s="131">
        <f t="shared" ref="R38:R46" si="77">L38</f>
        <v>16670214.14</v>
      </c>
      <c r="S38" s="131">
        <f t="shared" ref="S38:S46" si="78">(S$130*P38)/P$130</f>
        <v>17400511.25</v>
      </c>
      <c r="T38" s="131">
        <f t="shared" ref="T38:T46" si="79">R38+S38</f>
        <v>34070725.39</v>
      </c>
      <c r="U38" s="131">
        <f t="shared" ref="U38:U46" si="80">E38</f>
        <v>537748.8432</v>
      </c>
      <c r="V38" s="131">
        <f t="shared" ref="V38:V46" si="81">Y38/D38</f>
        <v>607333.9733</v>
      </c>
      <c r="W38" s="131">
        <f t="shared" ref="W38:W46" si="82">U38+V38</f>
        <v>1145082.817</v>
      </c>
      <c r="X38" s="131">
        <f t="shared" ref="X38:X46" si="83">L38</f>
        <v>16670214.14</v>
      </c>
      <c r="Y38" s="131">
        <f t="shared" ref="Y38:Y46" si="84">(Y$130*S38)/S$130</f>
        <v>18827353.17</v>
      </c>
      <c r="Z38" s="131">
        <f t="shared" ref="Z38:Z46" si="85">X38+Y38</f>
        <v>35497567.31</v>
      </c>
    </row>
    <row r="39" ht="14.25" customHeight="1">
      <c r="A39" s="126" t="s">
        <v>898</v>
      </c>
      <c r="B39" s="127" t="s">
        <v>885</v>
      </c>
      <c r="C39" s="136" t="s">
        <v>869</v>
      </c>
      <c r="D39" s="133">
        <v>14.0</v>
      </c>
      <c r="E39" s="129">
        <f>'2.2.'!I22</f>
        <v>559896.9429</v>
      </c>
      <c r="F39" s="129">
        <f>'2.2.'!I36</f>
        <v>835714.2857</v>
      </c>
      <c r="G39" s="129">
        <f>'2.2.'!I50</f>
        <v>0</v>
      </c>
      <c r="H39" s="129">
        <f>'2.2.'!I64</f>
        <v>19250</v>
      </c>
      <c r="I39" s="129">
        <f>'2.2.'!I78</f>
        <v>0</v>
      </c>
      <c r="J39" s="131">
        <f t="shared" si="69"/>
        <v>854964.2857</v>
      </c>
      <c r="K39" s="131">
        <f t="shared" si="70"/>
        <v>1414861.229</v>
      </c>
      <c r="L39" s="131">
        <f t="shared" si="71"/>
        <v>7838557.2</v>
      </c>
      <c r="M39" s="131">
        <f t="shared" si="72"/>
        <v>11969500</v>
      </c>
      <c r="N39" s="131">
        <f t="shared" si="73"/>
        <v>19808057.2</v>
      </c>
      <c r="O39" s="131">
        <f t="shared" si="74"/>
        <v>7838557.2</v>
      </c>
      <c r="P39" s="131">
        <f t="shared" si="75"/>
        <v>13669169</v>
      </c>
      <c r="Q39" s="131">
        <f t="shared" si="76"/>
        <v>21507726.2</v>
      </c>
      <c r="R39" s="131">
        <f t="shared" si="77"/>
        <v>7838557.2</v>
      </c>
      <c r="S39" s="131">
        <f t="shared" si="78"/>
        <v>17086461.25</v>
      </c>
      <c r="T39" s="131">
        <f t="shared" si="79"/>
        <v>24925018.45</v>
      </c>
      <c r="U39" s="131">
        <f t="shared" si="80"/>
        <v>559896.9429</v>
      </c>
      <c r="V39" s="131">
        <f t="shared" si="81"/>
        <v>1320539.362</v>
      </c>
      <c r="W39" s="131">
        <f t="shared" si="82"/>
        <v>1880436.305</v>
      </c>
      <c r="X39" s="131">
        <f t="shared" si="83"/>
        <v>7838557.2</v>
      </c>
      <c r="Y39" s="131">
        <f t="shared" si="84"/>
        <v>18487551.07</v>
      </c>
      <c r="Z39" s="131">
        <f t="shared" si="85"/>
        <v>26326108.27</v>
      </c>
    </row>
    <row r="40" ht="14.25" customHeight="1">
      <c r="A40" s="139">
        <v>45353.0</v>
      </c>
      <c r="B40" s="127" t="s">
        <v>886</v>
      </c>
      <c r="C40" s="136" t="s">
        <v>869</v>
      </c>
      <c r="D40" s="133">
        <f>23+3</f>
        <v>26</v>
      </c>
      <c r="E40" s="129">
        <f>'2.3'!I22</f>
        <v>417771.5</v>
      </c>
      <c r="F40" s="129">
        <f>'2.3'!I36</f>
        <v>570000</v>
      </c>
      <c r="G40" s="129">
        <f>'2.3'!I50</f>
        <v>0</v>
      </c>
      <c r="H40" s="129">
        <f>'2.3'!I64</f>
        <v>10365.38462</v>
      </c>
      <c r="I40" s="129">
        <f>'2.3'!I78</f>
        <v>0</v>
      </c>
      <c r="J40" s="131">
        <f t="shared" si="69"/>
        <v>580365.3846</v>
      </c>
      <c r="K40" s="131">
        <f t="shared" si="70"/>
        <v>998136.8846</v>
      </c>
      <c r="L40" s="131">
        <f t="shared" si="71"/>
        <v>10862059</v>
      </c>
      <c r="M40" s="131">
        <f t="shared" si="72"/>
        <v>15089500</v>
      </c>
      <c r="N40" s="131">
        <f t="shared" si="73"/>
        <v>25951559</v>
      </c>
      <c r="O40" s="131">
        <f t="shared" si="74"/>
        <v>10862059</v>
      </c>
      <c r="P40" s="131">
        <f t="shared" si="75"/>
        <v>17232209</v>
      </c>
      <c r="Q40" s="131">
        <f t="shared" si="76"/>
        <v>28094268</v>
      </c>
      <c r="R40" s="131">
        <f t="shared" si="77"/>
        <v>10862059</v>
      </c>
      <c r="S40" s="131">
        <f t="shared" si="78"/>
        <v>21540261.25</v>
      </c>
      <c r="T40" s="131">
        <f t="shared" si="79"/>
        <v>32402320.25</v>
      </c>
      <c r="U40" s="131">
        <f t="shared" si="80"/>
        <v>417771.5</v>
      </c>
      <c r="V40" s="131">
        <f t="shared" si="81"/>
        <v>896406.2566</v>
      </c>
      <c r="W40" s="131">
        <f t="shared" si="82"/>
        <v>1314177.757</v>
      </c>
      <c r="X40" s="131">
        <f t="shared" si="83"/>
        <v>10862059</v>
      </c>
      <c r="Y40" s="131">
        <f t="shared" si="84"/>
        <v>23306562.67</v>
      </c>
      <c r="Z40" s="131">
        <f t="shared" si="85"/>
        <v>34168621.67</v>
      </c>
    </row>
    <row r="41" ht="14.25" customHeight="1">
      <c r="A41" s="137">
        <v>46114.0</v>
      </c>
      <c r="B41" s="127" t="s">
        <v>892</v>
      </c>
      <c r="C41" s="136" t="s">
        <v>891</v>
      </c>
      <c r="D41" s="138">
        <f>85*4</f>
        <v>340</v>
      </c>
      <c r="E41" s="129">
        <f>'2.4'!I22</f>
        <v>28748.29431</v>
      </c>
      <c r="F41" s="129">
        <f>'2.4'!I36</f>
        <v>17161.76471</v>
      </c>
      <c r="G41" s="129">
        <f>'2.4'!I50</f>
        <v>0</v>
      </c>
      <c r="H41" s="129">
        <f>'2.4'!I64</f>
        <v>235.2941176</v>
      </c>
      <c r="I41" s="129">
        <f>'2.4'!I78</f>
        <v>0</v>
      </c>
      <c r="J41" s="131">
        <f t="shared" si="69"/>
        <v>17397.05882</v>
      </c>
      <c r="K41" s="131">
        <f t="shared" si="70"/>
        <v>46145.35314</v>
      </c>
      <c r="L41" s="131">
        <f t="shared" si="71"/>
        <v>9774420.066</v>
      </c>
      <c r="M41" s="131">
        <f t="shared" si="72"/>
        <v>5915000</v>
      </c>
      <c r="N41" s="131">
        <f t="shared" si="73"/>
        <v>15689420.07</v>
      </c>
      <c r="O41" s="131">
        <f t="shared" si="74"/>
        <v>9774420.066</v>
      </c>
      <c r="P41" s="131">
        <f t="shared" si="75"/>
        <v>6754930</v>
      </c>
      <c r="Q41" s="131">
        <f t="shared" si="76"/>
        <v>16529350.07</v>
      </c>
      <c r="R41" s="131">
        <f t="shared" si="77"/>
        <v>9774420.066</v>
      </c>
      <c r="S41" s="131">
        <f t="shared" si="78"/>
        <v>8443662.5</v>
      </c>
      <c r="T41" s="131">
        <f t="shared" si="79"/>
        <v>18218082.57</v>
      </c>
      <c r="U41" s="131">
        <f t="shared" si="80"/>
        <v>28748.29431</v>
      </c>
      <c r="V41" s="131">
        <f t="shared" si="81"/>
        <v>26870.71419</v>
      </c>
      <c r="W41" s="131">
        <f t="shared" si="82"/>
        <v>55619.0085</v>
      </c>
      <c r="X41" s="131">
        <f t="shared" si="83"/>
        <v>9774420.066</v>
      </c>
      <c r="Y41" s="131">
        <f t="shared" si="84"/>
        <v>9136042.825</v>
      </c>
      <c r="Z41" s="131">
        <f t="shared" si="85"/>
        <v>18910462.89</v>
      </c>
    </row>
    <row r="42" ht="14.25" customHeight="1">
      <c r="A42" s="137">
        <v>46144.0</v>
      </c>
      <c r="B42" s="127" t="s">
        <v>899</v>
      </c>
      <c r="C42" s="136" t="s">
        <v>891</v>
      </c>
      <c r="D42" s="133">
        <f>144</f>
        <v>144</v>
      </c>
      <c r="E42" s="129">
        <f>'2.5'!I22</f>
        <v>20997.16396</v>
      </c>
      <c r="F42" s="129">
        <f>'2.5'!I36</f>
        <v>8020.833333</v>
      </c>
      <c r="G42" s="129">
        <f>'2.5'!I50</f>
        <v>0</v>
      </c>
      <c r="H42" s="129">
        <f>'2.5'!I64</f>
        <v>0</v>
      </c>
      <c r="I42" s="129">
        <f>'2.5'!I78</f>
        <v>15000</v>
      </c>
      <c r="J42" s="131">
        <f t="shared" si="69"/>
        <v>23020.83333</v>
      </c>
      <c r="K42" s="131">
        <f t="shared" si="70"/>
        <v>44017.99729</v>
      </c>
      <c r="L42" s="131">
        <f t="shared" si="71"/>
        <v>3023591.61</v>
      </c>
      <c r="M42" s="131">
        <f t="shared" si="72"/>
        <v>3315000</v>
      </c>
      <c r="N42" s="131">
        <f t="shared" si="73"/>
        <v>6338591.61</v>
      </c>
      <c r="O42" s="131">
        <f t="shared" si="74"/>
        <v>3023591.61</v>
      </c>
      <c r="P42" s="131">
        <f t="shared" si="75"/>
        <v>3785730</v>
      </c>
      <c r="Q42" s="131">
        <f t="shared" si="76"/>
        <v>6809321.61</v>
      </c>
      <c r="R42" s="131">
        <f t="shared" si="77"/>
        <v>3023591.61</v>
      </c>
      <c r="S42" s="131">
        <f t="shared" si="78"/>
        <v>4732162.5</v>
      </c>
      <c r="T42" s="131">
        <f t="shared" si="79"/>
        <v>7755754.11</v>
      </c>
      <c r="U42" s="131">
        <f t="shared" si="80"/>
        <v>20997.16396</v>
      </c>
      <c r="V42" s="131">
        <f t="shared" si="81"/>
        <v>35556.94323</v>
      </c>
      <c r="W42" s="131">
        <f t="shared" si="82"/>
        <v>56554.10719</v>
      </c>
      <c r="X42" s="131">
        <f t="shared" si="83"/>
        <v>3023591.61</v>
      </c>
      <c r="Y42" s="131">
        <f t="shared" si="84"/>
        <v>5120199.825</v>
      </c>
      <c r="Z42" s="131">
        <f t="shared" si="85"/>
        <v>8143791.435</v>
      </c>
    </row>
    <row r="43" ht="14.25" customHeight="1">
      <c r="A43" s="126" t="s">
        <v>900</v>
      </c>
      <c r="B43" s="127" t="s">
        <v>890</v>
      </c>
      <c r="C43" s="136" t="s">
        <v>891</v>
      </c>
      <c r="D43" s="133">
        <v>267.0</v>
      </c>
      <c r="E43" s="129">
        <f>'2.51'!I22</f>
        <v>26130.31461</v>
      </c>
      <c r="F43" s="129">
        <f>'2.51'!I36</f>
        <v>4325.842697</v>
      </c>
      <c r="G43" s="129">
        <f>'2.51'!I50</f>
        <v>0</v>
      </c>
      <c r="H43" s="129">
        <f>'2.51'!I64</f>
        <v>0</v>
      </c>
      <c r="I43" s="129">
        <f>'2.51'!I78</f>
        <v>12509.3633</v>
      </c>
      <c r="J43" s="131">
        <f t="shared" si="69"/>
        <v>16835.20599</v>
      </c>
      <c r="K43" s="131">
        <f t="shared" si="70"/>
        <v>42965.5206</v>
      </c>
      <c r="L43" s="131">
        <f t="shared" si="71"/>
        <v>6976794</v>
      </c>
      <c r="M43" s="131">
        <f t="shared" si="72"/>
        <v>4495000</v>
      </c>
      <c r="N43" s="131">
        <f t="shared" si="73"/>
        <v>11471794</v>
      </c>
      <c r="O43" s="131">
        <f t="shared" si="74"/>
        <v>6976794</v>
      </c>
      <c r="P43" s="131">
        <f t="shared" si="75"/>
        <v>5133290</v>
      </c>
      <c r="Q43" s="131">
        <f t="shared" si="76"/>
        <v>12110084</v>
      </c>
      <c r="R43" s="131">
        <f t="shared" si="77"/>
        <v>6976794</v>
      </c>
      <c r="S43" s="131">
        <f t="shared" si="78"/>
        <v>6416612.5</v>
      </c>
      <c r="T43" s="131">
        <f t="shared" si="79"/>
        <v>13393406.5</v>
      </c>
      <c r="U43" s="131">
        <f t="shared" si="80"/>
        <v>26130.31461</v>
      </c>
      <c r="V43" s="131">
        <f t="shared" si="81"/>
        <v>26002.90159</v>
      </c>
      <c r="W43" s="131">
        <f t="shared" si="82"/>
        <v>52133.2162</v>
      </c>
      <c r="X43" s="131">
        <f t="shared" si="83"/>
        <v>6976794</v>
      </c>
      <c r="Y43" s="131">
        <f t="shared" si="84"/>
        <v>6942774.725</v>
      </c>
      <c r="Z43" s="131">
        <f t="shared" si="85"/>
        <v>13919568.73</v>
      </c>
    </row>
    <row r="44" ht="14.25" customHeight="1">
      <c r="A44" s="137">
        <v>46175.0</v>
      </c>
      <c r="B44" s="127" t="s">
        <v>901</v>
      </c>
      <c r="C44" s="136" t="s">
        <v>891</v>
      </c>
      <c r="D44" s="133">
        <f>144</f>
        <v>144</v>
      </c>
      <c r="E44" s="129">
        <f>'2.6'!I22</f>
        <v>9043.263889</v>
      </c>
      <c r="F44" s="129">
        <f>'2.6'!I36</f>
        <v>16250</v>
      </c>
      <c r="G44" s="129">
        <f>'2.6'!I50</f>
        <v>0</v>
      </c>
      <c r="H44" s="129">
        <f>'2.6'!I64</f>
        <v>0</v>
      </c>
      <c r="I44" s="129">
        <f>'2.6'!I78</f>
        <v>0</v>
      </c>
      <c r="J44" s="131">
        <f t="shared" si="69"/>
        <v>16250</v>
      </c>
      <c r="K44" s="131">
        <f t="shared" si="70"/>
        <v>25293.26389</v>
      </c>
      <c r="L44" s="131">
        <f t="shared" si="71"/>
        <v>1302230</v>
      </c>
      <c r="M44" s="131">
        <f t="shared" si="72"/>
        <v>2340000</v>
      </c>
      <c r="N44" s="131">
        <f t="shared" si="73"/>
        <v>3642230</v>
      </c>
      <c r="O44" s="131">
        <f t="shared" si="74"/>
        <v>1302230</v>
      </c>
      <c r="P44" s="131">
        <f t="shared" si="75"/>
        <v>2672280</v>
      </c>
      <c r="Q44" s="131">
        <f t="shared" si="76"/>
        <v>3974510</v>
      </c>
      <c r="R44" s="131">
        <f t="shared" si="77"/>
        <v>1302230</v>
      </c>
      <c r="S44" s="131">
        <f t="shared" si="78"/>
        <v>3340350</v>
      </c>
      <c r="T44" s="131">
        <f t="shared" si="79"/>
        <v>4642580</v>
      </c>
      <c r="U44" s="131">
        <f t="shared" si="80"/>
        <v>9043.263889</v>
      </c>
      <c r="V44" s="131">
        <f t="shared" si="81"/>
        <v>25099.01875</v>
      </c>
      <c r="W44" s="131">
        <f t="shared" si="82"/>
        <v>34142.28264</v>
      </c>
      <c r="X44" s="131">
        <f t="shared" si="83"/>
        <v>1302230</v>
      </c>
      <c r="Y44" s="131">
        <f t="shared" si="84"/>
        <v>3614258.7</v>
      </c>
      <c r="Z44" s="131">
        <f t="shared" si="85"/>
        <v>4916488.7</v>
      </c>
    </row>
    <row r="45" ht="14.25" customHeight="1">
      <c r="A45" s="137">
        <v>46205.0</v>
      </c>
      <c r="B45" s="127" t="s">
        <v>895</v>
      </c>
      <c r="C45" s="136" t="s">
        <v>891</v>
      </c>
      <c r="D45" s="138">
        <f>28*4*2</f>
        <v>224</v>
      </c>
      <c r="E45" s="129">
        <f>'2.7'!I22</f>
        <v>2828.889463</v>
      </c>
      <c r="F45" s="129">
        <f>'2.7'!I36</f>
        <v>24375</v>
      </c>
      <c r="G45" s="129">
        <f>'2.7'!I50</f>
        <v>0</v>
      </c>
      <c r="H45" s="129">
        <f>'2.7'!I64</f>
        <v>0</v>
      </c>
      <c r="I45" s="129">
        <f>'2.7'!I78</f>
        <v>0</v>
      </c>
      <c r="J45" s="131">
        <f t="shared" si="69"/>
        <v>24375</v>
      </c>
      <c r="K45" s="131">
        <f t="shared" si="70"/>
        <v>27203.88946</v>
      </c>
      <c r="L45" s="131">
        <f t="shared" si="71"/>
        <v>633671.2397</v>
      </c>
      <c r="M45" s="131">
        <f t="shared" si="72"/>
        <v>5460000</v>
      </c>
      <c r="N45" s="131">
        <f t="shared" si="73"/>
        <v>6093671.24</v>
      </c>
      <c r="O45" s="131">
        <f t="shared" si="74"/>
        <v>633671.2397</v>
      </c>
      <c r="P45" s="131">
        <f t="shared" si="75"/>
        <v>6235320</v>
      </c>
      <c r="Q45" s="131">
        <f t="shared" si="76"/>
        <v>6868991.24</v>
      </c>
      <c r="R45" s="131">
        <f t="shared" si="77"/>
        <v>633671.2397</v>
      </c>
      <c r="S45" s="131">
        <f t="shared" si="78"/>
        <v>7794150</v>
      </c>
      <c r="T45" s="131">
        <f t="shared" si="79"/>
        <v>8427821.24</v>
      </c>
      <c r="U45" s="131">
        <f t="shared" si="80"/>
        <v>2828.889463</v>
      </c>
      <c r="V45" s="131">
        <f t="shared" si="81"/>
        <v>37648.52813</v>
      </c>
      <c r="W45" s="131">
        <f t="shared" si="82"/>
        <v>40477.41759</v>
      </c>
      <c r="X45" s="131">
        <f t="shared" si="83"/>
        <v>633671.2397</v>
      </c>
      <c r="Y45" s="131">
        <f t="shared" si="84"/>
        <v>8433270.3</v>
      </c>
      <c r="Z45" s="131">
        <f t="shared" si="85"/>
        <v>9066941.54</v>
      </c>
      <c r="AA45" s="92"/>
      <c r="AB45" s="92"/>
      <c r="AC45" s="92"/>
      <c r="AD45" s="92"/>
      <c r="AE45" s="92"/>
      <c r="AF45" s="92"/>
      <c r="AG45" s="92"/>
      <c r="AH45" s="92"/>
      <c r="AI45" s="92"/>
      <c r="AJ45" s="92"/>
      <c r="AK45" s="92"/>
    </row>
    <row r="46" ht="14.25" customHeight="1">
      <c r="A46" s="137">
        <v>46236.0</v>
      </c>
      <c r="B46" s="127" t="s">
        <v>902</v>
      </c>
      <c r="C46" s="136" t="s">
        <v>891</v>
      </c>
      <c r="D46" s="138">
        <f>57*4*2</f>
        <v>456</v>
      </c>
      <c r="E46" s="129">
        <f>'2.8'!I22</f>
        <v>3712.799768</v>
      </c>
      <c r="F46" s="129">
        <f>'2.8'!I36</f>
        <v>0</v>
      </c>
      <c r="G46" s="129">
        <f>'2.8'!I50</f>
        <v>0</v>
      </c>
      <c r="H46" s="129">
        <f>'2.8'!I64</f>
        <v>0</v>
      </c>
      <c r="I46" s="129">
        <f>'2.8'!I78</f>
        <v>37500</v>
      </c>
      <c r="J46" s="131">
        <f t="shared" si="69"/>
        <v>37500</v>
      </c>
      <c r="K46" s="131">
        <f t="shared" si="70"/>
        <v>41212.79977</v>
      </c>
      <c r="L46" s="131">
        <f t="shared" si="71"/>
        <v>1693036.694</v>
      </c>
      <c r="M46" s="131">
        <f t="shared" si="72"/>
        <v>17100000</v>
      </c>
      <c r="N46" s="131">
        <f t="shared" si="73"/>
        <v>18793036.69</v>
      </c>
      <c r="O46" s="131">
        <f t="shared" si="74"/>
        <v>1693036.694</v>
      </c>
      <c r="P46" s="131">
        <f t="shared" si="75"/>
        <v>19528200</v>
      </c>
      <c r="Q46" s="131">
        <f t="shared" si="76"/>
        <v>21221236.69</v>
      </c>
      <c r="R46" s="131">
        <f t="shared" si="77"/>
        <v>1693036.694</v>
      </c>
      <c r="S46" s="131">
        <f t="shared" si="78"/>
        <v>24410250</v>
      </c>
      <c r="T46" s="131">
        <f t="shared" si="79"/>
        <v>26103286.69</v>
      </c>
      <c r="U46" s="131">
        <f t="shared" si="80"/>
        <v>3712.799768</v>
      </c>
      <c r="V46" s="131">
        <f t="shared" si="81"/>
        <v>57920.8125</v>
      </c>
      <c r="W46" s="131">
        <f t="shared" si="82"/>
        <v>61633.61227</v>
      </c>
      <c r="X46" s="131">
        <f t="shared" si="83"/>
        <v>1693036.694</v>
      </c>
      <c r="Y46" s="131">
        <f t="shared" si="84"/>
        <v>26411890.5</v>
      </c>
      <c r="Z46" s="131">
        <f t="shared" si="85"/>
        <v>28104927.19</v>
      </c>
      <c r="AA46" s="92"/>
      <c r="AB46" s="92"/>
      <c r="AC46" s="92"/>
      <c r="AD46" s="92"/>
      <c r="AE46" s="92"/>
      <c r="AF46" s="92"/>
      <c r="AG46" s="92"/>
      <c r="AH46" s="92"/>
      <c r="AI46" s="92"/>
      <c r="AJ46" s="92"/>
      <c r="AK46" s="92"/>
    </row>
    <row r="47" ht="14.25" customHeight="1">
      <c r="A47" s="135" t="s">
        <v>903</v>
      </c>
      <c r="B47" s="123"/>
      <c r="C47" s="124"/>
      <c r="D47" s="125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</row>
    <row r="48" ht="14.25" customHeight="1">
      <c r="A48" s="137">
        <v>46025.0</v>
      </c>
      <c r="B48" s="127" t="s">
        <v>884</v>
      </c>
      <c r="C48" s="136" t="s">
        <v>869</v>
      </c>
      <c r="D48" s="133">
        <v>18.0</v>
      </c>
      <c r="E48" s="129">
        <f>'3.1'!$I$22</f>
        <v>517211.3467</v>
      </c>
      <c r="F48" s="129">
        <f>'3.1'!$I$36</f>
        <v>549166.6667</v>
      </c>
      <c r="G48" s="129">
        <f>'3.1'!$I$50</f>
        <v>0</v>
      </c>
      <c r="H48" s="129">
        <f>'3.1'!$I$64</f>
        <v>14972.22222</v>
      </c>
      <c r="I48" s="129">
        <f>'3.1'!$I$78</f>
        <v>0</v>
      </c>
      <c r="J48" s="131">
        <f t="shared" ref="J48:J55" si="86">SUM(F48:I48)</f>
        <v>564138.8889</v>
      </c>
      <c r="K48" s="131">
        <f t="shared" ref="K48:K55" si="87">SUM(E48,J48)</f>
        <v>1081350.236</v>
      </c>
      <c r="L48" s="131">
        <f t="shared" ref="L48:L55" si="88">$D48*E48</f>
        <v>9309804.24</v>
      </c>
      <c r="M48" s="131">
        <f t="shared" ref="M48:M55" si="89">$D48*(SUM(F48:I48))</f>
        <v>10154500</v>
      </c>
      <c r="N48" s="131">
        <f t="shared" ref="N48:N55" si="90">L48+M48</f>
        <v>19464304.24</v>
      </c>
      <c r="O48" s="131">
        <f t="shared" ref="O48:O55" si="91">L48</f>
        <v>9309804.24</v>
      </c>
      <c r="P48" s="131">
        <f t="shared" ref="P48:P55" si="92">(P$130*M48)/M$130</f>
        <v>11596439</v>
      </c>
      <c r="Q48" s="131">
        <f t="shared" ref="Q48:Q55" si="93">O48+P48</f>
        <v>20906243.24</v>
      </c>
      <c r="R48" s="131">
        <f t="shared" ref="R48:R55" si="94">L48</f>
        <v>9309804.24</v>
      </c>
      <c r="S48" s="131">
        <f t="shared" ref="S48:S55" si="95">(S$130*P48)/P$130</f>
        <v>14495548.75</v>
      </c>
      <c r="T48" s="131">
        <f t="shared" ref="T48:T55" si="96">R48+S48</f>
        <v>23805352.99</v>
      </c>
      <c r="U48" s="131">
        <f t="shared" ref="U48:U55" si="97">E48</f>
        <v>517211.3467</v>
      </c>
      <c r="V48" s="131">
        <f t="shared" ref="V48:V55" si="98">Y48/D48</f>
        <v>871343.5415</v>
      </c>
      <c r="W48" s="131">
        <f t="shared" ref="W48:W55" si="99">U48+V48</f>
        <v>1388554.888</v>
      </c>
      <c r="X48" s="131">
        <f t="shared" ref="X48:X55" si="100">L48</f>
        <v>9309804.24</v>
      </c>
      <c r="Y48" s="131">
        <f t="shared" ref="Y48:Y55" si="101">(Y$130*S48)/S$130</f>
        <v>15684183.75</v>
      </c>
      <c r="Z48" s="131">
        <f t="shared" ref="Z48:Z55" si="102">X48+Y48</f>
        <v>24993987.99</v>
      </c>
    </row>
    <row r="49" ht="14.25" customHeight="1">
      <c r="A49" s="137">
        <v>46056.0</v>
      </c>
      <c r="B49" s="127" t="s">
        <v>885</v>
      </c>
      <c r="C49" s="136" t="s">
        <v>869</v>
      </c>
      <c r="D49" s="133">
        <v>13.0</v>
      </c>
      <c r="E49" s="129">
        <f>'3.2'!$I$22</f>
        <v>631622.8738</v>
      </c>
      <c r="F49" s="129">
        <f>'3.2'!$I$36</f>
        <v>760384.6154</v>
      </c>
      <c r="G49" s="129">
        <f>'3.2'!$I$50</f>
        <v>0</v>
      </c>
      <c r="H49" s="129">
        <f>'3.2'!$I$64</f>
        <v>20730.76923</v>
      </c>
      <c r="I49" s="129">
        <f>'3.2'!$I$78</f>
        <v>0</v>
      </c>
      <c r="J49" s="131">
        <f t="shared" si="86"/>
        <v>781115.3846</v>
      </c>
      <c r="K49" s="131">
        <f t="shared" si="87"/>
        <v>1412738.258</v>
      </c>
      <c r="L49" s="131">
        <f t="shared" si="88"/>
        <v>8211097.36</v>
      </c>
      <c r="M49" s="131">
        <f t="shared" si="89"/>
        <v>10154500</v>
      </c>
      <c r="N49" s="131">
        <f t="shared" si="90"/>
        <v>18365597.36</v>
      </c>
      <c r="O49" s="131">
        <f t="shared" si="91"/>
        <v>8211097.36</v>
      </c>
      <c r="P49" s="131">
        <f t="shared" si="92"/>
        <v>11596439</v>
      </c>
      <c r="Q49" s="131">
        <f t="shared" si="93"/>
        <v>19807536.36</v>
      </c>
      <c r="R49" s="131">
        <f t="shared" si="94"/>
        <v>8211097.36</v>
      </c>
      <c r="S49" s="131">
        <f t="shared" si="95"/>
        <v>14495548.75</v>
      </c>
      <c r="T49" s="131">
        <f t="shared" si="96"/>
        <v>22706646.11</v>
      </c>
      <c r="U49" s="131">
        <f t="shared" si="97"/>
        <v>631622.8738</v>
      </c>
      <c r="V49" s="131">
        <f t="shared" si="98"/>
        <v>1206475.673</v>
      </c>
      <c r="W49" s="131">
        <f t="shared" si="99"/>
        <v>1838098.547</v>
      </c>
      <c r="X49" s="131">
        <f t="shared" si="100"/>
        <v>8211097.36</v>
      </c>
      <c r="Y49" s="131">
        <f t="shared" si="101"/>
        <v>15684183.75</v>
      </c>
      <c r="Z49" s="131">
        <f t="shared" si="102"/>
        <v>23895281.11</v>
      </c>
    </row>
    <row r="50" ht="14.25" customHeight="1">
      <c r="A50" s="137">
        <v>46084.0</v>
      </c>
      <c r="B50" s="127" t="s">
        <v>886</v>
      </c>
      <c r="C50" s="136" t="s">
        <v>869</v>
      </c>
      <c r="D50" s="133">
        <f>21+3</f>
        <v>24</v>
      </c>
      <c r="E50" s="129">
        <f>'3.3'!$I$22</f>
        <v>381107.0833</v>
      </c>
      <c r="F50" s="129">
        <f>'3.3'!$I$36</f>
        <v>411875</v>
      </c>
      <c r="G50" s="129">
        <f>'3.3'!$I$50</f>
        <v>0</v>
      </c>
      <c r="H50" s="129">
        <f>'3.3'!$I$64</f>
        <v>20395.83333</v>
      </c>
      <c r="I50" s="129">
        <f>'3.3'!$I$78</f>
        <v>0</v>
      </c>
      <c r="J50" s="131">
        <f t="shared" si="86"/>
        <v>432270.8333</v>
      </c>
      <c r="K50" s="131">
        <f t="shared" si="87"/>
        <v>813377.9167</v>
      </c>
      <c r="L50" s="131">
        <f t="shared" si="88"/>
        <v>9146570</v>
      </c>
      <c r="M50" s="131">
        <f t="shared" si="89"/>
        <v>10374500</v>
      </c>
      <c r="N50" s="131">
        <f t="shared" si="90"/>
        <v>19521070</v>
      </c>
      <c r="O50" s="131">
        <f t="shared" si="91"/>
        <v>9146570</v>
      </c>
      <c r="P50" s="131">
        <f t="shared" si="92"/>
        <v>11847679</v>
      </c>
      <c r="Q50" s="131">
        <f t="shared" si="93"/>
        <v>20994249</v>
      </c>
      <c r="R50" s="131">
        <f t="shared" si="94"/>
        <v>9146570</v>
      </c>
      <c r="S50" s="131">
        <f t="shared" si="95"/>
        <v>14809598.75</v>
      </c>
      <c r="T50" s="131">
        <f t="shared" si="96"/>
        <v>23956168.75</v>
      </c>
      <c r="U50" s="131">
        <f t="shared" si="97"/>
        <v>381107.0833</v>
      </c>
      <c r="V50" s="131">
        <f t="shared" si="98"/>
        <v>667666.077</v>
      </c>
      <c r="W50" s="131">
        <f t="shared" si="99"/>
        <v>1048773.16</v>
      </c>
      <c r="X50" s="131">
        <f t="shared" si="100"/>
        <v>9146570</v>
      </c>
      <c r="Y50" s="131">
        <f t="shared" si="101"/>
        <v>16023985.85</v>
      </c>
      <c r="Z50" s="131">
        <f t="shared" si="102"/>
        <v>25170555.85</v>
      </c>
    </row>
    <row r="51" ht="14.25" customHeight="1">
      <c r="A51" s="137">
        <v>46115.0</v>
      </c>
      <c r="B51" s="127" t="s">
        <v>892</v>
      </c>
      <c r="C51" s="136" t="s">
        <v>891</v>
      </c>
      <c r="D51" s="138">
        <f>37+183+100</f>
        <v>320</v>
      </c>
      <c r="E51" s="129">
        <f>'3.4'!$I$22</f>
        <v>29083.52645</v>
      </c>
      <c r="F51" s="129">
        <f>'3.4'!$I$36</f>
        <v>18703.125</v>
      </c>
      <c r="G51" s="129">
        <f>'3.4'!$I$50</f>
        <v>0</v>
      </c>
      <c r="H51" s="129">
        <f>'3.4'!$I$64</f>
        <v>250</v>
      </c>
      <c r="I51" s="129">
        <f>'3.4'!$I$78</f>
        <v>0</v>
      </c>
      <c r="J51" s="131">
        <f t="shared" si="86"/>
        <v>18953.125</v>
      </c>
      <c r="K51" s="131">
        <f t="shared" si="87"/>
        <v>48036.65145</v>
      </c>
      <c r="L51" s="131">
        <f t="shared" si="88"/>
        <v>9306728.463</v>
      </c>
      <c r="M51" s="131">
        <f t="shared" si="89"/>
        <v>6065000</v>
      </c>
      <c r="N51" s="131">
        <f t="shared" si="90"/>
        <v>15371728.46</v>
      </c>
      <c r="O51" s="131">
        <f t="shared" si="91"/>
        <v>9306728.463</v>
      </c>
      <c r="P51" s="131">
        <f t="shared" si="92"/>
        <v>6926230</v>
      </c>
      <c r="Q51" s="131">
        <f t="shared" si="93"/>
        <v>16232958.46</v>
      </c>
      <c r="R51" s="131">
        <f t="shared" si="94"/>
        <v>9306728.463</v>
      </c>
      <c r="S51" s="131">
        <f t="shared" si="95"/>
        <v>8657787.5</v>
      </c>
      <c r="T51" s="131">
        <f t="shared" si="96"/>
        <v>17964515.96</v>
      </c>
      <c r="U51" s="131">
        <f t="shared" si="97"/>
        <v>29083.52645</v>
      </c>
      <c r="V51" s="131">
        <f t="shared" si="98"/>
        <v>29274.14398</v>
      </c>
      <c r="W51" s="131">
        <f t="shared" si="99"/>
        <v>58357.67043</v>
      </c>
      <c r="X51" s="131">
        <f t="shared" si="100"/>
        <v>9306728.463</v>
      </c>
      <c r="Y51" s="131">
        <f t="shared" si="101"/>
        <v>9367726.075</v>
      </c>
      <c r="Z51" s="131">
        <f t="shared" si="102"/>
        <v>18674454.54</v>
      </c>
    </row>
    <row r="52" ht="14.25" customHeight="1">
      <c r="A52" s="137">
        <v>46145.0</v>
      </c>
      <c r="B52" s="127" t="s">
        <v>893</v>
      </c>
      <c r="C52" s="136" t="s">
        <v>891</v>
      </c>
      <c r="D52" s="133">
        <v>270.0</v>
      </c>
      <c r="E52" s="129">
        <f>'3.5'!$I$22</f>
        <v>18509.52778</v>
      </c>
      <c r="F52" s="129">
        <f>'3.5'!$I$36</f>
        <v>4277.777778</v>
      </c>
      <c r="G52" s="129">
        <f>'3.5'!$I$50</f>
        <v>0</v>
      </c>
      <c r="H52" s="129">
        <f>'3.5'!$I$64</f>
        <v>0</v>
      </c>
      <c r="I52" s="129">
        <f>'3.5'!$I$78</f>
        <v>14400</v>
      </c>
      <c r="J52" s="131">
        <f t="shared" si="86"/>
        <v>18677.77778</v>
      </c>
      <c r="K52" s="131">
        <f t="shared" si="87"/>
        <v>37187.30556</v>
      </c>
      <c r="L52" s="131">
        <f t="shared" si="88"/>
        <v>4997572.5</v>
      </c>
      <c r="M52" s="131">
        <f t="shared" si="89"/>
        <v>5043000</v>
      </c>
      <c r="N52" s="131">
        <f t="shared" si="90"/>
        <v>10040572.5</v>
      </c>
      <c r="O52" s="131">
        <f t="shared" si="91"/>
        <v>4997572.5</v>
      </c>
      <c r="P52" s="131">
        <f t="shared" si="92"/>
        <v>5759106</v>
      </c>
      <c r="Q52" s="131">
        <f t="shared" si="93"/>
        <v>10756678.5</v>
      </c>
      <c r="R52" s="131">
        <f t="shared" si="94"/>
        <v>4997572.5</v>
      </c>
      <c r="S52" s="131">
        <f t="shared" si="95"/>
        <v>7198882.5</v>
      </c>
      <c r="T52" s="131">
        <f t="shared" si="96"/>
        <v>12196455</v>
      </c>
      <c r="U52" s="131">
        <f t="shared" si="97"/>
        <v>18509.52778</v>
      </c>
      <c r="V52" s="131">
        <f t="shared" si="98"/>
        <v>28848.85506</v>
      </c>
      <c r="W52" s="131">
        <f t="shared" si="99"/>
        <v>47358.38283</v>
      </c>
      <c r="X52" s="131">
        <f t="shared" si="100"/>
        <v>4997572.5</v>
      </c>
      <c r="Y52" s="131">
        <f t="shared" si="101"/>
        <v>7789190.865</v>
      </c>
      <c r="Z52" s="131">
        <f t="shared" si="102"/>
        <v>12786763.37</v>
      </c>
    </row>
    <row r="53" ht="14.25" customHeight="1">
      <c r="A53" s="137">
        <v>46176.0</v>
      </c>
      <c r="B53" s="127" t="s">
        <v>894</v>
      </c>
      <c r="C53" s="136" t="s">
        <v>891</v>
      </c>
      <c r="D53" s="133">
        <v>270.0</v>
      </c>
      <c r="E53" s="129">
        <f>'3.6'!$I$22</f>
        <v>4823.074074</v>
      </c>
      <c r="F53" s="129">
        <f>'3.6'!$I$36</f>
        <v>16777.77778</v>
      </c>
      <c r="G53" s="129">
        <f>'3.6'!$I$50</f>
        <v>0</v>
      </c>
      <c r="H53" s="129">
        <f>'3.6'!$I$64</f>
        <v>0</v>
      </c>
      <c r="I53" s="129">
        <f>'3.6'!$I$78</f>
        <v>0</v>
      </c>
      <c r="J53" s="131">
        <f t="shared" si="86"/>
        <v>16777.77778</v>
      </c>
      <c r="K53" s="131">
        <f t="shared" si="87"/>
        <v>21600.85185</v>
      </c>
      <c r="L53" s="131">
        <f t="shared" si="88"/>
        <v>1302230</v>
      </c>
      <c r="M53" s="131">
        <f t="shared" si="89"/>
        <v>4530000</v>
      </c>
      <c r="N53" s="131">
        <f t="shared" si="90"/>
        <v>5832230</v>
      </c>
      <c r="O53" s="131">
        <f t="shared" si="91"/>
        <v>1302230</v>
      </c>
      <c r="P53" s="131">
        <f t="shared" si="92"/>
        <v>5173260</v>
      </c>
      <c r="Q53" s="131">
        <f t="shared" si="93"/>
        <v>6475490</v>
      </c>
      <c r="R53" s="131">
        <f t="shared" si="94"/>
        <v>1302230</v>
      </c>
      <c r="S53" s="131">
        <f t="shared" si="95"/>
        <v>6466575</v>
      </c>
      <c r="T53" s="131">
        <f t="shared" si="96"/>
        <v>7768805</v>
      </c>
      <c r="U53" s="131">
        <f t="shared" si="97"/>
        <v>4823.074074</v>
      </c>
      <c r="V53" s="131">
        <f t="shared" si="98"/>
        <v>25914.20056</v>
      </c>
      <c r="W53" s="131">
        <f t="shared" si="99"/>
        <v>30737.27463</v>
      </c>
      <c r="X53" s="131">
        <f t="shared" si="100"/>
        <v>1302230</v>
      </c>
      <c r="Y53" s="131">
        <f t="shared" si="101"/>
        <v>6996834.15</v>
      </c>
      <c r="Z53" s="131">
        <f t="shared" si="102"/>
        <v>8299064.15</v>
      </c>
    </row>
    <row r="54" ht="14.25" customHeight="1">
      <c r="A54" s="137">
        <v>46206.0</v>
      </c>
      <c r="B54" s="127" t="s">
        <v>895</v>
      </c>
      <c r="C54" s="136" t="s">
        <v>891</v>
      </c>
      <c r="D54" s="133">
        <v>244.0</v>
      </c>
      <c r="E54" s="129">
        <f>'3.7'!$I$22</f>
        <v>2908.31493</v>
      </c>
      <c r="F54" s="129">
        <f>'3.7'!$I$36</f>
        <v>25573.77049</v>
      </c>
      <c r="G54" s="129">
        <f>'3.7'!$I$50</f>
        <v>0</v>
      </c>
      <c r="H54" s="129">
        <f>'3.7'!$I$64</f>
        <v>0</v>
      </c>
      <c r="I54" s="129">
        <f>'3.7'!$I$78</f>
        <v>0</v>
      </c>
      <c r="J54" s="131">
        <f t="shared" si="86"/>
        <v>25573.77049</v>
      </c>
      <c r="K54" s="131">
        <f t="shared" si="87"/>
        <v>28482.08542</v>
      </c>
      <c r="L54" s="131">
        <f t="shared" si="88"/>
        <v>709628.843</v>
      </c>
      <c r="M54" s="131">
        <f t="shared" si="89"/>
        <v>6240000</v>
      </c>
      <c r="N54" s="131">
        <f t="shared" si="90"/>
        <v>6949628.843</v>
      </c>
      <c r="O54" s="131">
        <f t="shared" si="91"/>
        <v>709628.843</v>
      </c>
      <c r="P54" s="131">
        <f t="shared" si="92"/>
        <v>7126080</v>
      </c>
      <c r="Q54" s="131">
        <f t="shared" si="93"/>
        <v>7835708.843</v>
      </c>
      <c r="R54" s="131">
        <f t="shared" si="94"/>
        <v>709628.843</v>
      </c>
      <c r="S54" s="131">
        <f t="shared" si="95"/>
        <v>8907600</v>
      </c>
      <c r="T54" s="131">
        <f t="shared" si="96"/>
        <v>9617228.843</v>
      </c>
      <c r="U54" s="131">
        <f t="shared" si="97"/>
        <v>2908.31493</v>
      </c>
      <c r="V54" s="131">
        <f t="shared" si="98"/>
        <v>39500.09508</v>
      </c>
      <c r="W54" s="131">
        <f t="shared" si="99"/>
        <v>42408.41001</v>
      </c>
      <c r="X54" s="131">
        <f t="shared" si="100"/>
        <v>709628.843</v>
      </c>
      <c r="Y54" s="131">
        <f t="shared" si="101"/>
        <v>9638023.2</v>
      </c>
      <c r="Z54" s="131">
        <f t="shared" si="102"/>
        <v>10347652.04</v>
      </c>
    </row>
    <row r="55" ht="14.25" customHeight="1">
      <c r="A55" s="137">
        <v>46237.0</v>
      </c>
      <c r="B55" s="127" t="s">
        <v>902</v>
      </c>
      <c r="C55" s="136" t="s">
        <v>891</v>
      </c>
      <c r="D55" s="138">
        <f>284</f>
        <v>284</v>
      </c>
      <c r="E55" s="129">
        <f>'3.8'!$I$22</f>
        <v>3803.746944</v>
      </c>
      <c r="F55" s="129">
        <f>'3.8'!$I$36</f>
        <v>0</v>
      </c>
      <c r="G55" s="129">
        <f>'3.8'!$I$50</f>
        <v>0</v>
      </c>
      <c r="H55" s="129">
        <f>'3.8'!$I$64</f>
        <v>0</v>
      </c>
      <c r="I55" s="129">
        <f>'3.8'!$I$78</f>
        <v>37500</v>
      </c>
      <c r="J55" s="131">
        <f t="shared" si="86"/>
        <v>37500</v>
      </c>
      <c r="K55" s="131">
        <f t="shared" si="87"/>
        <v>41303.74694</v>
      </c>
      <c r="L55" s="131">
        <f t="shared" si="88"/>
        <v>1080264.132</v>
      </c>
      <c r="M55" s="131">
        <f t="shared" si="89"/>
        <v>10650000</v>
      </c>
      <c r="N55" s="131">
        <f t="shared" si="90"/>
        <v>11730264.13</v>
      </c>
      <c r="O55" s="131">
        <f t="shared" si="91"/>
        <v>1080264.132</v>
      </c>
      <c r="P55" s="131">
        <f t="shared" si="92"/>
        <v>12162300</v>
      </c>
      <c r="Q55" s="131">
        <f t="shared" si="93"/>
        <v>13242564.13</v>
      </c>
      <c r="R55" s="131">
        <f t="shared" si="94"/>
        <v>1080264.132</v>
      </c>
      <c r="S55" s="131">
        <f t="shared" si="95"/>
        <v>15202875</v>
      </c>
      <c r="T55" s="131">
        <f t="shared" si="96"/>
        <v>16283139.13</v>
      </c>
      <c r="U55" s="131">
        <f t="shared" si="97"/>
        <v>3803.746944</v>
      </c>
      <c r="V55" s="131">
        <f t="shared" si="98"/>
        <v>57920.8125</v>
      </c>
      <c r="W55" s="131">
        <f t="shared" si="99"/>
        <v>61724.55944</v>
      </c>
      <c r="X55" s="131">
        <f t="shared" si="100"/>
        <v>1080264.132</v>
      </c>
      <c r="Y55" s="131">
        <f t="shared" si="101"/>
        <v>16449510.75</v>
      </c>
      <c r="Z55" s="131">
        <f t="shared" si="102"/>
        <v>17529774.88</v>
      </c>
    </row>
    <row r="56" ht="14.25" customHeight="1">
      <c r="A56" s="135" t="s">
        <v>904</v>
      </c>
      <c r="B56" s="123"/>
      <c r="C56" s="124"/>
      <c r="D56" s="125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</row>
    <row r="57" ht="14.25" customHeight="1">
      <c r="A57" s="137">
        <v>46025.0</v>
      </c>
      <c r="B57" s="127" t="s">
        <v>884</v>
      </c>
      <c r="C57" s="136" t="s">
        <v>869</v>
      </c>
      <c r="D57" s="133">
        <v>18.0</v>
      </c>
      <c r="E57" s="129">
        <f>'3.1'!$I$22</f>
        <v>517211.3467</v>
      </c>
      <c r="F57" s="129">
        <f>'3.1'!$I$36</f>
        <v>549166.6667</v>
      </c>
      <c r="G57" s="129">
        <f>'3.1'!$I$50</f>
        <v>0</v>
      </c>
      <c r="H57" s="129">
        <f>'3.1'!$I$64</f>
        <v>14972.22222</v>
      </c>
      <c r="I57" s="129">
        <f>'3.1'!$I$78</f>
        <v>0</v>
      </c>
      <c r="J57" s="131">
        <f t="shared" ref="J57:J64" si="103">SUM(F57:I57)</f>
        <v>564138.8889</v>
      </c>
      <c r="K57" s="131">
        <f t="shared" ref="K57:K64" si="104">SUM(E57,J57)</f>
        <v>1081350.236</v>
      </c>
      <c r="L57" s="131">
        <f t="shared" ref="L57:L64" si="105">$D57*E57</f>
        <v>9309804.24</v>
      </c>
      <c r="M57" s="131">
        <f t="shared" ref="M57:M64" si="106">$D57*(SUM(F57:I57))</f>
        <v>10154500</v>
      </c>
      <c r="N57" s="131">
        <f t="shared" ref="N57:N64" si="107">L57+M57</f>
        <v>19464304.24</v>
      </c>
      <c r="O57" s="131">
        <f t="shared" ref="O57:O64" si="108">L57</f>
        <v>9309804.24</v>
      </c>
      <c r="P57" s="131">
        <f t="shared" ref="P57:P64" si="109">(P$130*M57)/M$130</f>
        <v>11596439</v>
      </c>
      <c r="Q57" s="131">
        <f t="shared" ref="Q57:Q64" si="110">O57+P57</f>
        <v>20906243.24</v>
      </c>
      <c r="R57" s="131">
        <f t="shared" ref="R57:R64" si="111">L57</f>
        <v>9309804.24</v>
      </c>
      <c r="S57" s="131">
        <f t="shared" ref="S57:S64" si="112">(S$130*P57)/P$130</f>
        <v>14495548.75</v>
      </c>
      <c r="T57" s="131">
        <f t="shared" ref="T57:T64" si="113">R57+S57</f>
        <v>23805352.99</v>
      </c>
      <c r="U57" s="131">
        <f t="shared" ref="U57:U64" si="114">E57</f>
        <v>517211.3467</v>
      </c>
      <c r="V57" s="131">
        <f t="shared" ref="V57:V64" si="115">Y57/D57</f>
        <v>871343.5415</v>
      </c>
      <c r="W57" s="131">
        <f t="shared" ref="W57:W64" si="116">U57+V57</f>
        <v>1388554.888</v>
      </c>
      <c r="X57" s="131">
        <f t="shared" ref="X57:X64" si="117">L57</f>
        <v>9309804.24</v>
      </c>
      <c r="Y57" s="131">
        <f t="shared" ref="Y57:Y64" si="118">(Y$130*S57)/S$130</f>
        <v>15684183.75</v>
      </c>
      <c r="Z57" s="131">
        <f t="shared" ref="Z57:Z64" si="119">X57+Y57</f>
        <v>24993987.99</v>
      </c>
    </row>
    <row r="58" ht="14.25" customHeight="1">
      <c r="A58" s="137">
        <v>46056.0</v>
      </c>
      <c r="B58" s="127" t="s">
        <v>885</v>
      </c>
      <c r="C58" s="136" t="s">
        <v>869</v>
      </c>
      <c r="D58" s="133">
        <v>13.0</v>
      </c>
      <c r="E58" s="129">
        <f>'3.2'!$I$22</f>
        <v>631622.8738</v>
      </c>
      <c r="F58" s="129">
        <f>'3.2'!$I$36</f>
        <v>760384.6154</v>
      </c>
      <c r="G58" s="129">
        <f>'3.2'!$I$50</f>
        <v>0</v>
      </c>
      <c r="H58" s="129">
        <f>'3.2'!$I$64</f>
        <v>20730.76923</v>
      </c>
      <c r="I58" s="129">
        <f>'3.2'!$I$78</f>
        <v>0</v>
      </c>
      <c r="J58" s="131">
        <f t="shared" si="103"/>
        <v>781115.3846</v>
      </c>
      <c r="K58" s="131">
        <f t="shared" si="104"/>
        <v>1412738.258</v>
      </c>
      <c r="L58" s="131">
        <f t="shared" si="105"/>
        <v>8211097.36</v>
      </c>
      <c r="M58" s="131">
        <f t="shared" si="106"/>
        <v>10154500</v>
      </c>
      <c r="N58" s="131">
        <f t="shared" si="107"/>
        <v>18365597.36</v>
      </c>
      <c r="O58" s="131">
        <f t="shared" si="108"/>
        <v>8211097.36</v>
      </c>
      <c r="P58" s="131">
        <f t="shared" si="109"/>
        <v>11596439</v>
      </c>
      <c r="Q58" s="131">
        <f t="shared" si="110"/>
        <v>19807536.36</v>
      </c>
      <c r="R58" s="131">
        <f t="shared" si="111"/>
        <v>8211097.36</v>
      </c>
      <c r="S58" s="131">
        <f t="shared" si="112"/>
        <v>14495548.75</v>
      </c>
      <c r="T58" s="131">
        <f t="shared" si="113"/>
        <v>22706646.11</v>
      </c>
      <c r="U58" s="131">
        <f t="shared" si="114"/>
        <v>631622.8738</v>
      </c>
      <c r="V58" s="131">
        <f t="shared" si="115"/>
        <v>1206475.673</v>
      </c>
      <c r="W58" s="131">
        <f t="shared" si="116"/>
        <v>1838098.547</v>
      </c>
      <c r="X58" s="131">
        <f t="shared" si="117"/>
        <v>8211097.36</v>
      </c>
      <c r="Y58" s="131">
        <f t="shared" si="118"/>
        <v>15684183.75</v>
      </c>
      <c r="Z58" s="131">
        <f t="shared" si="119"/>
        <v>23895281.11</v>
      </c>
    </row>
    <row r="59" ht="14.25" customHeight="1">
      <c r="A59" s="137">
        <v>46084.0</v>
      </c>
      <c r="B59" s="127" t="s">
        <v>886</v>
      </c>
      <c r="C59" s="136" t="s">
        <v>869</v>
      </c>
      <c r="D59" s="133">
        <f>21+3</f>
        <v>24</v>
      </c>
      <c r="E59" s="129">
        <f>'3.3'!$I$22</f>
        <v>381107.0833</v>
      </c>
      <c r="F59" s="129">
        <f>'3.3'!$I$36</f>
        <v>411875</v>
      </c>
      <c r="G59" s="129">
        <f>'3.3'!$I$50</f>
        <v>0</v>
      </c>
      <c r="H59" s="129">
        <f>'3.3'!$I$64</f>
        <v>20395.83333</v>
      </c>
      <c r="I59" s="129">
        <f>'3.3'!$I$78</f>
        <v>0</v>
      </c>
      <c r="J59" s="131">
        <f t="shared" si="103"/>
        <v>432270.8333</v>
      </c>
      <c r="K59" s="131">
        <f t="shared" si="104"/>
        <v>813377.9167</v>
      </c>
      <c r="L59" s="131">
        <f t="shared" si="105"/>
        <v>9146570</v>
      </c>
      <c r="M59" s="131">
        <f t="shared" si="106"/>
        <v>10374500</v>
      </c>
      <c r="N59" s="131">
        <f t="shared" si="107"/>
        <v>19521070</v>
      </c>
      <c r="O59" s="131">
        <f t="shared" si="108"/>
        <v>9146570</v>
      </c>
      <c r="P59" s="131">
        <f t="shared" si="109"/>
        <v>11847679</v>
      </c>
      <c r="Q59" s="131">
        <f t="shared" si="110"/>
        <v>20994249</v>
      </c>
      <c r="R59" s="131">
        <f t="shared" si="111"/>
        <v>9146570</v>
      </c>
      <c r="S59" s="131">
        <f t="shared" si="112"/>
        <v>14809598.75</v>
      </c>
      <c r="T59" s="131">
        <f t="shared" si="113"/>
        <v>23956168.75</v>
      </c>
      <c r="U59" s="131">
        <f t="shared" si="114"/>
        <v>381107.0833</v>
      </c>
      <c r="V59" s="131">
        <f t="shared" si="115"/>
        <v>667666.077</v>
      </c>
      <c r="W59" s="131">
        <f t="shared" si="116"/>
        <v>1048773.16</v>
      </c>
      <c r="X59" s="131">
        <f t="shared" si="117"/>
        <v>9146570</v>
      </c>
      <c r="Y59" s="131">
        <f t="shared" si="118"/>
        <v>16023985.85</v>
      </c>
      <c r="Z59" s="131">
        <f t="shared" si="119"/>
        <v>25170555.85</v>
      </c>
    </row>
    <row r="60" ht="14.25" customHeight="1">
      <c r="A60" s="137">
        <v>46115.0</v>
      </c>
      <c r="B60" s="127" t="s">
        <v>892</v>
      </c>
      <c r="C60" s="136" t="s">
        <v>891</v>
      </c>
      <c r="D60" s="138">
        <f>37+183+100</f>
        <v>320</v>
      </c>
      <c r="E60" s="129">
        <f>'3.4'!$I$22</f>
        <v>29083.52645</v>
      </c>
      <c r="F60" s="129">
        <f>'3.4'!$I$36</f>
        <v>18703.125</v>
      </c>
      <c r="G60" s="129">
        <f>'3.4'!$I$50</f>
        <v>0</v>
      </c>
      <c r="H60" s="129">
        <f>'3.4'!$I$64</f>
        <v>250</v>
      </c>
      <c r="I60" s="129">
        <f>'3.4'!$I$78</f>
        <v>0</v>
      </c>
      <c r="J60" s="131">
        <f t="shared" si="103"/>
        <v>18953.125</v>
      </c>
      <c r="K60" s="131">
        <f t="shared" si="104"/>
        <v>48036.65145</v>
      </c>
      <c r="L60" s="131">
        <f t="shared" si="105"/>
        <v>9306728.463</v>
      </c>
      <c r="M60" s="131">
        <f t="shared" si="106"/>
        <v>6065000</v>
      </c>
      <c r="N60" s="131">
        <f t="shared" si="107"/>
        <v>15371728.46</v>
      </c>
      <c r="O60" s="131">
        <f t="shared" si="108"/>
        <v>9306728.463</v>
      </c>
      <c r="P60" s="131">
        <f t="shared" si="109"/>
        <v>6926230</v>
      </c>
      <c r="Q60" s="131">
        <f t="shared" si="110"/>
        <v>16232958.46</v>
      </c>
      <c r="R60" s="131">
        <f t="shared" si="111"/>
        <v>9306728.463</v>
      </c>
      <c r="S60" s="131">
        <f t="shared" si="112"/>
        <v>8657787.5</v>
      </c>
      <c r="T60" s="131">
        <f t="shared" si="113"/>
        <v>17964515.96</v>
      </c>
      <c r="U60" s="131">
        <f t="shared" si="114"/>
        <v>29083.52645</v>
      </c>
      <c r="V60" s="131">
        <f t="shared" si="115"/>
        <v>29274.14398</v>
      </c>
      <c r="W60" s="131">
        <f t="shared" si="116"/>
        <v>58357.67043</v>
      </c>
      <c r="X60" s="131">
        <f t="shared" si="117"/>
        <v>9306728.463</v>
      </c>
      <c r="Y60" s="131">
        <f t="shared" si="118"/>
        <v>9367726.075</v>
      </c>
      <c r="Z60" s="131">
        <f t="shared" si="119"/>
        <v>18674454.54</v>
      </c>
    </row>
    <row r="61" ht="14.25" customHeight="1">
      <c r="A61" s="137">
        <v>46145.0</v>
      </c>
      <c r="B61" s="127" t="s">
        <v>893</v>
      </c>
      <c r="C61" s="136" t="s">
        <v>891</v>
      </c>
      <c r="D61" s="133">
        <v>270.0</v>
      </c>
      <c r="E61" s="129">
        <f>'3.5'!$I$22</f>
        <v>18509.52778</v>
      </c>
      <c r="F61" s="129">
        <f>'3.5'!$I$36</f>
        <v>4277.777778</v>
      </c>
      <c r="G61" s="129">
        <f>'3.5'!$I$50</f>
        <v>0</v>
      </c>
      <c r="H61" s="129">
        <f>'3.5'!$I$64</f>
        <v>0</v>
      </c>
      <c r="I61" s="129">
        <f>'3.5'!$I$78</f>
        <v>14400</v>
      </c>
      <c r="J61" s="131">
        <f t="shared" si="103"/>
        <v>18677.77778</v>
      </c>
      <c r="K61" s="131">
        <f t="shared" si="104"/>
        <v>37187.30556</v>
      </c>
      <c r="L61" s="131">
        <f t="shared" si="105"/>
        <v>4997572.5</v>
      </c>
      <c r="M61" s="131">
        <f t="shared" si="106"/>
        <v>5043000</v>
      </c>
      <c r="N61" s="131">
        <f t="shared" si="107"/>
        <v>10040572.5</v>
      </c>
      <c r="O61" s="131">
        <f t="shared" si="108"/>
        <v>4997572.5</v>
      </c>
      <c r="P61" s="131">
        <f t="shared" si="109"/>
        <v>5759106</v>
      </c>
      <c r="Q61" s="131">
        <f t="shared" si="110"/>
        <v>10756678.5</v>
      </c>
      <c r="R61" s="131">
        <f t="shared" si="111"/>
        <v>4997572.5</v>
      </c>
      <c r="S61" s="131">
        <f t="shared" si="112"/>
        <v>7198882.5</v>
      </c>
      <c r="T61" s="131">
        <f t="shared" si="113"/>
        <v>12196455</v>
      </c>
      <c r="U61" s="131">
        <f t="shared" si="114"/>
        <v>18509.52778</v>
      </c>
      <c r="V61" s="131">
        <f t="shared" si="115"/>
        <v>28848.85506</v>
      </c>
      <c r="W61" s="131">
        <f t="shared" si="116"/>
        <v>47358.38283</v>
      </c>
      <c r="X61" s="131">
        <f t="shared" si="117"/>
        <v>4997572.5</v>
      </c>
      <c r="Y61" s="131">
        <f t="shared" si="118"/>
        <v>7789190.865</v>
      </c>
      <c r="Z61" s="131">
        <f t="shared" si="119"/>
        <v>12786763.37</v>
      </c>
    </row>
    <row r="62" ht="14.25" customHeight="1">
      <c r="A62" s="137">
        <v>46176.0</v>
      </c>
      <c r="B62" s="127" t="s">
        <v>894</v>
      </c>
      <c r="C62" s="136" t="s">
        <v>891</v>
      </c>
      <c r="D62" s="133">
        <v>270.0</v>
      </c>
      <c r="E62" s="129">
        <f>'3.6'!$I$22</f>
        <v>4823.074074</v>
      </c>
      <c r="F62" s="129">
        <f>'3.6'!$I$36</f>
        <v>16777.77778</v>
      </c>
      <c r="G62" s="129">
        <f>'3.6'!$I$50</f>
        <v>0</v>
      </c>
      <c r="H62" s="129">
        <f>'3.6'!$I$64</f>
        <v>0</v>
      </c>
      <c r="I62" s="129">
        <f>'3.6'!$I$78</f>
        <v>0</v>
      </c>
      <c r="J62" s="131">
        <f t="shared" si="103"/>
        <v>16777.77778</v>
      </c>
      <c r="K62" s="131">
        <f t="shared" si="104"/>
        <v>21600.85185</v>
      </c>
      <c r="L62" s="131">
        <f t="shared" si="105"/>
        <v>1302230</v>
      </c>
      <c r="M62" s="131">
        <f t="shared" si="106"/>
        <v>4530000</v>
      </c>
      <c r="N62" s="131">
        <f t="shared" si="107"/>
        <v>5832230</v>
      </c>
      <c r="O62" s="131">
        <f t="shared" si="108"/>
        <v>1302230</v>
      </c>
      <c r="P62" s="131">
        <f t="shared" si="109"/>
        <v>5173260</v>
      </c>
      <c r="Q62" s="131">
        <f t="shared" si="110"/>
        <v>6475490</v>
      </c>
      <c r="R62" s="131">
        <f t="shared" si="111"/>
        <v>1302230</v>
      </c>
      <c r="S62" s="131">
        <f t="shared" si="112"/>
        <v>6466575</v>
      </c>
      <c r="T62" s="131">
        <f t="shared" si="113"/>
        <v>7768805</v>
      </c>
      <c r="U62" s="131">
        <f t="shared" si="114"/>
        <v>4823.074074</v>
      </c>
      <c r="V62" s="131">
        <f t="shared" si="115"/>
        <v>25914.20056</v>
      </c>
      <c r="W62" s="131">
        <f t="shared" si="116"/>
        <v>30737.27463</v>
      </c>
      <c r="X62" s="131">
        <f t="shared" si="117"/>
        <v>1302230</v>
      </c>
      <c r="Y62" s="131">
        <f t="shared" si="118"/>
        <v>6996834.15</v>
      </c>
      <c r="Z62" s="131">
        <f t="shared" si="119"/>
        <v>8299064.15</v>
      </c>
    </row>
    <row r="63" ht="14.25" customHeight="1">
      <c r="A63" s="137">
        <v>46206.0</v>
      </c>
      <c r="B63" s="127" t="s">
        <v>895</v>
      </c>
      <c r="C63" s="136" t="s">
        <v>891</v>
      </c>
      <c r="D63" s="133">
        <v>244.0</v>
      </c>
      <c r="E63" s="129">
        <f>'3.7'!$I$22</f>
        <v>2908.31493</v>
      </c>
      <c r="F63" s="129">
        <f>'3.7'!$I$36</f>
        <v>25573.77049</v>
      </c>
      <c r="G63" s="129">
        <f>'3.7'!$I$50</f>
        <v>0</v>
      </c>
      <c r="H63" s="129">
        <f>'3.7'!$I$64</f>
        <v>0</v>
      </c>
      <c r="I63" s="129">
        <f>'3.7'!$I$78</f>
        <v>0</v>
      </c>
      <c r="J63" s="131">
        <f t="shared" si="103"/>
        <v>25573.77049</v>
      </c>
      <c r="K63" s="131">
        <f t="shared" si="104"/>
        <v>28482.08542</v>
      </c>
      <c r="L63" s="131">
        <f t="shared" si="105"/>
        <v>709628.843</v>
      </c>
      <c r="M63" s="131">
        <f t="shared" si="106"/>
        <v>6240000</v>
      </c>
      <c r="N63" s="131">
        <f t="shared" si="107"/>
        <v>6949628.843</v>
      </c>
      <c r="O63" s="131">
        <f t="shared" si="108"/>
        <v>709628.843</v>
      </c>
      <c r="P63" s="131">
        <f t="shared" si="109"/>
        <v>7126080</v>
      </c>
      <c r="Q63" s="131">
        <f t="shared" si="110"/>
        <v>7835708.843</v>
      </c>
      <c r="R63" s="131">
        <f t="shared" si="111"/>
        <v>709628.843</v>
      </c>
      <c r="S63" s="131">
        <f t="shared" si="112"/>
        <v>8907600</v>
      </c>
      <c r="T63" s="131">
        <f t="shared" si="113"/>
        <v>9617228.843</v>
      </c>
      <c r="U63" s="131">
        <f t="shared" si="114"/>
        <v>2908.31493</v>
      </c>
      <c r="V63" s="131">
        <f t="shared" si="115"/>
        <v>39500.09508</v>
      </c>
      <c r="W63" s="131">
        <f t="shared" si="116"/>
        <v>42408.41001</v>
      </c>
      <c r="X63" s="131">
        <f t="shared" si="117"/>
        <v>709628.843</v>
      </c>
      <c r="Y63" s="131">
        <f t="shared" si="118"/>
        <v>9638023.2</v>
      </c>
      <c r="Z63" s="131">
        <f t="shared" si="119"/>
        <v>10347652.04</v>
      </c>
    </row>
    <row r="64" ht="14.25" customHeight="1">
      <c r="A64" s="137">
        <v>46237.0</v>
      </c>
      <c r="B64" s="127" t="s">
        <v>902</v>
      </c>
      <c r="C64" s="136" t="s">
        <v>891</v>
      </c>
      <c r="D64" s="138">
        <f>284</f>
        <v>284</v>
      </c>
      <c r="E64" s="129">
        <f>'3.8'!$I$22</f>
        <v>3803.746944</v>
      </c>
      <c r="F64" s="129">
        <f>'3.8'!$I$36</f>
        <v>0</v>
      </c>
      <c r="G64" s="129">
        <f>'3.8'!$I$50</f>
        <v>0</v>
      </c>
      <c r="H64" s="129">
        <f>'3.8'!$I$64</f>
        <v>0</v>
      </c>
      <c r="I64" s="129">
        <f>'3.8'!$I$78</f>
        <v>37500</v>
      </c>
      <c r="J64" s="131">
        <f t="shared" si="103"/>
        <v>37500</v>
      </c>
      <c r="K64" s="131">
        <f t="shared" si="104"/>
        <v>41303.74694</v>
      </c>
      <c r="L64" s="131">
        <f t="shared" si="105"/>
        <v>1080264.132</v>
      </c>
      <c r="M64" s="131">
        <f t="shared" si="106"/>
        <v>10650000</v>
      </c>
      <c r="N64" s="131">
        <f t="shared" si="107"/>
        <v>11730264.13</v>
      </c>
      <c r="O64" s="131">
        <f t="shared" si="108"/>
        <v>1080264.132</v>
      </c>
      <c r="P64" s="131">
        <f t="shared" si="109"/>
        <v>12162300</v>
      </c>
      <c r="Q64" s="131">
        <f t="shared" si="110"/>
        <v>13242564.13</v>
      </c>
      <c r="R64" s="131">
        <f t="shared" si="111"/>
        <v>1080264.132</v>
      </c>
      <c r="S64" s="131">
        <f t="shared" si="112"/>
        <v>15202875</v>
      </c>
      <c r="T64" s="131">
        <f t="shared" si="113"/>
        <v>16283139.13</v>
      </c>
      <c r="U64" s="131">
        <f t="shared" si="114"/>
        <v>3803.746944</v>
      </c>
      <c r="V64" s="131">
        <f t="shared" si="115"/>
        <v>57920.8125</v>
      </c>
      <c r="W64" s="131">
        <f t="shared" si="116"/>
        <v>61724.55944</v>
      </c>
      <c r="X64" s="131">
        <f t="shared" si="117"/>
        <v>1080264.132</v>
      </c>
      <c r="Y64" s="131">
        <f t="shared" si="118"/>
        <v>16449510.75</v>
      </c>
      <c r="Z64" s="131">
        <f t="shared" si="119"/>
        <v>17529774.88</v>
      </c>
    </row>
    <row r="65" ht="14.25" customHeight="1">
      <c r="A65" s="135" t="s">
        <v>905</v>
      </c>
      <c r="B65" s="123"/>
      <c r="C65" s="124"/>
      <c r="D65" s="125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  <c r="W65" s="124"/>
      <c r="X65" s="124"/>
      <c r="Y65" s="124"/>
      <c r="Z65" s="124"/>
    </row>
    <row r="66" ht="14.25" customHeight="1">
      <c r="A66" s="137">
        <v>46025.0</v>
      </c>
      <c r="B66" s="127" t="s">
        <v>884</v>
      </c>
      <c r="C66" s="136" t="s">
        <v>869</v>
      </c>
      <c r="D66" s="133">
        <v>18.0</v>
      </c>
      <c r="E66" s="129">
        <f>'3.1'!$I$22</f>
        <v>517211.3467</v>
      </c>
      <c r="F66" s="129">
        <f>'3.1'!$I$36</f>
        <v>549166.6667</v>
      </c>
      <c r="G66" s="129">
        <f>'3.1'!$I$50</f>
        <v>0</v>
      </c>
      <c r="H66" s="129">
        <f>'3.1'!$I$64</f>
        <v>14972.22222</v>
      </c>
      <c r="I66" s="129">
        <f>'3.1'!$I$78</f>
        <v>0</v>
      </c>
      <c r="J66" s="131">
        <f t="shared" ref="J66:J73" si="120">SUM(F66:I66)</f>
        <v>564138.8889</v>
      </c>
      <c r="K66" s="131">
        <f t="shared" ref="K66:K73" si="121">SUM(E66,J66)</f>
        <v>1081350.236</v>
      </c>
      <c r="L66" s="131">
        <f t="shared" ref="L66:L73" si="122">$D66*E66</f>
        <v>9309804.24</v>
      </c>
      <c r="M66" s="131">
        <f t="shared" ref="M66:M73" si="123">$D66*(SUM(F66:I66))</f>
        <v>10154500</v>
      </c>
      <c r="N66" s="131">
        <f t="shared" ref="N66:N73" si="124">L66+M66</f>
        <v>19464304.24</v>
      </c>
      <c r="O66" s="131">
        <f t="shared" ref="O66:O73" si="125">L66</f>
        <v>9309804.24</v>
      </c>
      <c r="P66" s="131">
        <f t="shared" ref="P66:P73" si="126">(P$130*M66)/M$130</f>
        <v>11596439</v>
      </c>
      <c r="Q66" s="131">
        <f t="shared" ref="Q66:Q73" si="127">O66+P66</f>
        <v>20906243.24</v>
      </c>
      <c r="R66" s="131">
        <f t="shared" ref="R66:R73" si="128">L66</f>
        <v>9309804.24</v>
      </c>
      <c r="S66" s="131">
        <f t="shared" ref="S66:S73" si="129">(S$130*P66)/P$130</f>
        <v>14495548.75</v>
      </c>
      <c r="T66" s="131">
        <f t="shared" ref="T66:T73" si="130">R66+S66</f>
        <v>23805352.99</v>
      </c>
      <c r="U66" s="131">
        <f t="shared" ref="U66:U73" si="131">E66</f>
        <v>517211.3467</v>
      </c>
      <c r="V66" s="131">
        <f t="shared" ref="V66:V73" si="132">Y66/D66</f>
        <v>871343.5415</v>
      </c>
      <c r="W66" s="131">
        <f t="shared" ref="W66:W73" si="133">U66+V66</f>
        <v>1388554.888</v>
      </c>
      <c r="X66" s="131">
        <f t="shared" ref="X66:X73" si="134">L66</f>
        <v>9309804.24</v>
      </c>
      <c r="Y66" s="131">
        <f t="shared" ref="Y66:Y73" si="135">(Y$130*S66)/S$130</f>
        <v>15684183.75</v>
      </c>
      <c r="Z66" s="131">
        <f t="shared" ref="Z66:Z73" si="136">X66+Y66</f>
        <v>24993987.99</v>
      </c>
    </row>
    <row r="67" ht="14.25" customHeight="1">
      <c r="A67" s="137">
        <v>46056.0</v>
      </c>
      <c r="B67" s="127" t="s">
        <v>885</v>
      </c>
      <c r="C67" s="136" t="s">
        <v>869</v>
      </c>
      <c r="D67" s="133">
        <v>13.0</v>
      </c>
      <c r="E67" s="129">
        <f>'3.2'!$I$22</f>
        <v>631622.8738</v>
      </c>
      <c r="F67" s="129">
        <f>'3.2'!$I$36</f>
        <v>760384.6154</v>
      </c>
      <c r="G67" s="129">
        <f>'3.2'!$I$50</f>
        <v>0</v>
      </c>
      <c r="H67" s="129">
        <f>'3.2'!$I$64</f>
        <v>20730.76923</v>
      </c>
      <c r="I67" s="129">
        <f>'3.2'!$I$78</f>
        <v>0</v>
      </c>
      <c r="J67" s="131">
        <f t="shared" si="120"/>
        <v>781115.3846</v>
      </c>
      <c r="K67" s="131">
        <f t="shared" si="121"/>
        <v>1412738.258</v>
      </c>
      <c r="L67" s="131">
        <f t="shared" si="122"/>
        <v>8211097.36</v>
      </c>
      <c r="M67" s="131">
        <f t="shared" si="123"/>
        <v>10154500</v>
      </c>
      <c r="N67" s="131">
        <f t="shared" si="124"/>
        <v>18365597.36</v>
      </c>
      <c r="O67" s="131">
        <f t="shared" si="125"/>
        <v>8211097.36</v>
      </c>
      <c r="P67" s="131">
        <f t="shared" si="126"/>
        <v>11596439</v>
      </c>
      <c r="Q67" s="131">
        <f t="shared" si="127"/>
        <v>19807536.36</v>
      </c>
      <c r="R67" s="131">
        <f t="shared" si="128"/>
        <v>8211097.36</v>
      </c>
      <c r="S67" s="131">
        <f t="shared" si="129"/>
        <v>14495548.75</v>
      </c>
      <c r="T67" s="131">
        <f t="shared" si="130"/>
        <v>22706646.11</v>
      </c>
      <c r="U67" s="131">
        <f t="shared" si="131"/>
        <v>631622.8738</v>
      </c>
      <c r="V67" s="131">
        <f t="shared" si="132"/>
        <v>1206475.673</v>
      </c>
      <c r="W67" s="131">
        <f t="shared" si="133"/>
        <v>1838098.547</v>
      </c>
      <c r="X67" s="131">
        <f t="shared" si="134"/>
        <v>8211097.36</v>
      </c>
      <c r="Y67" s="131">
        <f t="shared" si="135"/>
        <v>15684183.75</v>
      </c>
      <c r="Z67" s="131">
        <f t="shared" si="136"/>
        <v>23895281.11</v>
      </c>
    </row>
    <row r="68" ht="14.25" customHeight="1">
      <c r="A68" s="137">
        <v>46084.0</v>
      </c>
      <c r="B68" s="127" t="s">
        <v>886</v>
      </c>
      <c r="C68" s="136" t="s">
        <v>869</v>
      </c>
      <c r="D68" s="133">
        <f>21+3</f>
        <v>24</v>
      </c>
      <c r="E68" s="129">
        <f>'3.3'!$I$22</f>
        <v>381107.0833</v>
      </c>
      <c r="F68" s="129">
        <f>'3.3'!$I$36</f>
        <v>411875</v>
      </c>
      <c r="G68" s="129">
        <f>'3.3'!$I$50</f>
        <v>0</v>
      </c>
      <c r="H68" s="129">
        <f>'3.3'!$I$64</f>
        <v>20395.83333</v>
      </c>
      <c r="I68" s="129">
        <f>'3.3'!$I$78</f>
        <v>0</v>
      </c>
      <c r="J68" s="131">
        <f t="shared" si="120"/>
        <v>432270.8333</v>
      </c>
      <c r="K68" s="131">
        <f t="shared" si="121"/>
        <v>813377.9167</v>
      </c>
      <c r="L68" s="131">
        <f t="shared" si="122"/>
        <v>9146570</v>
      </c>
      <c r="M68" s="131">
        <f t="shared" si="123"/>
        <v>10374500</v>
      </c>
      <c r="N68" s="131">
        <f t="shared" si="124"/>
        <v>19521070</v>
      </c>
      <c r="O68" s="131">
        <f t="shared" si="125"/>
        <v>9146570</v>
      </c>
      <c r="P68" s="131">
        <f t="shared" si="126"/>
        <v>11847679</v>
      </c>
      <c r="Q68" s="131">
        <f t="shared" si="127"/>
        <v>20994249</v>
      </c>
      <c r="R68" s="131">
        <f t="shared" si="128"/>
        <v>9146570</v>
      </c>
      <c r="S68" s="131">
        <f t="shared" si="129"/>
        <v>14809598.75</v>
      </c>
      <c r="T68" s="131">
        <f t="shared" si="130"/>
        <v>23956168.75</v>
      </c>
      <c r="U68" s="131">
        <f t="shared" si="131"/>
        <v>381107.0833</v>
      </c>
      <c r="V68" s="131">
        <f t="shared" si="132"/>
        <v>667666.077</v>
      </c>
      <c r="W68" s="131">
        <f t="shared" si="133"/>
        <v>1048773.16</v>
      </c>
      <c r="X68" s="131">
        <f t="shared" si="134"/>
        <v>9146570</v>
      </c>
      <c r="Y68" s="131">
        <f t="shared" si="135"/>
        <v>16023985.85</v>
      </c>
      <c r="Z68" s="131">
        <f t="shared" si="136"/>
        <v>25170555.85</v>
      </c>
    </row>
    <row r="69" ht="14.25" customHeight="1">
      <c r="A69" s="137">
        <v>46115.0</v>
      </c>
      <c r="B69" s="127" t="s">
        <v>892</v>
      </c>
      <c r="C69" s="136" t="s">
        <v>891</v>
      </c>
      <c r="D69" s="138">
        <f>37+183+100</f>
        <v>320</v>
      </c>
      <c r="E69" s="129">
        <f>'3.4'!$I$22</f>
        <v>29083.52645</v>
      </c>
      <c r="F69" s="129">
        <f>'3.4'!$I$36</f>
        <v>18703.125</v>
      </c>
      <c r="G69" s="129">
        <f>'3.4'!$I$50</f>
        <v>0</v>
      </c>
      <c r="H69" s="129">
        <f>'3.4'!$I$64</f>
        <v>250</v>
      </c>
      <c r="I69" s="129">
        <f>'3.4'!$I$78</f>
        <v>0</v>
      </c>
      <c r="J69" s="131">
        <f t="shared" si="120"/>
        <v>18953.125</v>
      </c>
      <c r="K69" s="131">
        <f t="shared" si="121"/>
        <v>48036.65145</v>
      </c>
      <c r="L69" s="131">
        <f t="shared" si="122"/>
        <v>9306728.463</v>
      </c>
      <c r="M69" s="131">
        <f t="shared" si="123"/>
        <v>6065000</v>
      </c>
      <c r="N69" s="131">
        <f t="shared" si="124"/>
        <v>15371728.46</v>
      </c>
      <c r="O69" s="131">
        <f t="shared" si="125"/>
        <v>9306728.463</v>
      </c>
      <c r="P69" s="131">
        <f t="shared" si="126"/>
        <v>6926230</v>
      </c>
      <c r="Q69" s="131">
        <f t="shared" si="127"/>
        <v>16232958.46</v>
      </c>
      <c r="R69" s="131">
        <f t="shared" si="128"/>
        <v>9306728.463</v>
      </c>
      <c r="S69" s="131">
        <f t="shared" si="129"/>
        <v>8657787.5</v>
      </c>
      <c r="T69" s="131">
        <f t="shared" si="130"/>
        <v>17964515.96</v>
      </c>
      <c r="U69" s="131">
        <f t="shared" si="131"/>
        <v>29083.52645</v>
      </c>
      <c r="V69" s="131">
        <f t="shared" si="132"/>
        <v>29274.14398</v>
      </c>
      <c r="W69" s="131">
        <f t="shared" si="133"/>
        <v>58357.67043</v>
      </c>
      <c r="X69" s="131">
        <f t="shared" si="134"/>
        <v>9306728.463</v>
      </c>
      <c r="Y69" s="131">
        <f t="shared" si="135"/>
        <v>9367726.075</v>
      </c>
      <c r="Z69" s="131">
        <f t="shared" si="136"/>
        <v>18674454.54</v>
      </c>
    </row>
    <row r="70" ht="14.25" customHeight="1">
      <c r="A70" s="137">
        <v>46145.0</v>
      </c>
      <c r="B70" s="127" t="s">
        <v>893</v>
      </c>
      <c r="C70" s="136" t="s">
        <v>891</v>
      </c>
      <c r="D70" s="133">
        <v>270.0</v>
      </c>
      <c r="E70" s="129">
        <f>'3.5'!$I$22</f>
        <v>18509.52778</v>
      </c>
      <c r="F70" s="129">
        <f>'3.5'!$I$36</f>
        <v>4277.777778</v>
      </c>
      <c r="G70" s="129">
        <f>'3.5'!$I$50</f>
        <v>0</v>
      </c>
      <c r="H70" s="129">
        <f>'3.5'!$I$64</f>
        <v>0</v>
      </c>
      <c r="I70" s="129">
        <f>'3.5'!$I$78</f>
        <v>14400</v>
      </c>
      <c r="J70" s="131">
        <f t="shared" si="120"/>
        <v>18677.77778</v>
      </c>
      <c r="K70" s="131">
        <f t="shared" si="121"/>
        <v>37187.30556</v>
      </c>
      <c r="L70" s="131">
        <f t="shared" si="122"/>
        <v>4997572.5</v>
      </c>
      <c r="M70" s="131">
        <f t="shared" si="123"/>
        <v>5043000</v>
      </c>
      <c r="N70" s="131">
        <f t="shared" si="124"/>
        <v>10040572.5</v>
      </c>
      <c r="O70" s="131">
        <f t="shared" si="125"/>
        <v>4997572.5</v>
      </c>
      <c r="P70" s="131">
        <f t="shared" si="126"/>
        <v>5759106</v>
      </c>
      <c r="Q70" s="131">
        <f t="shared" si="127"/>
        <v>10756678.5</v>
      </c>
      <c r="R70" s="131">
        <f t="shared" si="128"/>
        <v>4997572.5</v>
      </c>
      <c r="S70" s="131">
        <f t="shared" si="129"/>
        <v>7198882.5</v>
      </c>
      <c r="T70" s="131">
        <f t="shared" si="130"/>
        <v>12196455</v>
      </c>
      <c r="U70" s="131">
        <f t="shared" si="131"/>
        <v>18509.52778</v>
      </c>
      <c r="V70" s="131">
        <f t="shared" si="132"/>
        <v>28848.85506</v>
      </c>
      <c r="W70" s="131">
        <f t="shared" si="133"/>
        <v>47358.38283</v>
      </c>
      <c r="X70" s="131">
        <f t="shared" si="134"/>
        <v>4997572.5</v>
      </c>
      <c r="Y70" s="131">
        <f t="shared" si="135"/>
        <v>7789190.865</v>
      </c>
      <c r="Z70" s="131">
        <f t="shared" si="136"/>
        <v>12786763.37</v>
      </c>
    </row>
    <row r="71" ht="14.25" customHeight="1">
      <c r="A71" s="137">
        <v>46176.0</v>
      </c>
      <c r="B71" s="127" t="s">
        <v>894</v>
      </c>
      <c r="C71" s="136" t="s">
        <v>891</v>
      </c>
      <c r="D71" s="133">
        <v>270.0</v>
      </c>
      <c r="E71" s="129">
        <f>'3.6'!$I$22</f>
        <v>4823.074074</v>
      </c>
      <c r="F71" s="129">
        <f>'3.6'!$I$36</f>
        <v>16777.77778</v>
      </c>
      <c r="G71" s="129">
        <f>'3.6'!$I$50</f>
        <v>0</v>
      </c>
      <c r="H71" s="129">
        <f>'3.6'!$I$64</f>
        <v>0</v>
      </c>
      <c r="I71" s="129">
        <f>'3.6'!$I$78</f>
        <v>0</v>
      </c>
      <c r="J71" s="131">
        <f t="shared" si="120"/>
        <v>16777.77778</v>
      </c>
      <c r="K71" s="131">
        <f t="shared" si="121"/>
        <v>21600.85185</v>
      </c>
      <c r="L71" s="131">
        <f t="shared" si="122"/>
        <v>1302230</v>
      </c>
      <c r="M71" s="131">
        <f t="shared" si="123"/>
        <v>4530000</v>
      </c>
      <c r="N71" s="131">
        <f t="shared" si="124"/>
        <v>5832230</v>
      </c>
      <c r="O71" s="131">
        <f t="shared" si="125"/>
        <v>1302230</v>
      </c>
      <c r="P71" s="131">
        <f t="shared" si="126"/>
        <v>5173260</v>
      </c>
      <c r="Q71" s="131">
        <f t="shared" si="127"/>
        <v>6475490</v>
      </c>
      <c r="R71" s="131">
        <f t="shared" si="128"/>
        <v>1302230</v>
      </c>
      <c r="S71" s="131">
        <f t="shared" si="129"/>
        <v>6466575</v>
      </c>
      <c r="T71" s="131">
        <f t="shared" si="130"/>
        <v>7768805</v>
      </c>
      <c r="U71" s="131">
        <f t="shared" si="131"/>
        <v>4823.074074</v>
      </c>
      <c r="V71" s="131">
        <f t="shared" si="132"/>
        <v>25914.20056</v>
      </c>
      <c r="W71" s="131">
        <f t="shared" si="133"/>
        <v>30737.27463</v>
      </c>
      <c r="X71" s="131">
        <f t="shared" si="134"/>
        <v>1302230</v>
      </c>
      <c r="Y71" s="131">
        <f t="shared" si="135"/>
        <v>6996834.15</v>
      </c>
      <c r="Z71" s="131">
        <f t="shared" si="136"/>
        <v>8299064.15</v>
      </c>
    </row>
    <row r="72" ht="14.25" customHeight="1">
      <c r="A72" s="137">
        <v>46206.0</v>
      </c>
      <c r="B72" s="127" t="s">
        <v>895</v>
      </c>
      <c r="C72" s="136" t="s">
        <v>891</v>
      </c>
      <c r="D72" s="133">
        <v>244.0</v>
      </c>
      <c r="E72" s="129">
        <f>'3.7'!$I$22</f>
        <v>2908.31493</v>
      </c>
      <c r="F72" s="129">
        <f>'3.7'!$I$36</f>
        <v>25573.77049</v>
      </c>
      <c r="G72" s="129">
        <f>'3.7'!$I$50</f>
        <v>0</v>
      </c>
      <c r="H72" s="129">
        <f>'3.7'!$I$64</f>
        <v>0</v>
      </c>
      <c r="I72" s="129">
        <f>'3.7'!$I$78</f>
        <v>0</v>
      </c>
      <c r="J72" s="131">
        <f t="shared" si="120"/>
        <v>25573.77049</v>
      </c>
      <c r="K72" s="131">
        <f t="shared" si="121"/>
        <v>28482.08542</v>
      </c>
      <c r="L72" s="131">
        <f t="shared" si="122"/>
        <v>709628.843</v>
      </c>
      <c r="M72" s="131">
        <f t="shared" si="123"/>
        <v>6240000</v>
      </c>
      <c r="N72" s="131">
        <f t="shared" si="124"/>
        <v>6949628.843</v>
      </c>
      <c r="O72" s="131">
        <f t="shared" si="125"/>
        <v>709628.843</v>
      </c>
      <c r="P72" s="131">
        <f t="shared" si="126"/>
        <v>7126080</v>
      </c>
      <c r="Q72" s="131">
        <f t="shared" si="127"/>
        <v>7835708.843</v>
      </c>
      <c r="R72" s="131">
        <f t="shared" si="128"/>
        <v>709628.843</v>
      </c>
      <c r="S72" s="131">
        <f t="shared" si="129"/>
        <v>8907600</v>
      </c>
      <c r="T72" s="131">
        <f t="shared" si="130"/>
        <v>9617228.843</v>
      </c>
      <c r="U72" s="131">
        <f t="shared" si="131"/>
        <v>2908.31493</v>
      </c>
      <c r="V72" s="131">
        <f t="shared" si="132"/>
        <v>39500.09508</v>
      </c>
      <c r="W72" s="131">
        <f t="shared" si="133"/>
        <v>42408.41001</v>
      </c>
      <c r="X72" s="131">
        <f t="shared" si="134"/>
        <v>709628.843</v>
      </c>
      <c r="Y72" s="131">
        <f t="shared" si="135"/>
        <v>9638023.2</v>
      </c>
      <c r="Z72" s="131">
        <f t="shared" si="136"/>
        <v>10347652.04</v>
      </c>
    </row>
    <row r="73" ht="14.25" customHeight="1">
      <c r="A73" s="137">
        <v>46237.0</v>
      </c>
      <c r="B73" s="127" t="s">
        <v>902</v>
      </c>
      <c r="C73" s="136" t="s">
        <v>891</v>
      </c>
      <c r="D73" s="138">
        <f>284</f>
        <v>284</v>
      </c>
      <c r="E73" s="129">
        <f>'3.8'!$I$22</f>
        <v>3803.746944</v>
      </c>
      <c r="F73" s="129">
        <f>'3.8'!$I$36</f>
        <v>0</v>
      </c>
      <c r="G73" s="129">
        <f>'3.8'!$I$50</f>
        <v>0</v>
      </c>
      <c r="H73" s="129">
        <f>'3.8'!$I$64</f>
        <v>0</v>
      </c>
      <c r="I73" s="129">
        <f>'3.8'!$I$78</f>
        <v>37500</v>
      </c>
      <c r="J73" s="131">
        <f t="shared" si="120"/>
        <v>37500</v>
      </c>
      <c r="K73" s="131">
        <f t="shared" si="121"/>
        <v>41303.74694</v>
      </c>
      <c r="L73" s="131">
        <f t="shared" si="122"/>
        <v>1080264.132</v>
      </c>
      <c r="M73" s="131">
        <f t="shared" si="123"/>
        <v>10650000</v>
      </c>
      <c r="N73" s="131">
        <f t="shared" si="124"/>
        <v>11730264.13</v>
      </c>
      <c r="O73" s="131">
        <f t="shared" si="125"/>
        <v>1080264.132</v>
      </c>
      <c r="P73" s="131">
        <f t="shared" si="126"/>
        <v>12162300</v>
      </c>
      <c r="Q73" s="131">
        <f t="shared" si="127"/>
        <v>13242564.13</v>
      </c>
      <c r="R73" s="131">
        <f t="shared" si="128"/>
        <v>1080264.132</v>
      </c>
      <c r="S73" s="131">
        <f t="shared" si="129"/>
        <v>15202875</v>
      </c>
      <c r="T73" s="131">
        <f t="shared" si="130"/>
        <v>16283139.13</v>
      </c>
      <c r="U73" s="131">
        <f t="shared" si="131"/>
        <v>3803.746944</v>
      </c>
      <c r="V73" s="131">
        <f t="shared" si="132"/>
        <v>57920.8125</v>
      </c>
      <c r="W73" s="131">
        <f t="shared" si="133"/>
        <v>61724.55944</v>
      </c>
      <c r="X73" s="131">
        <f t="shared" si="134"/>
        <v>1080264.132</v>
      </c>
      <c r="Y73" s="131">
        <f t="shared" si="135"/>
        <v>16449510.75</v>
      </c>
      <c r="Z73" s="131">
        <f t="shared" si="136"/>
        <v>17529774.88</v>
      </c>
    </row>
    <row r="74" ht="14.25" customHeight="1">
      <c r="A74" s="135" t="s">
        <v>906</v>
      </c>
      <c r="B74" s="123"/>
      <c r="C74" s="124"/>
      <c r="D74" s="125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  <c r="W74" s="124"/>
      <c r="X74" s="124"/>
      <c r="Y74" s="124"/>
      <c r="Z74" s="124"/>
    </row>
    <row r="75" ht="14.25" customHeight="1">
      <c r="A75" s="137">
        <v>46025.0</v>
      </c>
      <c r="B75" s="127" t="s">
        <v>884</v>
      </c>
      <c r="C75" s="136" t="s">
        <v>869</v>
      </c>
      <c r="D75" s="133">
        <v>18.0</v>
      </c>
      <c r="E75" s="129">
        <f>'3.1'!$I$22</f>
        <v>517211.3467</v>
      </c>
      <c r="F75" s="129">
        <f>'3.1'!$I$36</f>
        <v>549166.6667</v>
      </c>
      <c r="G75" s="129">
        <f>'3.1'!$I$50</f>
        <v>0</v>
      </c>
      <c r="H75" s="129">
        <f>'3.1'!$I$64</f>
        <v>14972.22222</v>
      </c>
      <c r="I75" s="129">
        <f>'3.1'!$I$78</f>
        <v>0</v>
      </c>
      <c r="J75" s="131">
        <f t="shared" ref="J75:J82" si="137">SUM(F75:I75)</f>
        <v>564138.8889</v>
      </c>
      <c r="K75" s="131">
        <f t="shared" ref="K75:K82" si="138">SUM(E75,J75)</f>
        <v>1081350.236</v>
      </c>
      <c r="L75" s="131">
        <f t="shared" ref="L75:L82" si="139">$D75*E75</f>
        <v>9309804.24</v>
      </c>
      <c r="M75" s="131">
        <f t="shared" ref="M75:M82" si="140">$D75*(SUM(F75:I75))</f>
        <v>10154500</v>
      </c>
      <c r="N75" s="131">
        <f t="shared" ref="N75:N82" si="141">L75+M75</f>
        <v>19464304.24</v>
      </c>
      <c r="O75" s="131">
        <f t="shared" ref="O75:O82" si="142">L75</f>
        <v>9309804.24</v>
      </c>
      <c r="P75" s="131">
        <f t="shared" ref="P75:P82" si="143">(P$130*M75)/M$130</f>
        <v>11596439</v>
      </c>
      <c r="Q75" s="131">
        <f t="shared" ref="Q75:Q82" si="144">O75+P75</f>
        <v>20906243.24</v>
      </c>
      <c r="R75" s="131">
        <f t="shared" ref="R75:R82" si="145">L75</f>
        <v>9309804.24</v>
      </c>
      <c r="S75" s="131">
        <f t="shared" ref="S75:S82" si="146">(S$130*P75)/P$130</f>
        <v>14495548.75</v>
      </c>
      <c r="T75" s="131">
        <f t="shared" ref="T75:T82" si="147">R75+S75</f>
        <v>23805352.99</v>
      </c>
      <c r="U75" s="131">
        <f t="shared" ref="U75:U82" si="148">E75</f>
        <v>517211.3467</v>
      </c>
      <c r="V75" s="131">
        <f t="shared" ref="V75:V82" si="149">Y75/D75</f>
        <v>871343.5415</v>
      </c>
      <c r="W75" s="131">
        <f t="shared" ref="W75:W82" si="150">U75+V75</f>
        <v>1388554.888</v>
      </c>
      <c r="X75" s="131">
        <f t="shared" ref="X75:X82" si="151">L75</f>
        <v>9309804.24</v>
      </c>
      <c r="Y75" s="131">
        <f t="shared" ref="Y75:Y82" si="152">(Y$130*S75)/S$130</f>
        <v>15684183.75</v>
      </c>
      <c r="Z75" s="131">
        <f t="shared" ref="Z75:Z82" si="153">X75+Y75</f>
        <v>24993987.99</v>
      </c>
    </row>
    <row r="76" ht="14.25" customHeight="1">
      <c r="A76" s="137">
        <v>46056.0</v>
      </c>
      <c r="B76" s="127" t="s">
        <v>885</v>
      </c>
      <c r="C76" s="136" t="s">
        <v>869</v>
      </c>
      <c r="D76" s="133">
        <v>13.0</v>
      </c>
      <c r="E76" s="129">
        <f>'3.2'!$I$22</f>
        <v>631622.8738</v>
      </c>
      <c r="F76" s="129">
        <f>'3.2'!$I$36</f>
        <v>760384.6154</v>
      </c>
      <c r="G76" s="129">
        <f>'3.2'!$I$50</f>
        <v>0</v>
      </c>
      <c r="H76" s="129">
        <f>'3.2'!$I$64</f>
        <v>20730.76923</v>
      </c>
      <c r="I76" s="129">
        <f>'3.2'!$I$78</f>
        <v>0</v>
      </c>
      <c r="J76" s="131">
        <f t="shared" si="137"/>
        <v>781115.3846</v>
      </c>
      <c r="K76" s="131">
        <f t="shared" si="138"/>
        <v>1412738.258</v>
      </c>
      <c r="L76" s="131">
        <f t="shared" si="139"/>
        <v>8211097.36</v>
      </c>
      <c r="M76" s="131">
        <f t="shared" si="140"/>
        <v>10154500</v>
      </c>
      <c r="N76" s="131">
        <f t="shared" si="141"/>
        <v>18365597.36</v>
      </c>
      <c r="O76" s="131">
        <f t="shared" si="142"/>
        <v>8211097.36</v>
      </c>
      <c r="P76" s="131">
        <f t="shared" si="143"/>
        <v>11596439</v>
      </c>
      <c r="Q76" s="131">
        <f t="shared" si="144"/>
        <v>19807536.36</v>
      </c>
      <c r="R76" s="131">
        <f t="shared" si="145"/>
        <v>8211097.36</v>
      </c>
      <c r="S76" s="131">
        <f t="shared" si="146"/>
        <v>14495548.75</v>
      </c>
      <c r="T76" s="131">
        <f t="shared" si="147"/>
        <v>22706646.11</v>
      </c>
      <c r="U76" s="131">
        <f t="shared" si="148"/>
        <v>631622.8738</v>
      </c>
      <c r="V76" s="131">
        <f t="shared" si="149"/>
        <v>1206475.673</v>
      </c>
      <c r="W76" s="131">
        <f t="shared" si="150"/>
        <v>1838098.547</v>
      </c>
      <c r="X76" s="131">
        <f t="shared" si="151"/>
        <v>8211097.36</v>
      </c>
      <c r="Y76" s="131">
        <f t="shared" si="152"/>
        <v>15684183.75</v>
      </c>
      <c r="Z76" s="131">
        <f t="shared" si="153"/>
        <v>23895281.11</v>
      </c>
    </row>
    <row r="77" ht="14.25" customHeight="1">
      <c r="A77" s="137">
        <v>46084.0</v>
      </c>
      <c r="B77" s="127" t="s">
        <v>886</v>
      </c>
      <c r="C77" s="136" t="s">
        <v>869</v>
      </c>
      <c r="D77" s="133">
        <f>21+3</f>
        <v>24</v>
      </c>
      <c r="E77" s="129">
        <f>'3.3'!$I$22</f>
        <v>381107.0833</v>
      </c>
      <c r="F77" s="129">
        <f>'3.3'!$I$36</f>
        <v>411875</v>
      </c>
      <c r="G77" s="129">
        <f>'3.3'!$I$50</f>
        <v>0</v>
      </c>
      <c r="H77" s="129">
        <f>'3.3'!$I$64</f>
        <v>20395.83333</v>
      </c>
      <c r="I77" s="129">
        <f>'3.3'!$I$78</f>
        <v>0</v>
      </c>
      <c r="J77" s="131">
        <f t="shared" si="137"/>
        <v>432270.8333</v>
      </c>
      <c r="K77" s="131">
        <f t="shared" si="138"/>
        <v>813377.9167</v>
      </c>
      <c r="L77" s="131">
        <f t="shared" si="139"/>
        <v>9146570</v>
      </c>
      <c r="M77" s="131">
        <f t="shared" si="140"/>
        <v>10374500</v>
      </c>
      <c r="N77" s="131">
        <f t="shared" si="141"/>
        <v>19521070</v>
      </c>
      <c r="O77" s="131">
        <f t="shared" si="142"/>
        <v>9146570</v>
      </c>
      <c r="P77" s="131">
        <f t="shared" si="143"/>
        <v>11847679</v>
      </c>
      <c r="Q77" s="131">
        <f t="shared" si="144"/>
        <v>20994249</v>
      </c>
      <c r="R77" s="131">
        <f t="shared" si="145"/>
        <v>9146570</v>
      </c>
      <c r="S77" s="131">
        <f t="shared" si="146"/>
        <v>14809598.75</v>
      </c>
      <c r="T77" s="131">
        <f t="shared" si="147"/>
        <v>23956168.75</v>
      </c>
      <c r="U77" s="131">
        <f t="shared" si="148"/>
        <v>381107.0833</v>
      </c>
      <c r="V77" s="131">
        <f t="shared" si="149"/>
        <v>667666.077</v>
      </c>
      <c r="W77" s="131">
        <f t="shared" si="150"/>
        <v>1048773.16</v>
      </c>
      <c r="X77" s="131">
        <f t="shared" si="151"/>
        <v>9146570</v>
      </c>
      <c r="Y77" s="131">
        <f t="shared" si="152"/>
        <v>16023985.85</v>
      </c>
      <c r="Z77" s="131">
        <f t="shared" si="153"/>
        <v>25170555.85</v>
      </c>
    </row>
    <row r="78" ht="14.25" customHeight="1">
      <c r="A78" s="137">
        <v>46115.0</v>
      </c>
      <c r="B78" s="127" t="s">
        <v>892</v>
      </c>
      <c r="C78" s="136" t="s">
        <v>891</v>
      </c>
      <c r="D78" s="138">
        <f>37+183+100</f>
        <v>320</v>
      </c>
      <c r="E78" s="129">
        <f>'3.4'!$I$22</f>
        <v>29083.52645</v>
      </c>
      <c r="F78" s="129">
        <f>'3.4'!$I$36</f>
        <v>18703.125</v>
      </c>
      <c r="G78" s="129">
        <f>'3.4'!$I$50</f>
        <v>0</v>
      </c>
      <c r="H78" s="129">
        <f>'3.4'!$I$64</f>
        <v>250</v>
      </c>
      <c r="I78" s="129">
        <f>'3.4'!$I$78</f>
        <v>0</v>
      </c>
      <c r="J78" s="131">
        <f t="shared" si="137"/>
        <v>18953.125</v>
      </c>
      <c r="K78" s="131">
        <f t="shared" si="138"/>
        <v>48036.65145</v>
      </c>
      <c r="L78" s="131">
        <f t="shared" si="139"/>
        <v>9306728.463</v>
      </c>
      <c r="M78" s="131">
        <f t="shared" si="140"/>
        <v>6065000</v>
      </c>
      <c r="N78" s="131">
        <f t="shared" si="141"/>
        <v>15371728.46</v>
      </c>
      <c r="O78" s="131">
        <f t="shared" si="142"/>
        <v>9306728.463</v>
      </c>
      <c r="P78" s="131">
        <f t="shared" si="143"/>
        <v>6926230</v>
      </c>
      <c r="Q78" s="131">
        <f t="shared" si="144"/>
        <v>16232958.46</v>
      </c>
      <c r="R78" s="131">
        <f t="shared" si="145"/>
        <v>9306728.463</v>
      </c>
      <c r="S78" s="131">
        <f t="shared" si="146"/>
        <v>8657787.5</v>
      </c>
      <c r="T78" s="131">
        <f t="shared" si="147"/>
        <v>17964515.96</v>
      </c>
      <c r="U78" s="131">
        <f t="shared" si="148"/>
        <v>29083.52645</v>
      </c>
      <c r="V78" s="131">
        <f t="shared" si="149"/>
        <v>29274.14398</v>
      </c>
      <c r="W78" s="131">
        <f t="shared" si="150"/>
        <v>58357.67043</v>
      </c>
      <c r="X78" s="131">
        <f t="shared" si="151"/>
        <v>9306728.463</v>
      </c>
      <c r="Y78" s="131">
        <f t="shared" si="152"/>
        <v>9367726.075</v>
      </c>
      <c r="Z78" s="131">
        <f t="shared" si="153"/>
        <v>18674454.54</v>
      </c>
    </row>
    <row r="79" ht="14.25" customHeight="1">
      <c r="A79" s="137">
        <v>46145.0</v>
      </c>
      <c r="B79" s="127" t="s">
        <v>893</v>
      </c>
      <c r="C79" s="136" t="s">
        <v>891</v>
      </c>
      <c r="D79" s="133">
        <v>270.0</v>
      </c>
      <c r="E79" s="129">
        <f>'3.5'!$I$22</f>
        <v>18509.52778</v>
      </c>
      <c r="F79" s="129">
        <f>'3.5'!$I$36</f>
        <v>4277.777778</v>
      </c>
      <c r="G79" s="129">
        <f>'3.5'!$I$50</f>
        <v>0</v>
      </c>
      <c r="H79" s="129">
        <f>'3.5'!$I$64</f>
        <v>0</v>
      </c>
      <c r="I79" s="129">
        <f>'3.5'!$I$78</f>
        <v>14400</v>
      </c>
      <c r="J79" s="131">
        <f t="shared" si="137"/>
        <v>18677.77778</v>
      </c>
      <c r="K79" s="131">
        <f t="shared" si="138"/>
        <v>37187.30556</v>
      </c>
      <c r="L79" s="131">
        <f t="shared" si="139"/>
        <v>4997572.5</v>
      </c>
      <c r="M79" s="131">
        <f t="shared" si="140"/>
        <v>5043000</v>
      </c>
      <c r="N79" s="131">
        <f t="shared" si="141"/>
        <v>10040572.5</v>
      </c>
      <c r="O79" s="131">
        <f t="shared" si="142"/>
        <v>4997572.5</v>
      </c>
      <c r="P79" s="131">
        <f t="shared" si="143"/>
        <v>5759106</v>
      </c>
      <c r="Q79" s="131">
        <f t="shared" si="144"/>
        <v>10756678.5</v>
      </c>
      <c r="R79" s="131">
        <f t="shared" si="145"/>
        <v>4997572.5</v>
      </c>
      <c r="S79" s="131">
        <f t="shared" si="146"/>
        <v>7198882.5</v>
      </c>
      <c r="T79" s="131">
        <f t="shared" si="147"/>
        <v>12196455</v>
      </c>
      <c r="U79" s="131">
        <f t="shared" si="148"/>
        <v>18509.52778</v>
      </c>
      <c r="V79" s="131">
        <f t="shared" si="149"/>
        <v>28848.85506</v>
      </c>
      <c r="W79" s="131">
        <f t="shared" si="150"/>
        <v>47358.38283</v>
      </c>
      <c r="X79" s="131">
        <f t="shared" si="151"/>
        <v>4997572.5</v>
      </c>
      <c r="Y79" s="131">
        <f t="shared" si="152"/>
        <v>7789190.865</v>
      </c>
      <c r="Z79" s="131">
        <f t="shared" si="153"/>
        <v>12786763.37</v>
      </c>
    </row>
    <row r="80" ht="14.25" customHeight="1">
      <c r="A80" s="137">
        <v>46176.0</v>
      </c>
      <c r="B80" s="127" t="s">
        <v>894</v>
      </c>
      <c r="C80" s="136" t="s">
        <v>891</v>
      </c>
      <c r="D80" s="133">
        <v>270.0</v>
      </c>
      <c r="E80" s="129">
        <f>'3.6'!$I$22</f>
        <v>4823.074074</v>
      </c>
      <c r="F80" s="129">
        <f>'3.6'!$I$36</f>
        <v>16777.77778</v>
      </c>
      <c r="G80" s="129">
        <f>'3.6'!$I$50</f>
        <v>0</v>
      </c>
      <c r="H80" s="129">
        <f>'3.6'!$I$64</f>
        <v>0</v>
      </c>
      <c r="I80" s="129">
        <f>'3.6'!$I$78</f>
        <v>0</v>
      </c>
      <c r="J80" s="131">
        <f t="shared" si="137"/>
        <v>16777.77778</v>
      </c>
      <c r="K80" s="131">
        <f t="shared" si="138"/>
        <v>21600.85185</v>
      </c>
      <c r="L80" s="131">
        <f t="shared" si="139"/>
        <v>1302230</v>
      </c>
      <c r="M80" s="131">
        <f t="shared" si="140"/>
        <v>4530000</v>
      </c>
      <c r="N80" s="131">
        <f t="shared" si="141"/>
        <v>5832230</v>
      </c>
      <c r="O80" s="131">
        <f t="shared" si="142"/>
        <v>1302230</v>
      </c>
      <c r="P80" s="131">
        <f t="shared" si="143"/>
        <v>5173260</v>
      </c>
      <c r="Q80" s="131">
        <f t="shared" si="144"/>
        <v>6475490</v>
      </c>
      <c r="R80" s="131">
        <f t="shared" si="145"/>
        <v>1302230</v>
      </c>
      <c r="S80" s="131">
        <f t="shared" si="146"/>
        <v>6466575</v>
      </c>
      <c r="T80" s="131">
        <f t="shared" si="147"/>
        <v>7768805</v>
      </c>
      <c r="U80" s="131">
        <f t="shared" si="148"/>
        <v>4823.074074</v>
      </c>
      <c r="V80" s="131">
        <f t="shared" si="149"/>
        <v>25914.20056</v>
      </c>
      <c r="W80" s="131">
        <f t="shared" si="150"/>
        <v>30737.27463</v>
      </c>
      <c r="X80" s="131">
        <f t="shared" si="151"/>
        <v>1302230</v>
      </c>
      <c r="Y80" s="131">
        <f t="shared" si="152"/>
        <v>6996834.15</v>
      </c>
      <c r="Z80" s="131">
        <f t="shared" si="153"/>
        <v>8299064.15</v>
      </c>
    </row>
    <row r="81" ht="14.25" customHeight="1">
      <c r="A81" s="137">
        <v>46206.0</v>
      </c>
      <c r="B81" s="127" t="s">
        <v>895</v>
      </c>
      <c r="C81" s="136" t="s">
        <v>891</v>
      </c>
      <c r="D81" s="133">
        <v>244.0</v>
      </c>
      <c r="E81" s="129">
        <f>'3.7'!$I$22</f>
        <v>2908.31493</v>
      </c>
      <c r="F81" s="129">
        <f>'3.7'!$I$36</f>
        <v>25573.77049</v>
      </c>
      <c r="G81" s="129">
        <f>'3.7'!$I$50</f>
        <v>0</v>
      </c>
      <c r="H81" s="129">
        <f>'3.7'!$I$64</f>
        <v>0</v>
      </c>
      <c r="I81" s="129">
        <f>'3.7'!$I$78</f>
        <v>0</v>
      </c>
      <c r="J81" s="131">
        <f t="shared" si="137"/>
        <v>25573.77049</v>
      </c>
      <c r="K81" s="131">
        <f t="shared" si="138"/>
        <v>28482.08542</v>
      </c>
      <c r="L81" s="131">
        <f t="shared" si="139"/>
        <v>709628.843</v>
      </c>
      <c r="M81" s="131">
        <f t="shared" si="140"/>
        <v>6240000</v>
      </c>
      <c r="N81" s="131">
        <f t="shared" si="141"/>
        <v>6949628.843</v>
      </c>
      <c r="O81" s="131">
        <f t="shared" si="142"/>
        <v>709628.843</v>
      </c>
      <c r="P81" s="131">
        <f t="shared" si="143"/>
        <v>7126080</v>
      </c>
      <c r="Q81" s="131">
        <f t="shared" si="144"/>
        <v>7835708.843</v>
      </c>
      <c r="R81" s="131">
        <f t="shared" si="145"/>
        <v>709628.843</v>
      </c>
      <c r="S81" s="131">
        <f t="shared" si="146"/>
        <v>8907600</v>
      </c>
      <c r="T81" s="131">
        <f t="shared" si="147"/>
        <v>9617228.843</v>
      </c>
      <c r="U81" s="131">
        <f t="shared" si="148"/>
        <v>2908.31493</v>
      </c>
      <c r="V81" s="131">
        <f t="shared" si="149"/>
        <v>39500.09508</v>
      </c>
      <c r="W81" s="131">
        <f t="shared" si="150"/>
        <v>42408.41001</v>
      </c>
      <c r="X81" s="131">
        <f t="shared" si="151"/>
        <v>709628.843</v>
      </c>
      <c r="Y81" s="131">
        <f t="shared" si="152"/>
        <v>9638023.2</v>
      </c>
      <c r="Z81" s="131">
        <f t="shared" si="153"/>
        <v>10347652.04</v>
      </c>
    </row>
    <row r="82" ht="14.25" customHeight="1">
      <c r="A82" s="137">
        <v>46237.0</v>
      </c>
      <c r="B82" s="127" t="s">
        <v>902</v>
      </c>
      <c r="C82" s="136" t="s">
        <v>891</v>
      </c>
      <c r="D82" s="138">
        <f>284</f>
        <v>284</v>
      </c>
      <c r="E82" s="129">
        <f>'3.8'!$I$22</f>
        <v>3803.746944</v>
      </c>
      <c r="F82" s="129">
        <f>'3.8'!$I$36</f>
        <v>0</v>
      </c>
      <c r="G82" s="129">
        <f>'3.8'!$I$50</f>
        <v>0</v>
      </c>
      <c r="H82" s="129">
        <f>'3.8'!$I$64</f>
        <v>0</v>
      </c>
      <c r="I82" s="129">
        <f>'3.8'!$I$78</f>
        <v>37500</v>
      </c>
      <c r="J82" s="131">
        <f t="shared" si="137"/>
        <v>37500</v>
      </c>
      <c r="K82" s="131">
        <f t="shared" si="138"/>
        <v>41303.74694</v>
      </c>
      <c r="L82" s="131">
        <f t="shared" si="139"/>
        <v>1080264.132</v>
      </c>
      <c r="M82" s="131">
        <f t="shared" si="140"/>
        <v>10650000</v>
      </c>
      <c r="N82" s="131">
        <f t="shared" si="141"/>
        <v>11730264.13</v>
      </c>
      <c r="O82" s="131">
        <f t="shared" si="142"/>
        <v>1080264.132</v>
      </c>
      <c r="P82" s="131">
        <f t="shared" si="143"/>
        <v>12162300</v>
      </c>
      <c r="Q82" s="131">
        <f t="shared" si="144"/>
        <v>13242564.13</v>
      </c>
      <c r="R82" s="131">
        <f t="shared" si="145"/>
        <v>1080264.132</v>
      </c>
      <c r="S82" s="131">
        <f t="shared" si="146"/>
        <v>15202875</v>
      </c>
      <c r="T82" s="131">
        <f t="shared" si="147"/>
        <v>16283139.13</v>
      </c>
      <c r="U82" s="131">
        <f t="shared" si="148"/>
        <v>3803.746944</v>
      </c>
      <c r="V82" s="131">
        <f t="shared" si="149"/>
        <v>57920.8125</v>
      </c>
      <c r="W82" s="131">
        <f t="shared" si="150"/>
        <v>61724.55944</v>
      </c>
      <c r="X82" s="131">
        <f t="shared" si="151"/>
        <v>1080264.132</v>
      </c>
      <c r="Y82" s="131">
        <f t="shared" si="152"/>
        <v>16449510.75</v>
      </c>
      <c r="Z82" s="131">
        <f t="shared" si="153"/>
        <v>17529774.88</v>
      </c>
    </row>
    <row r="83" ht="14.25" customHeight="1">
      <c r="A83" s="135" t="s">
        <v>907</v>
      </c>
      <c r="B83" s="123"/>
      <c r="C83" s="124"/>
      <c r="D83" s="125"/>
      <c r="E83" s="124"/>
      <c r="F83" s="124"/>
      <c r="G83" s="124"/>
      <c r="H83" s="124"/>
      <c r="I83" s="124"/>
      <c r="J83" s="124"/>
      <c r="K83" s="124"/>
      <c r="L83" s="124"/>
      <c r="M83" s="124"/>
      <c r="N83" s="124"/>
      <c r="O83" s="124"/>
      <c r="P83" s="124"/>
      <c r="Q83" s="124"/>
      <c r="R83" s="124"/>
      <c r="S83" s="124"/>
      <c r="T83" s="124"/>
      <c r="U83" s="124"/>
      <c r="V83" s="124"/>
      <c r="W83" s="124"/>
      <c r="X83" s="124"/>
      <c r="Y83" s="124"/>
      <c r="Z83" s="124"/>
    </row>
    <row r="84" ht="14.25" customHeight="1">
      <c r="A84" s="137">
        <v>46025.0</v>
      </c>
      <c r="B84" s="127" t="s">
        <v>884</v>
      </c>
      <c r="C84" s="136" t="s">
        <v>869</v>
      </c>
      <c r="D84" s="133">
        <v>18.0</v>
      </c>
      <c r="E84" s="129">
        <f>'3.1'!$I$22</f>
        <v>517211.3467</v>
      </c>
      <c r="F84" s="129">
        <f>'3.1'!$I$36</f>
        <v>549166.6667</v>
      </c>
      <c r="G84" s="129">
        <f>'3.1'!$I$50</f>
        <v>0</v>
      </c>
      <c r="H84" s="129">
        <f>'3.1'!$I$64</f>
        <v>14972.22222</v>
      </c>
      <c r="I84" s="129">
        <f>'3.1'!$I$78</f>
        <v>0</v>
      </c>
      <c r="J84" s="131">
        <f t="shared" ref="J84:J91" si="154">SUM(F84:I84)</f>
        <v>564138.8889</v>
      </c>
      <c r="K84" s="131">
        <f t="shared" ref="K84:K91" si="155">SUM(E84,J84)</f>
        <v>1081350.236</v>
      </c>
      <c r="L84" s="131">
        <f t="shared" ref="L84:L91" si="156">$D84*E84</f>
        <v>9309804.24</v>
      </c>
      <c r="M84" s="131">
        <f t="shared" ref="M84:M91" si="157">$D84*(SUM(F84:I84))</f>
        <v>10154500</v>
      </c>
      <c r="N84" s="131">
        <f t="shared" ref="N84:N91" si="158">L84+M84</f>
        <v>19464304.24</v>
      </c>
      <c r="O84" s="131">
        <f t="shared" ref="O84:O91" si="159">L84</f>
        <v>9309804.24</v>
      </c>
      <c r="P84" s="131">
        <f t="shared" ref="P84:P91" si="160">(P$130*M84)/M$130</f>
        <v>11596439</v>
      </c>
      <c r="Q84" s="131">
        <f t="shared" ref="Q84:Q91" si="161">O84+P84</f>
        <v>20906243.24</v>
      </c>
      <c r="R84" s="131">
        <f t="shared" ref="R84:R91" si="162">L84</f>
        <v>9309804.24</v>
      </c>
      <c r="S84" s="131">
        <f t="shared" ref="S84:S91" si="163">(S$130*P84)/P$130</f>
        <v>14495548.75</v>
      </c>
      <c r="T84" s="131">
        <f t="shared" ref="T84:T91" si="164">R84+S84</f>
        <v>23805352.99</v>
      </c>
      <c r="U84" s="131">
        <f t="shared" ref="U84:U91" si="165">E84</f>
        <v>517211.3467</v>
      </c>
      <c r="V84" s="131">
        <f t="shared" ref="V84:V91" si="166">Y84/D84</f>
        <v>871343.5415</v>
      </c>
      <c r="W84" s="131">
        <f t="shared" ref="W84:W91" si="167">U84+V84</f>
        <v>1388554.888</v>
      </c>
      <c r="X84" s="131">
        <f t="shared" ref="X84:X91" si="168">L84</f>
        <v>9309804.24</v>
      </c>
      <c r="Y84" s="131">
        <f t="shared" ref="Y84:Y91" si="169">(Y$130*S84)/S$130</f>
        <v>15684183.75</v>
      </c>
      <c r="Z84" s="131">
        <f t="shared" ref="Z84:Z91" si="170">X84+Y84</f>
        <v>24993987.99</v>
      </c>
    </row>
    <row r="85" ht="14.25" customHeight="1">
      <c r="A85" s="137">
        <v>46056.0</v>
      </c>
      <c r="B85" s="127" t="s">
        <v>885</v>
      </c>
      <c r="C85" s="136" t="s">
        <v>869</v>
      </c>
      <c r="D85" s="133">
        <v>13.0</v>
      </c>
      <c r="E85" s="129">
        <f>'3.2'!$I$22</f>
        <v>631622.8738</v>
      </c>
      <c r="F85" s="129">
        <f>'3.2'!$I$36</f>
        <v>760384.6154</v>
      </c>
      <c r="G85" s="129">
        <f>'3.2'!$I$50</f>
        <v>0</v>
      </c>
      <c r="H85" s="129">
        <f>'3.2'!$I$64</f>
        <v>20730.76923</v>
      </c>
      <c r="I85" s="129">
        <f>'3.2'!$I$78</f>
        <v>0</v>
      </c>
      <c r="J85" s="131">
        <f t="shared" si="154"/>
        <v>781115.3846</v>
      </c>
      <c r="K85" s="131">
        <f t="shared" si="155"/>
        <v>1412738.258</v>
      </c>
      <c r="L85" s="131">
        <f t="shared" si="156"/>
        <v>8211097.36</v>
      </c>
      <c r="M85" s="131">
        <f t="shared" si="157"/>
        <v>10154500</v>
      </c>
      <c r="N85" s="131">
        <f t="shared" si="158"/>
        <v>18365597.36</v>
      </c>
      <c r="O85" s="131">
        <f t="shared" si="159"/>
        <v>8211097.36</v>
      </c>
      <c r="P85" s="131">
        <f t="shared" si="160"/>
        <v>11596439</v>
      </c>
      <c r="Q85" s="131">
        <f t="shared" si="161"/>
        <v>19807536.36</v>
      </c>
      <c r="R85" s="131">
        <f t="shared" si="162"/>
        <v>8211097.36</v>
      </c>
      <c r="S85" s="131">
        <f t="shared" si="163"/>
        <v>14495548.75</v>
      </c>
      <c r="T85" s="131">
        <f t="shared" si="164"/>
        <v>22706646.11</v>
      </c>
      <c r="U85" s="131">
        <f t="shared" si="165"/>
        <v>631622.8738</v>
      </c>
      <c r="V85" s="131">
        <f t="shared" si="166"/>
        <v>1206475.673</v>
      </c>
      <c r="W85" s="131">
        <f t="shared" si="167"/>
        <v>1838098.547</v>
      </c>
      <c r="X85" s="131">
        <f t="shared" si="168"/>
        <v>8211097.36</v>
      </c>
      <c r="Y85" s="131">
        <f t="shared" si="169"/>
        <v>15684183.75</v>
      </c>
      <c r="Z85" s="131">
        <f t="shared" si="170"/>
        <v>23895281.11</v>
      </c>
    </row>
    <row r="86" ht="14.25" customHeight="1">
      <c r="A86" s="137">
        <v>46084.0</v>
      </c>
      <c r="B86" s="127" t="s">
        <v>886</v>
      </c>
      <c r="C86" s="136" t="s">
        <v>869</v>
      </c>
      <c r="D86" s="133">
        <f>21+3</f>
        <v>24</v>
      </c>
      <c r="E86" s="129">
        <f>'3.3'!$I$22</f>
        <v>381107.0833</v>
      </c>
      <c r="F86" s="129">
        <f>'3.3'!$I$36</f>
        <v>411875</v>
      </c>
      <c r="G86" s="129">
        <f>'3.3'!$I$50</f>
        <v>0</v>
      </c>
      <c r="H86" s="129">
        <f>'3.3'!$I$64</f>
        <v>20395.83333</v>
      </c>
      <c r="I86" s="129">
        <f>'3.3'!$I$78</f>
        <v>0</v>
      </c>
      <c r="J86" s="131">
        <f t="shared" si="154"/>
        <v>432270.8333</v>
      </c>
      <c r="K86" s="131">
        <f t="shared" si="155"/>
        <v>813377.9167</v>
      </c>
      <c r="L86" s="131">
        <f t="shared" si="156"/>
        <v>9146570</v>
      </c>
      <c r="M86" s="131">
        <f t="shared" si="157"/>
        <v>10374500</v>
      </c>
      <c r="N86" s="131">
        <f t="shared" si="158"/>
        <v>19521070</v>
      </c>
      <c r="O86" s="131">
        <f t="shared" si="159"/>
        <v>9146570</v>
      </c>
      <c r="P86" s="131">
        <f t="shared" si="160"/>
        <v>11847679</v>
      </c>
      <c r="Q86" s="131">
        <f t="shared" si="161"/>
        <v>20994249</v>
      </c>
      <c r="R86" s="131">
        <f t="shared" si="162"/>
        <v>9146570</v>
      </c>
      <c r="S86" s="131">
        <f t="shared" si="163"/>
        <v>14809598.75</v>
      </c>
      <c r="T86" s="131">
        <f t="shared" si="164"/>
        <v>23956168.75</v>
      </c>
      <c r="U86" s="131">
        <f t="shared" si="165"/>
        <v>381107.0833</v>
      </c>
      <c r="V86" s="131">
        <f t="shared" si="166"/>
        <v>667666.077</v>
      </c>
      <c r="W86" s="131">
        <f t="shared" si="167"/>
        <v>1048773.16</v>
      </c>
      <c r="X86" s="131">
        <f t="shared" si="168"/>
        <v>9146570</v>
      </c>
      <c r="Y86" s="131">
        <f t="shared" si="169"/>
        <v>16023985.85</v>
      </c>
      <c r="Z86" s="131">
        <f t="shared" si="170"/>
        <v>25170555.85</v>
      </c>
    </row>
    <row r="87" ht="14.25" customHeight="1">
      <c r="A87" s="137">
        <v>46115.0</v>
      </c>
      <c r="B87" s="127" t="s">
        <v>892</v>
      </c>
      <c r="C87" s="136" t="s">
        <v>891</v>
      </c>
      <c r="D87" s="138">
        <f>37+183+100</f>
        <v>320</v>
      </c>
      <c r="E87" s="129">
        <f>'3.4'!$I$22</f>
        <v>29083.52645</v>
      </c>
      <c r="F87" s="129">
        <f>'3.4'!$I$36</f>
        <v>18703.125</v>
      </c>
      <c r="G87" s="129">
        <f>'3.4'!$I$50</f>
        <v>0</v>
      </c>
      <c r="H87" s="129">
        <f>'3.4'!$I$64</f>
        <v>250</v>
      </c>
      <c r="I87" s="129">
        <f>'3.4'!$I$78</f>
        <v>0</v>
      </c>
      <c r="J87" s="131">
        <f t="shared" si="154"/>
        <v>18953.125</v>
      </c>
      <c r="K87" s="131">
        <f t="shared" si="155"/>
        <v>48036.65145</v>
      </c>
      <c r="L87" s="131">
        <f t="shared" si="156"/>
        <v>9306728.463</v>
      </c>
      <c r="M87" s="131">
        <f t="shared" si="157"/>
        <v>6065000</v>
      </c>
      <c r="N87" s="131">
        <f t="shared" si="158"/>
        <v>15371728.46</v>
      </c>
      <c r="O87" s="131">
        <f t="shared" si="159"/>
        <v>9306728.463</v>
      </c>
      <c r="P87" s="131">
        <f t="shared" si="160"/>
        <v>6926230</v>
      </c>
      <c r="Q87" s="131">
        <f t="shared" si="161"/>
        <v>16232958.46</v>
      </c>
      <c r="R87" s="131">
        <f t="shared" si="162"/>
        <v>9306728.463</v>
      </c>
      <c r="S87" s="131">
        <f t="shared" si="163"/>
        <v>8657787.5</v>
      </c>
      <c r="T87" s="131">
        <f t="shared" si="164"/>
        <v>17964515.96</v>
      </c>
      <c r="U87" s="131">
        <f t="shared" si="165"/>
        <v>29083.52645</v>
      </c>
      <c r="V87" s="131">
        <f t="shared" si="166"/>
        <v>29274.14398</v>
      </c>
      <c r="W87" s="131">
        <f t="shared" si="167"/>
        <v>58357.67043</v>
      </c>
      <c r="X87" s="131">
        <f t="shared" si="168"/>
        <v>9306728.463</v>
      </c>
      <c r="Y87" s="131">
        <f t="shared" si="169"/>
        <v>9367726.075</v>
      </c>
      <c r="Z87" s="131">
        <f t="shared" si="170"/>
        <v>18674454.54</v>
      </c>
    </row>
    <row r="88" ht="14.25" customHeight="1">
      <c r="A88" s="137">
        <v>46145.0</v>
      </c>
      <c r="B88" s="127" t="s">
        <v>893</v>
      </c>
      <c r="C88" s="136" t="s">
        <v>891</v>
      </c>
      <c r="D88" s="133">
        <v>270.0</v>
      </c>
      <c r="E88" s="129">
        <f>'3.5'!$I$22</f>
        <v>18509.52778</v>
      </c>
      <c r="F88" s="129">
        <f>'3.5'!$I$36</f>
        <v>4277.777778</v>
      </c>
      <c r="G88" s="129">
        <f>'3.5'!$I$50</f>
        <v>0</v>
      </c>
      <c r="H88" s="129">
        <f>'3.5'!$I$64</f>
        <v>0</v>
      </c>
      <c r="I88" s="129">
        <f>'3.5'!$I$78</f>
        <v>14400</v>
      </c>
      <c r="J88" s="131">
        <f t="shared" si="154"/>
        <v>18677.77778</v>
      </c>
      <c r="K88" s="131">
        <f t="shared" si="155"/>
        <v>37187.30556</v>
      </c>
      <c r="L88" s="131">
        <f t="shared" si="156"/>
        <v>4997572.5</v>
      </c>
      <c r="M88" s="131">
        <f t="shared" si="157"/>
        <v>5043000</v>
      </c>
      <c r="N88" s="131">
        <f t="shared" si="158"/>
        <v>10040572.5</v>
      </c>
      <c r="O88" s="131">
        <f t="shared" si="159"/>
        <v>4997572.5</v>
      </c>
      <c r="P88" s="131">
        <f t="shared" si="160"/>
        <v>5759106</v>
      </c>
      <c r="Q88" s="131">
        <f t="shared" si="161"/>
        <v>10756678.5</v>
      </c>
      <c r="R88" s="131">
        <f t="shared" si="162"/>
        <v>4997572.5</v>
      </c>
      <c r="S88" s="131">
        <f t="shared" si="163"/>
        <v>7198882.5</v>
      </c>
      <c r="T88" s="131">
        <f t="shared" si="164"/>
        <v>12196455</v>
      </c>
      <c r="U88" s="131">
        <f t="shared" si="165"/>
        <v>18509.52778</v>
      </c>
      <c r="V88" s="131">
        <f t="shared" si="166"/>
        <v>28848.85506</v>
      </c>
      <c r="W88" s="131">
        <f t="shared" si="167"/>
        <v>47358.38283</v>
      </c>
      <c r="X88" s="131">
        <f t="shared" si="168"/>
        <v>4997572.5</v>
      </c>
      <c r="Y88" s="131">
        <f t="shared" si="169"/>
        <v>7789190.865</v>
      </c>
      <c r="Z88" s="131">
        <f t="shared" si="170"/>
        <v>12786763.37</v>
      </c>
    </row>
    <row r="89" ht="14.25" customHeight="1">
      <c r="A89" s="137">
        <v>46176.0</v>
      </c>
      <c r="B89" s="127" t="s">
        <v>894</v>
      </c>
      <c r="C89" s="136" t="s">
        <v>891</v>
      </c>
      <c r="D89" s="133">
        <v>270.0</v>
      </c>
      <c r="E89" s="129">
        <f>'3.6'!$I$22</f>
        <v>4823.074074</v>
      </c>
      <c r="F89" s="129">
        <f>'3.6'!$I$36</f>
        <v>16777.77778</v>
      </c>
      <c r="G89" s="129">
        <f>'3.6'!$I$50</f>
        <v>0</v>
      </c>
      <c r="H89" s="129">
        <f>'3.6'!$I$64</f>
        <v>0</v>
      </c>
      <c r="I89" s="129">
        <f>'3.6'!$I$78</f>
        <v>0</v>
      </c>
      <c r="J89" s="131">
        <f t="shared" si="154"/>
        <v>16777.77778</v>
      </c>
      <c r="K89" s="131">
        <f t="shared" si="155"/>
        <v>21600.85185</v>
      </c>
      <c r="L89" s="131">
        <f t="shared" si="156"/>
        <v>1302230</v>
      </c>
      <c r="M89" s="131">
        <f t="shared" si="157"/>
        <v>4530000</v>
      </c>
      <c r="N89" s="131">
        <f t="shared" si="158"/>
        <v>5832230</v>
      </c>
      <c r="O89" s="131">
        <f t="shared" si="159"/>
        <v>1302230</v>
      </c>
      <c r="P89" s="131">
        <f t="shared" si="160"/>
        <v>5173260</v>
      </c>
      <c r="Q89" s="131">
        <f t="shared" si="161"/>
        <v>6475490</v>
      </c>
      <c r="R89" s="131">
        <f t="shared" si="162"/>
        <v>1302230</v>
      </c>
      <c r="S89" s="131">
        <f t="shared" si="163"/>
        <v>6466575</v>
      </c>
      <c r="T89" s="131">
        <f t="shared" si="164"/>
        <v>7768805</v>
      </c>
      <c r="U89" s="131">
        <f t="shared" si="165"/>
        <v>4823.074074</v>
      </c>
      <c r="V89" s="131">
        <f t="shared" si="166"/>
        <v>25914.20056</v>
      </c>
      <c r="W89" s="131">
        <f t="shared" si="167"/>
        <v>30737.27463</v>
      </c>
      <c r="X89" s="131">
        <f t="shared" si="168"/>
        <v>1302230</v>
      </c>
      <c r="Y89" s="131">
        <f t="shared" si="169"/>
        <v>6996834.15</v>
      </c>
      <c r="Z89" s="131">
        <f t="shared" si="170"/>
        <v>8299064.15</v>
      </c>
    </row>
    <row r="90" ht="14.25" customHeight="1">
      <c r="A90" s="137">
        <v>46206.0</v>
      </c>
      <c r="B90" s="127" t="s">
        <v>895</v>
      </c>
      <c r="C90" s="136" t="s">
        <v>891</v>
      </c>
      <c r="D90" s="133">
        <v>244.0</v>
      </c>
      <c r="E90" s="129">
        <f>'3.7'!$I$22</f>
        <v>2908.31493</v>
      </c>
      <c r="F90" s="129">
        <f>'3.7'!$I$36</f>
        <v>25573.77049</v>
      </c>
      <c r="G90" s="129">
        <f>'3.7'!$I$50</f>
        <v>0</v>
      </c>
      <c r="H90" s="129">
        <f>'3.7'!$I$64</f>
        <v>0</v>
      </c>
      <c r="I90" s="129">
        <f>'3.7'!$I$78</f>
        <v>0</v>
      </c>
      <c r="J90" s="131">
        <f t="shared" si="154"/>
        <v>25573.77049</v>
      </c>
      <c r="K90" s="131">
        <f t="shared" si="155"/>
        <v>28482.08542</v>
      </c>
      <c r="L90" s="131">
        <f t="shared" si="156"/>
        <v>709628.843</v>
      </c>
      <c r="M90" s="131">
        <f t="shared" si="157"/>
        <v>6240000</v>
      </c>
      <c r="N90" s="131">
        <f t="shared" si="158"/>
        <v>6949628.843</v>
      </c>
      <c r="O90" s="131">
        <f t="shared" si="159"/>
        <v>709628.843</v>
      </c>
      <c r="P90" s="131">
        <f t="shared" si="160"/>
        <v>7126080</v>
      </c>
      <c r="Q90" s="131">
        <f t="shared" si="161"/>
        <v>7835708.843</v>
      </c>
      <c r="R90" s="131">
        <f t="shared" si="162"/>
        <v>709628.843</v>
      </c>
      <c r="S90" s="131">
        <f t="shared" si="163"/>
        <v>8907600</v>
      </c>
      <c r="T90" s="131">
        <f t="shared" si="164"/>
        <v>9617228.843</v>
      </c>
      <c r="U90" s="131">
        <f t="shared" si="165"/>
        <v>2908.31493</v>
      </c>
      <c r="V90" s="131">
        <f t="shared" si="166"/>
        <v>39500.09508</v>
      </c>
      <c r="W90" s="131">
        <f t="shared" si="167"/>
        <v>42408.41001</v>
      </c>
      <c r="X90" s="131">
        <f t="shared" si="168"/>
        <v>709628.843</v>
      </c>
      <c r="Y90" s="131">
        <f t="shared" si="169"/>
        <v>9638023.2</v>
      </c>
      <c r="Z90" s="131">
        <f t="shared" si="170"/>
        <v>10347652.04</v>
      </c>
    </row>
    <row r="91" ht="14.25" customHeight="1">
      <c r="A91" s="137">
        <v>46237.0</v>
      </c>
      <c r="B91" s="127" t="s">
        <v>902</v>
      </c>
      <c r="C91" s="136" t="s">
        <v>891</v>
      </c>
      <c r="D91" s="138">
        <f>284</f>
        <v>284</v>
      </c>
      <c r="E91" s="129">
        <f>'3.8'!$I$22</f>
        <v>3803.746944</v>
      </c>
      <c r="F91" s="129">
        <f>'3.8'!$I$36</f>
        <v>0</v>
      </c>
      <c r="G91" s="129">
        <f>'3.8'!$I$50</f>
        <v>0</v>
      </c>
      <c r="H91" s="129">
        <f>'3.8'!$I$64</f>
        <v>0</v>
      </c>
      <c r="I91" s="129">
        <f>'3.8'!$I$78</f>
        <v>37500</v>
      </c>
      <c r="J91" s="131">
        <f t="shared" si="154"/>
        <v>37500</v>
      </c>
      <c r="K91" s="131">
        <f t="shared" si="155"/>
        <v>41303.74694</v>
      </c>
      <c r="L91" s="131">
        <f t="shared" si="156"/>
        <v>1080264.132</v>
      </c>
      <c r="M91" s="131">
        <f t="shared" si="157"/>
        <v>10650000</v>
      </c>
      <c r="N91" s="131">
        <f t="shared" si="158"/>
        <v>11730264.13</v>
      </c>
      <c r="O91" s="131">
        <f t="shared" si="159"/>
        <v>1080264.132</v>
      </c>
      <c r="P91" s="131">
        <f t="shared" si="160"/>
        <v>12162300</v>
      </c>
      <c r="Q91" s="131">
        <f t="shared" si="161"/>
        <v>13242564.13</v>
      </c>
      <c r="R91" s="131">
        <f t="shared" si="162"/>
        <v>1080264.132</v>
      </c>
      <c r="S91" s="131">
        <f t="shared" si="163"/>
        <v>15202875</v>
      </c>
      <c r="T91" s="131">
        <f t="shared" si="164"/>
        <v>16283139.13</v>
      </c>
      <c r="U91" s="131">
        <f t="shared" si="165"/>
        <v>3803.746944</v>
      </c>
      <c r="V91" s="131">
        <f t="shared" si="166"/>
        <v>57920.8125</v>
      </c>
      <c r="W91" s="131">
        <f t="shared" si="167"/>
        <v>61724.55944</v>
      </c>
      <c r="X91" s="131">
        <f t="shared" si="168"/>
        <v>1080264.132</v>
      </c>
      <c r="Y91" s="131">
        <f t="shared" si="169"/>
        <v>16449510.75</v>
      </c>
      <c r="Z91" s="131">
        <f t="shared" si="170"/>
        <v>17529774.88</v>
      </c>
    </row>
    <row r="92" ht="14.25" customHeight="1">
      <c r="A92" s="135" t="s">
        <v>908</v>
      </c>
      <c r="B92" s="123"/>
      <c r="C92" s="124"/>
      <c r="D92" s="125"/>
      <c r="E92" s="124"/>
      <c r="F92" s="124"/>
      <c r="G92" s="124"/>
      <c r="H92" s="124"/>
      <c r="I92" s="124"/>
      <c r="J92" s="124"/>
      <c r="K92" s="124"/>
      <c r="L92" s="124"/>
      <c r="M92" s="124"/>
      <c r="N92" s="124"/>
      <c r="O92" s="124"/>
      <c r="P92" s="124"/>
      <c r="Q92" s="124"/>
      <c r="R92" s="124"/>
      <c r="S92" s="124"/>
      <c r="T92" s="124"/>
      <c r="U92" s="124"/>
      <c r="V92" s="124"/>
      <c r="W92" s="124"/>
      <c r="X92" s="124"/>
      <c r="Y92" s="124"/>
      <c r="Z92" s="124"/>
    </row>
    <row r="93" ht="14.25" customHeight="1">
      <c r="A93" s="137">
        <v>46025.0</v>
      </c>
      <c r="B93" s="127" t="s">
        <v>884</v>
      </c>
      <c r="C93" s="136" t="s">
        <v>869</v>
      </c>
      <c r="D93" s="133">
        <v>18.0</v>
      </c>
      <c r="E93" s="129">
        <f>'3.1'!$I$22</f>
        <v>517211.3467</v>
      </c>
      <c r="F93" s="129">
        <f>'3.1'!$I$36</f>
        <v>549166.6667</v>
      </c>
      <c r="G93" s="129">
        <f>'3.1'!$I$50</f>
        <v>0</v>
      </c>
      <c r="H93" s="129">
        <f>'3.1'!$I$64</f>
        <v>14972.22222</v>
      </c>
      <c r="I93" s="129">
        <f>'3.1'!$I$78</f>
        <v>0</v>
      </c>
      <c r="J93" s="131">
        <f t="shared" ref="J93:J100" si="171">SUM(F93:I93)</f>
        <v>564138.8889</v>
      </c>
      <c r="K93" s="131">
        <f t="shared" ref="K93:K100" si="172">SUM(E93,J93)</f>
        <v>1081350.236</v>
      </c>
      <c r="L93" s="131">
        <f t="shared" ref="L93:L100" si="173">$D93*E93</f>
        <v>9309804.24</v>
      </c>
      <c r="M93" s="131">
        <f t="shared" ref="M93:M100" si="174">$D93*(SUM(F93:I93))</f>
        <v>10154500</v>
      </c>
      <c r="N93" s="131">
        <f t="shared" ref="N93:N100" si="175">L93+M93</f>
        <v>19464304.24</v>
      </c>
      <c r="O93" s="131">
        <f t="shared" ref="O93:O100" si="176">L93</f>
        <v>9309804.24</v>
      </c>
      <c r="P93" s="131">
        <f t="shared" ref="P93:P100" si="177">(P$130*M93)/M$130</f>
        <v>11596439</v>
      </c>
      <c r="Q93" s="131">
        <f t="shared" ref="Q93:Q100" si="178">O93+P93</f>
        <v>20906243.24</v>
      </c>
      <c r="R93" s="131">
        <f t="shared" ref="R93:R100" si="179">L93</f>
        <v>9309804.24</v>
      </c>
      <c r="S93" s="131">
        <f t="shared" ref="S93:S100" si="180">(S$130*P93)/P$130</f>
        <v>14495548.75</v>
      </c>
      <c r="T93" s="131">
        <f t="shared" ref="T93:T100" si="181">R93+S93</f>
        <v>23805352.99</v>
      </c>
      <c r="U93" s="131">
        <f t="shared" ref="U93:U100" si="182">E93</f>
        <v>517211.3467</v>
      </c>
      <c r="V93" s="131">
        <f t="shared" ref="V93:V100" si="183">Y93/D93</f>
        <v>871343.5415</v>
      </c>
      <c r="W93" s="131">
        <f t="shared" ref="W93:W100" si="184">U93+V93</f>
        <v>1388554.888</v>
      </c>
      <c r="X93" s="131">
        <f t="shared" ref="X93:X100" si="185">L93</f>
        <v>9309804.24</v>
      </c>
      <c r="Y93" s="131">
        <f t="shared" ref="Y93:Y100" si="186">(Y$130*S93)/S$130</f>
        <v>15684183.75</v>
      </c>
      <c r="Z93" s="131">
        <f t="shared" ref="Z93:Z100" si="187">X93+Y93</f>
        <v>24993987.99</v>
      </c>
    </row>
    <row r="94" ht="14.25" customHeight="1">
      <c r="A94" s="137">
        <v>46056.0</v>
      </c>
      <c r="B94" s="127" t="s">
        <v>885</v>
      </c>
      <c r="C94" s="136" t="s">
        <v>869</v>
      </c>
      <c r="D94" s="133">
        <v>13.0</v>
      </c>
      <c r="E94" s="129">
        <f>'3.2'!$I$22</f>
        <v>631622.8738</v>
      </c>
      <c r="F94" s="129">
        <f>'3.2'!$I$36</f>
        <v>760384.6154</v>
      </c>
      <c r="G94" s="129">
        <f>'3.2'!$I$50</f>
        <v>0</v>
      </c>
      <c r="H94" s="129">
        <f>'3.2'!$I$64</f>
        <v>20730.76923</v>
      </c>
      <c r="I94" s="129">
        <f>'3.2'!$I$78</f>
        <v>0</v>
      </c>
      <c r="J94" s="131">
        <f t="shared" si="171"/>
        <v>781115.3846</v>
      </c>
      <c r="K94" s="131">
        <f t="shared" si="172"/>
        <v>1412738.258</v>
      </c>
      <c r="L94" s="131">
        <f t="shared" si="173"/>
        <v>8211097.36</v>
      </c>
      <c r="M94" s="131">
        <f t="shared" si="174"/>
        <v>10154500</v>
      </c>
      <c r="N94" s="131">
        <f t="shared" si="175"/>
        <v>18365597.36</v>
      </c>
      <c r="O94" s="131">
        <f t="shared" si="176"/>
        <v>8211097.36</v>
      </c>
      <c r="P94" s="131">
        <f t="shared" si="177"/>
        <v>11596439</v>
      </c>
      <c r="Q94" s="131">
        <f t="shared" si="178"/>
        <v>19807536.36</v>
      </c>
      <c r="R94" s="131">
        <f t="shared" si="179"/>
        <v>8211097.36</v>
      </c>
      <c r="S94" s="131">
        <f t="shared" si="180"/>
        <v>14495548.75</v>
      </c>
      <c r="T94" s="131">
        <f t="shared" si="181"/>
        <v>22706646.11</v>
      </c>
      <c r="U94" s="131">
        <f t="shared" si="182"/>
        <v>631622.8738</v>
      </c>
      <c r="V94" s="131">
        <f t="shared" si="183"/>
        <v>1206475.673</v>
      </c>
      <c r="W94" s="131">
        <f t="shared" si="184"/>
        <v>1838098.547</v>
      </c>
      <c r="X94" s="131">
        <f t="shared" si="185"/>
        <v>8211097.36</v>
      </c>
      <c r="Y94" s="131">
        <f t="shared" si="186"/>
        <v>15684183.75</v>
      </c>
      <c r="Z94" s="131">
        <f t="shared" si="187"/>
        <v>23895281.11</v>
      </c>
    </row>
    <row r="95" ht="14.25" customHeight="1">
      <c r="A95" s="137">
        <v>46084.0</v>
      </c>
      <c r="B95" s="127" t="s">
        <v>886</v>
      </c>
      <c r="C95" s="136" t="s">
        <v>869</v>
      </c>
      <c r="D95" s="133">
        <f>21+3</f>
        <v>24</v>
      </c>
      <c r="E95" s="129">
        <f>'3.3'!$I$22</f>
        <v>381107.0833</v>
      </c>
      <c r="F95" s="129">
        <f>'3.3'!$I$36</f>
        <v>411875</v>
      </c>
      <c r="G95" s="129">
        <f>'3.3'!$I$50</f>
        <v>0</v>
      </c>
      <c r="H95" s="129">
        <f>'3.3'!$I$64</f>
        <v>20395.83333</v>
      </c>
      <c r="I95" s="129">
        <f>'3.3'!$I$78</f>
        <v>0</v>
      </c>
      <c r="J95" s="131">
        <f t="shared" si="171"/>
        <v>432270.8333</v>
      </c>
      <c r="K95" s="131">
        <f t="shared" si="172"/>
        <v>813377.9167</v>
      </c>
      <c r="L95" s="131">
        <f t="shared" si="173"/>
        <v>9146570</v>
      </c>
      <c r="M95" s="131">
        <f t="shared" si="174"/>
        <v>10374500</v>
      </c>
      <c r="N95" s="131">
        <f t="shared" si="175"/>
        <v>19521070</v>
      </c>
      <c r="O95" s="131">
        <f t="shared" si="176"/>
        <v>9146570</v>
      </c>
      <c r="P95" s="131">
        <f t="shared" si="177"/>
        <v>11847679</v>
      </c>
      <c r="Q95" s="131">
        <f t="shared" si="178"/>
        <v>20994249</v>
      </c>
      <c r="R95" s="131">
        <f t="shared" si="179"/>
        <v>9146570</v>
      </c>
      <c r="S95" s="131">
        <f t="shared" si="180"/>
        <v>14809598.75</v>
      </c>
      <c r="T95" s="131">
        <f t="shared" si="181"/>
        <v>23956168.75</v>
      </c>
      <c r="U95" s="131">
        <f t="shared" si="182"/>
        <v>381107.0833</v>
      </c>
      <c r="V95" s="131">
        <f t="shared" si="183"/>
        <v>667666.077</v>
      </c>
      <c r="W95" s="131">
        <f t="shared" si="184"/>
        <v>1048773.16</v>
      </c>
      <c r="X95" s="131">
        <f t="shared" si="185"/>
        <v>9146570</v>
      </c>
      <c r="Y95" s="131">
        <f t="shared" si="186"/>
        <v>16023985.85</v>
      </c>
      <c r="Z95" s="131">
        <f t="shared" si="187"/>
        <v>25170555.85</v>
      </c>
    </row>
    <row r="96" ht="14.25" customHeight="1">
      <c r="A96" s="137">
        <v>46115.0</v>
      </c>
      <c r="B96" s="127" t="s">
        <v>892</v>
      </c>
      <c r="C96" s="136" t="s">
        <v>891</v>
      </c>
      <c r="D96" s="138">
        <f>37+183+100</f>
        <v>320</v>
      </c>
      <c r="E96" s="129">
        <f>'3.4'!$I$22</f>
        <v>29083.52645</v>
      </c>
      <c r="F96" s="129">
        <f>'3.4'!$I$36</f>
        <v>18703.125</v>
      </c>
      <c r="G96" s="129">
        <f>'3.4'!$I$50</f>
        <v>0</v>
      </c>
      <c r="H96" s="129">
        <f>'3.4'!$I$64</f>
        <v>250</v>
      </c>
      <c r="I96" s="129">
        <f>'3.4'!$I$78</f>
        <v>0</v>
      </c>
      <c r="J96" s="131">
        <f t="shared" si="171"/>
        <v>18953.125</v>
      </c>
      <c r="K96" s="131">
        <f t="shared" si="172"/>
        <v>48036.65145</v>
      </c>
      <c r="L96" s="131">
        <f t="shared" si="173"/>
        <v>9306728.463</v>
      </c>
      <c r="M96" s="131">
        <f t="shared" si="174"/>
        <v>6065000</v>
      </c>
      <c r="N96" s="131">
        <f t="shared" si="175"/>
        <v>15371728.46</v>
      </c>
      <c r="O96" s="131">
        <f t="shared" si="176"/>
        <v>9306728.463</v>
      </c>
      <c r="P96" s="131">
        <f t="shared" si="177"/>
        <v>6926230</v>
      </c>
      <c r="Q96" s="131">
        <f t="shared" si="178"/>
        <v>16232958.46</v>
      </c>
      <c r="R96" s="131">
        <f t="shared" si="179"/>
        <v>9306728.463</v>
      </c>
      <c r="S96" s="131">
        <f t="shared" si="180"/>
        <v>8657787.5</v>
      </c>
      <c r="T96" s="131">
        <f t="shared" si="181"/>
        <v>17964515.96</v>
      </c>
      <c r="U96" s="131">
        <f t="shared" si="182"/>
        <v>29083.52645</v>
      </c>
      <c r="V96" s="131">
        <f t="shared" si="183"/>
        <v>29274.14398</v>
      </c>
      <c r="W96" s="131">
        <f t="shared" si="184"/>
        <v>58357.67043</v>
      </c>
      <c r="X96" s="131">
        <f t="shared" si="185"/>
        <v>9306728.463</v>
      </c>
      <c r="Y96" s="131">
        <f t="shared" si="186"/>
        <v>9367726.075</v>
      </c>
      <c r="Z96" s="131">
        <f t="shared" si="187"/>
        <v>18674454.54</v>
      </c>
    </row>
    <row r="97" ht="14.25" customHeight="1">
      <c r="A97" s="137">
        <v>46145.0</v>
      </c>
      <c r="B97" s="127" t="s">
        <v>893</v>
      </c>
      <c r="C97" s="136" t="s">
        <v>891</v>
      </c>
      <c r="D97" s="133">
        <v>270.0</v>
      </c>
      <c r="E97" s="129">
        <f>'3.5'!$I$22</f>
        <v>18509.52778</v>
      </c>
      <c r="F97" s="129">
        <f>'3.5'!$I$36</f>
        <v>4277.777778</v>
      </c>
      <c r="G97" s="129">
        <f>'3.5'!$I$50</f>
        <v>0</v>
      </c>
      <c r="H97" s="129">
        <f>'3.5'!$I$64</f>
        <v>0</v>
      </c>
      <c r="I97" s="129">
        <f>'3.5'!$I$78</f>
        <v>14400</v>
      </c>
      <c r="J97" s="131">
        <f t="shared" si="171"/>
        <v>18677.77778</v>
      </c>
      <c r="K97" s="131">
        <f t="shared" si="172"/>
        <v>37187.30556</v>
      </c>
      <c r="L97" s="131">
        <f t="shared" si="173"/>
        <v>4997572.5</v>
      </c>
      <c r="M97" s="131">
        <f t="shared" si="174"/>
        <v>5043000</v>
      </c>
      <c r="N97" s="131">
        <f t="shared" si="175"/>
        <v>10040572.5</v>
      </c>
      <c r="O97" s="131">
        <f t="shared" si="176"/>
        <v>4997572.5</v>
      </c>
      <c r="P97" s="131">
        <f t="shared" si="177"/>
        <v>5759106</v>
      </c>
      <c r="Q97" s="131">
        <f t="shared" si="178"/>
        <v>10756678.5</v>
      </c>
      <c r="R97" s="131">
        <f t="shared" si="179"/>
        <v>4997572.5</v>
      </c>
      <c r="S97" s="131">
        <f t="shared" si="180"/>
        <v>7198882.5</v>
      </c>
      <c r="T97" s="131">
        <f t="shared" si="181"/>
        <v>12196455</v>
      </c>
      <c r="U97" s="131">
        <f t="shared" si="182"/>
        <v>18509.52778</v>
      </c>
      <c r="V97" s="131">
        <f t="shared" si="183"/>
        <v>28848.85506</v>
      </c>
      <c r="W97" s="131">
        <f t="shared" si="184"/>
        <v>47358.38283</v>
      </c>
      <c r="X97" s="131">
        <f t="shared" si="185"/>
        <v>4997572.5</v>
      </c>
      <c r="Y97" s="131">
        <f t="shared" si="186"/>
        <v>7789190.865</v>
      </c>
      <c r="Z97" s="131">
        <f t="shared" si="187"/>
        <v>12786763.37</v>
      </c>
    </row>
    <row r="98" ht="14.25" customHeight="1">
      <c r="A98" s="137">
        <v>46176.0</v>
      </c>
      <c r="B98" s="127" t="s">
        <v>894</v>
      </c>
      <c r="C98" s="136" t="s">
        <v>891</v>
      </c>
      <c r="D98" s="133">
        <v>270.0</v>
      </c>
      <c r="E98" s="129">
        <f>'3.6'!$I$22</f>
        <v>4823.074074</v>
      </c>
      <c r="F98" s="129">
        <f>'3.6'!$I$36</f>
        <v>16777.77778</v>
      </c>
      <c r="G98" s="129">
        <f>'3.6'!$I$50</f>
        <v>0</v>
      </c>
      <c r="H98" s="129">
        <f>'3.6'!$I$64</f>
        <v>0</v>
      </c>
      <c r="I98" s="129">
        <f>'3.6'!$I$78</f>
        <v>0</v>
      </c>
      <c r="J98" s="131">
        <f t="shared" si="171"/>
        <v>16777.77778</v>
      </c>
      <c r="K98" s="131">
        <f t="shared" si="172"/>
        <v>21600.85185</v>
      </c>
      <c r="L98" s="131">
        <f t="shared" si="173"/>
        <v>1302230</v>
      </c>
      <c r="M98" s="131">
        <f t="shared" si="174"/>
        <v>4530000</v>
      </c>
      <c r="N98" s="131">
        <f t="shared" si="175"/>
        <v>5832230</v>
      </c>
      <c r="O98" s="131">
        <f t="shared" si="176"/>
        <v>1302230</v>
      </c>
      <c r="P98" s="131">
        <f t="shared" si="177"/>
        <v>5173260</v>
      </c>
      <c r="Q98" s="131">
        <f t="shared" si="178"/>
        <v>6475490</v>
      </c>
      <c r="R98" s="131">
        <f t="shared" si="179"/>
        <v>1302230</v>
      </c>
      <c r="S98" s="131">
        <f t="shared" si="180"/>
        <v>6466575</v>
      </c>
      <c r="T98" s="131">
        <f t="shared" si="181"/>
        <v>7768805</v>
      </c>
      <c r="U98" s="131">
        <f t="shared" si="182"/>
        <v>4823.074074</v>
      </c>
      <c r="V98" s="131">
        <f t="shared" si="183"/>
        <v>25914.20056</v>
      </c>
      <c r="W98" s="131">
        <f t="shared" si="184"/>
        <v>30737.27463</v>
      </c>
      <c r="X98" s="131">
        <f t="shared" si="185"/>
        <v>1302230</v>
      </c>
      <c r="Y98" s="131">
        <f t="shared" si="186"/>
        <v>6996834.15</v>
      </c>
      <c r="Z98" s="131">
        <f t="shared" si="187"/>
        <v>8299064.15</v>
      </c>
    </row>
    <row r="99" ht="14.25" customHeight="1">
      <c r="A99" s="137">
        <v>46206.0</v>
      </c>
      <c r="B99" s="127" t="s">
        <v>895</v>
      </c>
      <c r="C99" s="136" t="s">
        <v>891</v>
      </c>
      <c r="D99" s="133">
        <v>244.0</v>
      </c>
      <c r="E99" s="129">
        <f>'3.7'!$I$22</f>
        <v>2908.31493</v>
      </c>
      <c r="F99" s="129">
        <f>'3.7'!$I$36</f>
        <v>25573.77049</v>
      </c>
      <c r="G99" s="129">
        <f>'3.7'!$I$50</f>
        <v>0</v>
      </c>
      <c r="H99" s="129">
        <f>'3.7'!$I$64</f>
        <v>0</v>
      </c>
      <c r="I99" s="129">
        <f>'3.7'!$I$78</f>
        <v>0</v>
      </c>
      <c r="J99" s="131">
        <f t="shared" si="171"/>
        <v>25573.77049</v>
      </c>
      <c r="K99" s="131">
        <f t="shared" si="172"/>
        <v>28482.08542</v>
      </c>
      <c r="L99" s="131">
        <f t="shared" si="173"/>
        <v>709628.843</v>
      </c>
      <c r="M99" s="131">
        <f t="shared" si="174"/>
        <v>6240000</v>
      </c>
      <c r="N99" s="131">
        <f t="shared" si="175"/>
        <v>6949628.843</v>
      </c>
      <c r="O99" s="131">
        <f t="shared" si="176"/>
        <v>709628.843</v>
      </c>
      <c r="P99" s="131">
        <f t="shared" si="177"/>
        <v>7126080</v>
      </c>
      <c r="Q99" s="131">
        <f t="shared" si="178"/>
        <v>7835708.843</v>
      </c>
      <c r="R99" s="131">
        <f t="shared" si="179"/>
        <v>709628.843</v>
      </c>
      <c r="S99" s="131">
        <f t="shared" si="180"/>
        <v>8907600</v>
      </c>
      <c r="T99" s="131">
        <f t="shared" si="181"/>
        <v>9617228.843</v>
      </c>
      <c r="U99" s="131">
        <f t="shared" si="182"/>
        <v>2908.31493</v>
      </c>
      <c r="V99" s="131">
        <f t="shared" si="183"/>
        <v>39500.09508</v>
      </c>
      <c r="W99" s="131">
        <f t="shared" si="184"/>
        <v>42408.41001</v>
      </c>
      <c r="X99" s="131">
        <f t="shared" si="185"/>
        <v>709628.843</v>
      </c>
      <c r="Y99" s="131">
        <f t="shared" si="186"/>
        <v>9638023.2</v>
      </c>
      <c r="Z99" s="131">
        <f t="shared" si="187"/>
        <v>10347652.04</v>
      </c>
    </row>
    <row r="100" ht="14.25" customHeight="1">
      <c r="A100" s="137">
        <v>46237.0</v>
      </c>
      <c r="B100" s="127" t="s">
        <v>902</v>
      </c>
      <c r="C100" s="136" t="s">
        <v>891</v>
      </c>
      <c r="D100" s="138">
        <f>284</f>
        <v>284</v>
      </c>
      <c r="E100" s="129">
        <f>'3.8'!$I$22</f>
        <v>3803.746944</v>
      </c>
      <c r="F100" s="129">
        <f>'3.8'!$I$36</f>
        <v>0</v>
      </c>
      <c r="G100" s="129">
        <f>'3.8'!$I$50</f>
        <v>0</v>
      </c>
      <c r="H100" s="129">
        <f>'3.8'!$I$64</f>
        <v>0</v>
      </c>
      <c r="I100" s="129">
        <f>'3.8'!$I$78</f>
        <v>37500</v>
      </c>
      <c r="J100" s="131">
        <f t="shared" si="171"/>
        <v>37500</v>
      </c>
      <c r="K100" s="131">
        <f t="shared" si="172"/>
        <v>41303.74694</v>
      </c>
      <c r="L100" s="131">
        <f t="shared" si="173"/>
        <v>1080264.132</v>
      </c>
      <c r="M100" s="131">
        <f t="shared" si="174"/>
        <v>10650000</v>
      </c>
      <c r="N100" s="131">
        <f t="shared" si="175"/>
        <v>11730264.13</v>
      </c>
      <c r="O100" s="131">
        <f t="shared" si="176"/>
        <v>1080264.132</v>
      </c>
      <c r="P100" s="131">
        <f t="shared" si="177"/>
        <v>12162300</v>
      </c>
      <c r="Q100" s="131">
        <f t="shared" si="178"/>
        <v>13242564.13</v>
      </c>
      <c r="R100" s="131">
        <f t="shared" si="179"/>
        <v>1080264.132</v>
      </c>
      <c r="S100" s="131">
        <f t="shared" si="180"/>
        <v>15202875</v>
      </c>
      <c r="T100" s="131">
        <f t="shared" si="181"/>
        <v>16283139.13</v>
      </c>
      <c r="U100" s="131">
        <f t="shared" si="182"/>
        <v>3803.746944</v>
      </c>
      <c r="V100" s="131">
        <f t="shared" si="183"/>
        <v>57920.8125</v>
      </c>
      <c r="W100" s="131">
        <f t="shared" si="184"/>
        <v>61724.55944</v>
      </c>
      <c r="X100" s="131">
        <f t="shared" si="185"/>
        <v>1080264.132</v>
      </c>
      <c r="Y100" s="131">
        <f t="shared" si="186"/>
        <v>16449510.75</v>
      </c>
      <c r="Z100" s="131">
        <f t="shared" si="187"/>
        <v>17529774.88</v>
      </c>
    </row>
    <row r="101" ht="14.25" customHeight="1">
      <c r="A101" s="135" t="s">
        <v>909</v>
      </c>
      <c r="B101" s="123"/>
      <c r="C101" s="124"/>
      <c r="D101" s="125"/>
      <c r="E101" s="124"/>
      <c r="F101" s="124"/>
      <c r="G101" s="124"/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</row>
    <row r="102" ht="14.25" customHeight="1">
      <c r="A102" s="137">
        <v>46025.0</v>
      </c>
      <c r="B102" s="127" t="s">
        <v>884</v>
      </c>
      <c r="C102" s="136" t="s">
        <v>869</v>
      </c>
      <c r="D102" s="133">
        <v>18.0</v>
      </c>
      <c r="E102" s="129">
        <f>'3.1'!$I$22</f>
        <v>517211.3467</v>
      </c>
      <c r="F102" s="129">
        <f>'3.1'!$I$36</f>
        <v>549166.6667</v>
      </c>
      <c r="G102" s="129">
        <f>'3.1'!$I$50</f>
        <v>0</v>
      </c>
      <c r="H102" s="129">
        <f>'3.1'!$I$64</f>
        <v>14972.22222</v>
      </c>
      <c r="I102" s="129">
        <f>'3.1'!$I$78</f>
        <v>0</v>
      </c>
      <c r="J102" s="131">
        <f t="shared" ref="J102:J109" si="188">SUM(F102:I102)</f>
        <v>564138.8889</v>
      </c>
      <c r="K102" s="131">
        <f t="shared" ref="K102:K109" si="189">SUM(E102,J102)</f>
        <v>1081350.236</v>
      </c>
      <c r="L102" s="131">
        <f t="shared" ref="L102:L109" si="190">$D102*E102</f>
        <v>9309804.24</v>
      </c>
      <c r="M102" s="131">
        <f t="shared" ref="M102:M109" si="191">$D102*(SUM(F102:I102))</f>
        <v>10154500</v>
      </c>
      <c r="N102" s="131">
        <f t="shared" ref="N102:N109" si="192">L102+M102</f>
        <v>19464304.24</v>
      </c>
      <c r="O102" s="131">
        <f t="shared" ref="O102:O109" si="193">L102</f>
        <v>9309804.24</v>
      </c>
      <c r="P102" s="131">
        <f t="shared" ref="P102:P109" si="194">(P$130*M102)/M$130</f>
        <v>11596439</v>
      </c>
      <c r="Q102" s="131">
        <f t="shared" ref="Q102:Q109" si="195">O102+P102</f>
        <v>20906243.24</v>
      </c>
      <c r="R102" s="131">
        <f t="shared" ref="R102:R109" si="196">L102</f>
        <v>9309804.24</v>
      </c>
      <c r="S102" s="131">
        <f t="shared" ref="S102:S109" si="197">(S$130*P102)/P$130</f>
        <v>14495548.75</v>
      </c>
      <c r="T102" s="131">
        <f t="shared" ref="T102:T109" si="198">R102+S102</f>
        <v>23805352.99</v>
      </c>
      <c r="U102" s="131">
        <f t="shared" ref="U102:U109" si="199">E102</f>
        <v>517211.3467</v>
      </c>
      <c r="V102" s="131">
        <f t="shared" ref="V102:V109" si="200">Y102/D102</f>
        <v>871343.5415</v>
      </c>
      <c r="W102" s="131">
        <f t="shared" ref="W102:W109" si="201">U102+V102</f>
        <v>1388554.888</v>
      </c>
      <c r="X102" s="131">
        <f t="shared" ref="X102:X109" si="202">L102</f>
        <v>9309804.24</v>
      </c>
      <c r="Y102" s="131">
        <f t="shared" ref="Y102:Y109" si="203">(Y$130*S102)/S$130</f>
        <v>15684183.75</v>
      </c>
      <c r="Z102" s="131">
        <f t="shared" ref="Z102:Z109" si="204">X102+Y102</f>
        <v>24993987.99</v>
      </c>
    </row>
    <row r="103" ht="14.25" customHeight="1">
      <c r="A103" s="137">
        <v>46056.0</v>
      </c>
      <c r="B103" s="127" t="s">
        <v>885</v>
      </c>
      <c r="C103" s="136" t="s">
        <v>869</v>
      </c>
      <c r="D103" s="133">
        <v>13.0</v>
      </c>
      <c r="E103" s="129">
        <f>'3.2'!$I$22</f>
        <v>631622.8738</v>
      </c>
      <c r="F103" s="129">
        <f>'3.2'!$I$36</f>
        <v>760384.6154</v>
      </c>
      <c r="G103" s="129">
        <f>'3.2'!$I$50</f>
        <v>0</v>
      </c>
      <c r="H103" s="129">
        <f>'3.2'!$I$64</f>
        <v>20730.76923</v>
      </c>
      <c r="I103" s="129">
        <f>'3.2'!$I$78</f>
        <v>0</v>
      </c>
      <c r="J103" s="131">
        <f t="shared" si="188"/>
        <v>781115.3846</v>
      </c>
      <c r="K103" s="131">
        <f t="shared" si="189"/>
        <v>1412738.258</v>
      </c>
      <c r="L103" s="131">
        <f t="shared" si="190"/>
        <v>8211097.36</v>
      </c>
      <c r="M103" s="131">
        <f t="shared" si="191"/>
        <v>10154500</v>
      </c>
      <c r="N103" s="131">
        <f t="shared" si="192"/>
        <v>18365597.36</v>
      </c>
      <c r="O103" s="131">
        <f t="shared" si="193"/>
        <v>8211097.36</v>
      </c>
      <c r="P103" s="131">
        <f t="shared" si="194"/>
        <v>11596439</v>
      </c>
      <c r="Q103" s="131">
        <f t="shared" si="195"/>
        <v>19807536.36</v>
      </c>
      <c r="R103" s="131">
        <f t="shared" si="196"/>
        <v>8211097.36</v>
      </c>
      <c r="S103" s="131">
        <f t="shared" si="197"/>
        <v>14495548.75</v>
      </c>
      <c r="T103" s="131">
        <f t="shared" si="198"/>
        <v>22706646.11</v>
      </c>
      <c r="U103" s="131">
        <f t="shared" si="199"/>
        <v>631622.8738</v>
      </c>
      <c r="V103" s="131">
        <f t="shared" si="200"/>
        <v>1206475.673</v>
      </c>
      <c r="W103" s="131">
        <f t="shared" si="201"/>
        <v>1838098.547</v>
      </c>
      <c r="X103" s="131">
        <f t="shared" si="202"/>
        <v>8211097.36</v>
      </c>
      <c r="Y103" s="131">
        <f t="shared" si="203"/>
        <v>15684183.75</v>
      </c>
      <c r="Z103" s="131">
        <f t="shared" si="204"/>
        <v>23895281.11</v>
      </c>
    </row>
    <row r="104" ht="14.25" customHeight="1">
      <c r="A104" s="137">
        <v>46084.0</v>
      </c>
      <c r="B104" s="127" t="s">
        <v>886</v>
      </c>
      <c r="C104" s="136" t="s">
        <v>869</v>
      </c>
      <c r="D104" s="133">
        <f>21+3</f>
        <v>24</v>
      </c>
      <c r="E104" s="129">
        <f>'3.3'!$I$22</f>
        <v>381107.0833</v>
      </c>
      <c r="F104" s="129">
        <f>'3.3'!$I$36</f>
        <v>411875</v>
      </c>
      <c r="G104" s="129">
        <f>'3.3'!$I$50</f>
        <v>0</v>
      </c>
      <c r="H104" s="129">
        <f>'3.3'!$I$64</f>
        <v>20395.83333</v>
      </c>
      <c r="I104" s="129">
        <f>'3.3'!$I$78</f>
        <v>0</v>
      </c>
      <c r="J104" s="131">
        <f t="shared" si="188"/>
        <v>432270.8333</v>
      </c>
      <c r="K104" s="131">
        <f t="shared" si="189"/>
        <v>813377.9167</v>
      </c>
      <c r="L104" s="131">
        <f t="shared" si="190"/>
        <v>9146570</v>
      </c>
      <c r="M104" s="131">
        <f t="shared" si="191"/>
        <v>10374500</v>
      </c>
      <c r="N104" s="131">
        <f t="shared" si="192"/>
        <v>19521070</v>
      </c>
      <c r="O104" s="131">
        <f t="shared" si="193"/>
        <v>9146570</v>
      </c>
      <c r="P104" s="131">
        <f t="shared" si="194"/>
        <v>11847679</v>
      </c>
      <c r="Q104" s="131">
        <f t="shared" si="195"/>
        <v>20994249</v>
      </c>
      <c r="R104" s="131">
        <f t="shared" si="196"/>
        <v>9146570</v>
      </c>
      <c r="S104" s="131">
        <f t="shared" si="197"/>
        <v>14809598.75</v>
      </c>
      <c r="T104" s="131">
        <f t="shared" si="198"/>
        <v>23956168.75</v>
      </c>
      <c r="U104" s="131">
        <f t="shared" si="199"/>
        <v>381107.0833</v>
      </c>
      <c r="V104" s="131">
        <f t="shared" si="200"/>
        <v>667666.077</v>
      </c>
      <c r="W104" s="131">
        <f t="shared" si="201"/>
        <v>1048773.16</v>
      </c>
      <c r="X104" s="131">
        <f t="shared" si="202"/>
        <v>9146570</v>
      </c>
      <c r="Y104" s="131">
        <f t="shared" si="203"/>
        <v>16023985.85</v>
      </c>
      <c r="Z104" s="131">
        <f t="shared" si="204"/>
        <v>25170555.85</v>
      </c>
    </row>
    <row r="105" ht="14.25" customHeight="1">
      <c r="A105" s="137">
        <v>46115.0</v>
      </c>
      <c r="B105" s="127" t="s">
        <v>892</v>
      </c>
      <c r="C105" s="136" t="s">
        <v>891</v>
      </c>
      <c r="D105" s="138">
        <f>37+183+100</f>
        <v>320</v>
      </c>
      <c r="E105" s="129">
        <f>'3.4'!$I$22</f>
        <v>29083.52645</v>
      </c>
      <c r="F105" s="129">
        <f>'3.4'!$I$36</f>
        <v>18703.125</v>
      </c>
      <c r="G105" s="129">
        <f>'3.4'!$I$50</f>
        <v>0</v>
      </c>
      <c r="H105" s="129">
        <f>'3.4'!$I$64</f>
        <v>250</v>
      </c>
      <c r="I105" s="129">
        <f>'3.4'!$I$78</f>
        <v>0</v>
      </c>
      <c r="J105" s="131">
        <f t="shared" si="188"/>
        <v>18953.125</v>
      </c>
      <c r="K105" s="131">
        <f t="shared" si="189"/>
        <v>48036.65145</v>
      </c>
      <c r="L105" s="131">
        <f t="shared" si="190"/>
        <v>9306728.463</v>
      </c>
      <c r="M105" s="131">
        <f t="shared" si="191"/>
        <v>6065000</v>
      </c>
      <c r="N105" s="131">
        <f t="shared" si="192"/>
        <v>15371728.46</v>
      </c>
      <c r="O105" s="131">
        <f t="shared" si="193"/>
        <v>9306728.463</v>
      </c>
      <c r="P105" s="131">
        <f t="shared" si="194"/>
        <v>6926230</v>
      </c>
      <c r="Q105" s="131">
        <f t="shared" si="195"/>
        <v>16232958.46</v>
      </c>
      <c r="R105" s="131">
        <f t="shared" si="196"/>
        <v>9306728.463</v>
      </c>
      <c r="S105" s="131">
        <f t="shared" si="197"/>
        <v>8657787.5</v>
      </c>
      <c r="T105" s="131">
        <f t="shared" si="198"/>
        <v>17964515.96</v>
      </c>
      <c r="U105" s="131">
        <f t="shared" si="199"/>
        <v>29083.52645</v>
      </c>
      <c r="V105" s="131">
        <f t="shared" si="200"/>
        <v>29274.14398</v>
      </c>
      <c r="W105" s="131">
        <f t="shared" si="201"/>
        <v>58357.67043</v>
      </c>
      <c r="X105" s="131">
        <f t="shared" si="202"/>
        <v>9306728.463</v>
      </c>
      <c r="Y105" s="131">
        <f t="shared" si="203"/>
        <v>9367726.075</v>
      </c>
      <c r="Z105" s="131">
        <f t="shared" si="204"/>
        <v>18674454.54</v>
      </c>
    </row>
    <row r="106" ht="14.25" customHeight="1">
      <c r="A106" s="137">
        <v>46145.0</v>
      </c>
      <c r="B106" s="127" t="s">
        <v>893</v>
      </c>
      <c r="C106" s="136" t="s">
        <v>891</v>
      </c>
      <c r="D106" s="133">
        <v>270.0</v>
      </c>
      <c r="E106" s="129">
        <f>'3.5'!$I$22</f>
        <v>18509.52778</v>
      </c>
      <c r="F106" s="129">
        <f>'3.5'!$I$36</f>
        <v>4277.777778</v>
      </c>
      <c r="G106" s="129">
        <f>'3.5'!$I$50</f>
        <v>0</v>
      </c>
      <c r="H106" s="129">
        <f>'3.5'!$I$64</f>
        <v>0</v>
      </c>
      <c r="I106" s="129">
        <f>'3.5'!$I$78</f>
        <v>14400</v>
      </c>
      <c r="J106" s="131">
        <f t="shared" si="188"/>
        <v>18677.77778</v>
      </c>
      <c r="K106" s="131">
        <f t="shared" si="189"/>
        <v>37187.30556</v>
      </c>
      <c r="L106" s="131">
        <f t="shared" si="190"/>
        <v>4997572.5</v>
      </c>
      <c r="M106" s="131">
        <f t="shared" si="191"/>
        <v>5043000</v>
      </c>
      <c r="N106" s="131">
        <f t="shared" si="192"/>
        <v>10040572.5</v>
      </c>
      <c r="O106" s="131">
        <f t="shared" si="193"/>
        <v>4997572.5</v>
      </c>
      <c r="P106" s="131">
        <f t="shared" si="194"/>
        <v>5759106</v>
      </c>
      <c r="Q106" s="131">
        <f t="shared" si="195"/>
        <v>10756678.5</v>
      </c>
      <c r="R106" s="131">
        <f t="shared" si="196"/>
        <v>4997572.5</v>
      </c>
      <c r="S106" s="131">
        <f t="shared" si="197"/>
        <v>7198882.5</v>
      </c>
      <c r="T106" s="131">
        <f t="shared" si="198"/>
        <v>12196455</v>
      </c>
      <c r="U106" s="131">
        <f t="shared" si="199"/>
        <v>18509.52778</v>
      </c>
      <c r="V106" s="131">
        <f t="shared" si="200"/>
        <v>28848.85506</v>
      </c>
      <c r="W106" s="131">
        <f t="shared" si="201"/>
        <v>47358.38283</v>
      </c>
      <c r="X106" s="131">
        <f t="shared" si="202"/>
        <v>4997572.5</v>
      </c>
      <c r="Y106" s="131">
        <f t="shared" si="203"/>
        <v>7789190.865</v>
      </c>
      <c r="Z106" s="131">
        <f t="shared" si="204"/>
        <v>12786763.37</v>
      </c>
    </row>
    <row r="107" ht="14.25" customHeight="1">
      <c r="A107" s="137">
        <v>46176.0</v>
      </c>
      <c r="B107" s="127" t="s">
        <v>894</v>
      </c>
      <c r="C107" s="136" t="s">
        <v>891</v>
      </c>
      <c r="D107" s="133">
        <v>270.0</v>
      </c>
      <c r="E107" s="129">
        <f>'3.6'!$I$22</f>
        <v>4823.074074</v>
      </c>
      <c r="F107" s="129">
        <f>'3.6'!$I$36</f>
        <v>16777.77778</v>
      </c>
      <c r="G107" s="129">
        <f>'3.6'!$I$50</f>
        <v>0</v>
      </c>
      <c r="H107" s="129">
        <f>'3.6'!$I$64</f>
        <v>0</v>
      </c>
      <c r="I107" s="129">
        <f>'3.6'!$I$78</f>
        <v>0</v>
      </c>
      <c r="J107" s="131">
        <f t="shared" si="188"/>
        <v>16777.77778</v>
      </c>
      <c r="K107" s="131">
        <f t="shared" si="189"/>
        <v>21600.85185</v>
      </c>
      <c r="L107" s="131">
        <f t="shared" si="190"/>
        <v>1302230</v>
      </c>
      <c r="M107" s="131">
        <f t="shared" si="191"/>
        <v>4530000</v>
      </c>
      <c r="N107" s="131">
        <f t="shared" si="192"/>
        <v>5832230</v>
      </c>
      <c r="O107" s="131">
        <f t="shared" si="193"/>
        <v>1302230</v>
      </c>
      <c r="P107" s="131">
        <f t="shared" si="194"/>
        <v>5173260</v>
      </c>
      <c r="Q107" s="131">
        <f t="shared" si="195"/>
        <v>6475490</v>
      </c>
      <c r="R107" s="131">
        <f t="shared" si="196"/>
        <v>1302230</v>
      </c>
      <c r="S107" s="131">
        <f t="shared" si="197"/>
        <v>6466575</v>
      </c>
      <c r="T107" s="131">
        <f t="shared" si="198"/>
        <v>7768805</v>
      </c>
      <c r="U107" s="131">
        <f t="shared" si="199"/>
        <v>4823.074074</v>
      </c>
      <c r="V107" s="131">
        <f t="shared" si="200"/>
        <v>25914.20056</v>
      </c>
      <c r="W107" s="131">
        <f t="shared" si="201"/>
        <v>30737.27463</v>
      </c>
      <c r="X107" s="131">
        <f t="shared" si="202"/>
        <v>1302230</v>
      </c>
      <c r="Y107" s="131">
        <f t="shared" si="203"/>
        <v>6996834.15</v>
      </c>
      <c r="Z107" s="131">
        <f t="shared" si="204"/>
        <v>8299064.15</v>
      </c>
    </row>
    <row r="108" ht="14.25" customHeight="1">
      <c r="A108" s="137">
        <v>46206.0</v>
      </c>
      <c r="B108" s="127" t="s">
        <v>895</v>
      </c>
      <c r="C108" s="136" t="s">
        <v>891</v>
      </c>
      <c r="D108" s="133">
        <v>244.0</v>
      </c>
      <c r="E108" s="129">
        <f>'3.7'!$I$22</f>
        <v>2908.31493</v>
      </c>
      <c r="F108" s="129">
        <f>'3.7'!$I$36</f>
        <v>25573.77049</v>
      </c>
      <c r="G108" s="129">
        <f>'3.7'!$I$50</f>
        <v>0</v>
      </c>
      <c r="H108" s="129">
        <f>'3.7'!$I$64</f>
        <v>0</v>
      </c>
      <c r="I108" s="129">
        <f>'3.7'!$I$78</f>
        <v>0</v>
      </c>
      <c r="J108" s="131">
        <f t="shared" si="188"/>
        <v>25573.77049</v>
      </c>
      <c r="K108" s="131">
        <f t="shared" si="189"/>
        <v>28482.08542</v>
      </c>
      <c r="L108" s="131">
        <f t="shared" si="190"/>
        <v>709628.843</v>
      </c>
      <c r="M108" s="131">
        <f t="shared" si="191"/>
        <v>6240000</v>
      </c>
      <c r="N108" s="131">
        <f t="shared" si="192"/>
        <v>6949628.843</v>
      </c>
      <c r="O108" s="131">
        <f t="shared" si="193"/>
        <v>709628.843</v>
      </c>
      <c r="P108" s="131">
        <f t="shared" si="194"/>
        <v>7126080</v>
      </c>
      <c r="Q108" s="131">
        <f t="shared" si="195"/>
        <v>7835708.843</v>
      </c>
      <c r="R108" s="131">
        <f t="shared" si="196"/>
        <v>709628.843</v>
      </c>
      <c r="S108" s="131">
        <f t="shared" si="197"/>
        <v>8907600</v>
      </c>
      <c r="T108" s="131">
        <f t="shared" si="198"/>
        <v>9617228.843</v>
      </c>
      <c r="U108" s="131">
        <f t="shared" si="199"/>
        <v>2908.31493</v>
      </c>
      <c r="V108" s="131">
        <f t="shared" si="200"/>
        <v>39500.09508</v>
      </c>
      <c r="W108" s="131">
        <f t="shared" si="201"/>
        <v>42408.41001</v>
      </c>
      <c r="X108" s="131">
        <f t="shared" si="202"/>
        <v>709628.843</v>
      </c>
      <c r="Y108" s="131">
        <f t="shared" si="203"/>
        <v>9638023.2</v>
      </c>
      <c r="Z108" s="131">
        <f t="shared" si="204"/>
        <v>10347652.04</v>
      </c>
    </row>
    <row r="109" ht="14.25" customHeight="1">
      <c r="A109" s="137">
        <v>46237.0</v>
      </c>
      <c r="B109" s="127" t="s">
        <v>902</v>
      </c>
      <c r="C109" s="136" t="s">
        <v>891</v>
      </c>
      <c r="D109" s="138">
        <f>284</f>
        <v>284</v>
      </c>
      <c r="E109" s="129">
        <f>'3.8'!$I$22</f>
        <v>3803.746944</v>
      </c>
      <c r="F109" s="129">
        <f>'3.8'!$I$36</f>
        <v>0</v>
      </c>
      <c r="G109" s="129">
        <f>'3.8'!$I$50</f>
        <v>0</v>
      </c>
      <c r="H109" s="129">
        <f>'3.8'!$I$64</f>
        <v>0</v>
      </c>
      <c r="I109" s="129">
        <f>'3.8'!$I$78</f>
        <v>37500</v>
      </c>
      <c r="J109" s="131">
        <f t="shared" si="188"/>
        <v>37500</v>
      </c>
      <c r="K109" s="131">
        <f t="shared" si="189"/>
        <v>41303.74694</v>
      </c>
      <c r="L109" s="131">
        <f t="shared" si="190"/>
        <v>1080264.132</v>
      </c>
      <c r="M109" s="131">
        <f t="shared" si="191"/>
        <v>10650000</v>
      </c>
      <c r="N109" s="131">
        <f t="shared" si="192"/>
        <v>11730264.13</v>
      </c>
      <c r="O109" s="131">
        <f t="shared" si="193"/>
        <v>1080264.132</v>
      </c>
      <c r="P109" s="131">
        <f t="shared" si="194"/>
        <v>12162300</v>
      </c>
      <c r="Q109" s="131">
        <f t="shared" si="195"/>
        <v>13242564.13</v>
      </c>
      <c r="R109" s="131">
        <f t="shared" si="196"/>
        <v>1080264.132</v>
      </c>
      <c r="S109" s="131">
        <f t="shared" si="197"/>
        <v>15202875</v>
      </c>
      <c r="T109" s="131">
        <f t="shared" si="198"/>
        <v>16283139.13</v>
      </c>
      <c r="U109" s="131">
        <f t="shared" si="199"/>
        <v>3803.746944</v>
      </c>
      <c r="V109" s="131">
        <f t="shared" si="200"/>
        <v>57920.8125</v>
      </c>
      <c r="W109" s="131">
        <f t="shared" si="201"/>
        <v>61724.55944</v>
      </c>
      <c r="X109" s="131">
        <f t="shared" si="202"/>
        <v>1080264.132</v>
      </c>
      <c r="Y109" s="131">
        <f t="shared" si="203"/>
        <v>16449510.75</v>
      </c>
      <c r="Z109" s="131">
        <f t="shared" si="204"/>
        <v>17529774.88</v>
      </c>
    </row>
    <row r="110" ht="14.25" customHeight="1">
      <c r="A110" s="135" t="s">
        <v>910</v>
      </c>
      <c r="B110" s="123"/>
      <c r="C110" s="124"/>
      <c r="D110" s="125"/>
      <c r="E110" s="124"/>
      <c r="F110" s="124"/>
      <c r="G110" s="124"/>
      <c r="H110" s="124"/>
      <c r="I110" s="124"/>
      <c r="J110" s="124"/>
      <c r="K110" s="124"/>
      <c r="L110" s="124"/>
      <c r="M110" s="124"/>
      <c r="N110" s="124"/>
      <c r="O110" s="124"/>
      <c r="P110" s="124"/>
      <c r="Q110" s="124"/>
      <c r="R110" s="124"/>
      <c r="S110" s="124"/>
      <c r="T110" s="124"/>
      <c r="U110" s="124"/>
      <c r="V110" s="124"/>
      <c r="W110" s="124"/>
      <c r="X110" s="124"/>
      <c r="Y110" s="124"/>
      <c r="Z110" s="124"/>
    </row>
    <row r="111" ht="14.25" customHeight="1">
      <c r="A111" s="137">
        <v>46025.0</v>
      </c>
      <c r="B111" s="127" t="s">
        <v>884</v>
      </c>
      <c r="C111" s="136" t="s">
        <v>869</v>
      </c>
      <c r="D111" s="133">
        <v>18.0</v>
      </c>
      <c r="E111" s="129">
        <f>'3.1'!$I$22</f>
        <v>517211.3467</v>
      </c>
      <c r="F111" s="129">
        <f>'3.1'!$I$36</f>
        <v>549166.6667</v>
      </c>
      <c r="G111" s="129">
        <f>'3.1'!$I$50</f>
        <v>0</v>
      </c>
      <c r="H111" s="129">
        <f>'3.1'!$I$64</f>
        <v>14972.22222</v>
      </c>
      <c r="I111" s="129">
        <f>'3.1'!$I$78</f>
        <v>0</v>
      </c>
      <c r="J111" s="131">
        <f t="shared" ref="J111:J118" si="205">SUM(F111:I111)</f>
        <v>564138.8889</v>
      </c>
      <c r="K111" s="131">
        <f t="shared" ref="K111:K118" si="206">SUM(E111,J111)</f>
        <v>1081350.236</v>
      </c>
      <c r="L111" s="131">
        <f t="shared" ref="L111:L118" si="207">$D111*E111</f>
        <v>9309804.24</v>
      </c>
      <c r="M111" s="131">
        <f t="shared" ref="M111:M118" si="208">$D111*(SUM(F111:I111))</f>
        <v>10154500</v>
      </c>
      <c r="N111" s="131">
        <f t="shared" ref="N111:N118" si="209">L111+M111</f>
        <v>19464304.24</v>
      </c>
      <c r="O111" s="131">
        <f t="shared" ref="O111:O118" si="210">L111</f>
        <v>9309804.24</v>
      </c>
      <c r="P111" s="131">
        <f t="shared" ref="P111:P118" si="211">(P$130*M111)/M$130</f>
        <v>11596439</v>
      </c>
      <c r="Q111" s="131">
        <f t="shared" ref="Q111:Q118" si="212">O111+P111</f>
        <v>20906243.24</v>
      </c>
      <c r="R111" s="131">
        <f t="shared" ref="R111:R118" si="213">L111</f>
        <v>9309804.24</v>
      </c>
      <c r="S111" s="131">
        <f t="shared" ref="S111:S118" si="214">(S$130*P111)/P$130</f>
        <v>14495548.75</v>
      </c>
      <c r="T111" s="131">
        <f t="shared" ref="T111:T118" si="215">R111+S111</f>
        <v>23805352.99</v>
      </c>
      <c r="U111" s="131">
        <f t="shared" ref="U111:U118" si="216">E111</f>
        <v>517211.3467</v>
      </c>
      <c r="V111" s="131">
        <f t="shared" ref="V111:V118" si="217">Y111/D111</f>
        <v>871343.5415</v>
      </c>
      <c r="W111" s="131">
        <f t="shared" ref="W111:W118" si="218">U111+V111</f>
        <v>1388554.888</v>
      </c>
      <c r="X111" s="131">
        <f t="shared" ref="X111:X118" si="219">L111</f>
        <v>9309804.24</v>
      </c>
      <c r="Y111" s="131">
        <f t="shared" ref="Y111:Y118" si="220">(Y$130*S111)/S$130</f>
        <v>15684183.75</v>
      </c>
      <c r="Z111" s="131">
        <f t="shared" ref="Z111:Z118" si="221">X111+Y111</f>
        <v>24993987.99</v>
      </c>
    </row>
    <row r="112" ht="14.25" customHeight="1">
      <c r="A112" s="137">
        <v>46056.0</v>
      </c>
      <c r="B112" s="127" t="s">
        <v>885</v>
      </c>
      <c r="C112" s="136" t="s">
        <v>869</v>
      </c>
      <c r="D112" s="133">
        <v>13.0</v>
      </c>
      <c r="E112" s="129">
        <f>'3.2'!$I$22</f>
        <v>631622.8738</v>
      </c>
      <c r="F112" s="129">
        <f>'3.2'!$I$36</f>
        <v>760384.6154</v>
      </c>
      <c r="G112" s="129">
        <f>'3.2'!$I$50</f>
        <v>0</v>
      </c>
      <c r="H112" s="129">
        <f>'3.2'!$I$64</f>
        <v>20730.76923</v>
      </c>
      <c r="I112" s="129">
        <f>'3.2'!$I$78</f>
        <v>0</v>
      </c>
      <c r="J112" s="131">
        <f t="shared" si="205"/>
        <v>781115.3846</v>
      </c>
      <c r="K112" s="131">
        <f t="shared" si="206"/>
        <v>1412738.258</v>
      </c>
      <c r="L112" s="131">
        <f t="shared" si="207"/>
        <v>8211097.36</v>
      </c>
      <c r="M112" s="131">
        <f t="shared" si="208"/>
        <v>10154500</v>
      </c>
      <c r="N112" s="131">
        <f t="shared" si="209"/>
        <v>18365597.36</v>
      </c>
      <c r="O112" s="131">
        <f t="shared" si="210"/>
        <v>8211097.36</v>
      </c>
      <c r="P112" s="131">
        <f t="shared" si="211"/>
        <v>11596439</v>
      </c>
      <c r="Q112" s="131">
        <f t="shared" si="212"/>
        <v>19807536.36</v>
      </c>
      <c r="R112" s="131">
        <f t="shared" si="213"/>
        <v>8211097.36</v>
      </c>
      <c r="S112" s="131">
        <f t="shared" si="214"/>
        <v>14495548.75</v>
      </c>
      <c r="T112" s="131">
        <f t="shared" si="215"/>
        <v>22706646.11</v>
      </c>
      <c r="U112" s="131">
        <f t="shared" si="216"/>
        <v>631622.8738</v>
      </c>
      <c r="V112" s="131">
        <f t="shared" si="217"/>
        <v>1206475.673</v>
      </c>
      <c r="W112" s="131">
        <f t="shared" si="218"/>
        <v>1838098.547</v>
      </c>
      <c r="X112" s="131">
        <f t="shared" si="219"/>
        <v>8211097.36</v>
      </c>
      <c r="Y112" s="131">
        <f t="shared" si="220"/>
        <v>15684183.75</v>
      </c>
      <c r="Z112" s="131">
        <f t="shared" si="221"/>
        <v>23895281.11</v>
      </c>
    </row>
    <row r="113" ht="14.25" customHeight="1">
      <c r="A113" s="137">
        <v>46084.0</v>
      </c>
      <c r="B113" s="127" t="s">
        <v>886</v>
      </c>
      <c r="C113" s="136" t="s">
        <v>869</v>
      </c>
      <c r="D113" s="133">
        <f>21+3</f>
        <v>24</v>
      </c>
      <c r="E113" s="129">
        <f>'3.3'!$I$22</f>
        <v>381107.0833</v>
      </c>
      <c r="F113" s="129">
        <f>'3.3'!$I$36</f>
        <v>411875</v>
      </c>
      <c r="G113" s="129">
        <f>'3.3'!$I$50</f>
        <v>0</v>
      </c>
      <c r="H113" s="129">
        <f>'3.3'!$I$64</f>
        <v>20395.83333</v>
      </c>
      <c r="I113" s="129">
        <f>'3.3'!$I$78</f>
        <v>0</v>
      </c>
      <c r="J113" s="131">
        <f t="shared" si="205"/>
        <v>432270.8333</v>
      </c>
      <c r="K113" s="131">
        <f t="shared" si="206"/>
        <v>813377.9167</v>
      </c>
      <c r="L113" s="131">
        <f t="shared" si="207"/>
        <v>9146570</v>
      </c>
      <c r="M113" s="131">
        <f t="shared" si="208"/>
        <v>10374500</v>
      </c>
      <c r="N113" s="131">
        <f t="shared" si="209"/>
        <v>19521070</v>
      </c>
      <c r="O113" s="131">
        <f t="shared" si="210"/>
        <v>9146570</v>
      </c>
      <c r="P113" s="131">
        <f t="shared" si="211"/>
        <v>11847679</v>
      </c>
      <c r="Q113" s="131">
        <f t="shared" si="212"/>
        <v>20994249</v>
      </c>
      <c r="R113" s="131">
        <f t="shared" si="213"/>
        <v>9146570</v>
      </c>
      <c r="S113" s="131">
        <f t="shared" si="214"/>
        <v>14809598.75</v>
      </c>
      <c r="T113" s="131">
        <f t="shared" si="215"/>
        <v>23956168.75</v>
      </c>
      <c r="U113" s="131">
        <f t="shared" si="216"/>
        <v>381107.0833</v>
      </c>
      <c r="V113" s="131">
        <f t="shared" si="217"/>
        <v>667666.077</v>
      </c>
      <c r="W113" s="131">
        <f t="shared" si="218"/>
        <v>1048773.16</v>
      </c>
      <c r="X113" s="131">
        <f t="shared" si="219"/>
        <v>9146570</v>
      </c>
      <c r="Y113" s="131">
        <f t="shared" si="220"/>
        <v>16023985.85</v>
      </c>
      <c r="Z113" s="131">
        <f t="shared" si="221"/>
        <v>25170555.85</v>
      </c>
    </row>
    <row r="114" ht="14.25" customHeight="1">
      <c r="A114" s="137">
        <v>46115.0</v>
      </c>
      <c r="B114" s="127" t="s">
        <v>892</v>
      </c>
      <c r="C114" s="136" t="s">
        <v>891</v>
      </c>
      <c r="D114" s="138">
        <f>37+183+100</f>
        <v>320</v>
      </c>
      <c r="E114" s="129">
        <f>'3.4'!$I$22</f>
        <v>29083.52645</v>
      </c>
      <c r="F114" s="129">
        <f>'3.4'!$I$36</f>
        <v>18703.125</v>
      </c>
      <c r="G114" s="129">
        <f>'3.4'!$I$50</f>
        <v>0</v>
      </c>
      <c r="H114" s="129">
        <f>'3.4'!$I$64</f>
        <v>250</v>
      </c>
      <c r="I114" s="129">
        <f>'3.4'!$I$78</f>
        <v>0</v>
      </c>
      <c r="J114" s="131">
        <f t="shared" si="205"/>
        <v>18953.125</v>
      </c>
      <c r="K114" s="131">
        <f t="shared" si="206"/>
        <v>48036.65145</v>
      </c>
      <c r="L114" s="131">
        <f t="shared" si="207"/>
        <v>9306728.463</v>
      </c>
      <c r="M114" s="131">
        <f t="shared" si="208"/>
        <v>6065000</v>
      </c>
      <c r="N114" s="131">
        <f t="shared" si="209"/>
        <v>15371728.46</v>
      </c>
      <c r="O114" s="131">
        <f t="shared" si="210"/>
        <v>9306728.463</v>
      </c>
      <c r="P114" s="131">
        <f t="shared" si="211"/>
        <v>6926230</v>
      </c>
      <c r="Q114" s="131">
        <f t="shared" si="212"/>
        <v>16232958.46</v>
      </c>
      <c r="R114" s="131">
        <f t="shared" si="213"/>
        <v>9306728.463</v>
      </c>
      <c r="S114" s="131">
        <f t="shared" si="214"/>
        <v>8657787.5</v>
      </c>
      <c r="T114" s="131">
        <f t="shared" si="215"/>
        <v>17964515.96</v>
      </c>
      <c r="U114" s="131">
        <f t="shared" si="216"/>
        <v>29083.52645</v>
      </c>
      <c r="V114" s="131">
        <f t="shared" si="217"/>
        <v>29274.14398</v>
      </c>
      <c r="W114" s="131">
        <f t="shared" si="218"/>
        <v>58357.67043</v>
      </c>
      <c r="X114" s="131">
        <f t="shared" si="219"/>
        <v>9306728.463</v>
      </c>
      <c r="Y114" s="131">
        <f t="shared" si="220"/>
        <v>9367726.075</v>
      </c>
      <c r="Z114" s="131">
        <f t="shared" si="221"/>
        <v>18674454.54</v>
      </c>
    </row>
    <row r="115" ht="14.25" customHeight="1">
      <c r="A115" s="137">
        <v>46145.0</v>
      </c>
      <c r="B115" s="127" t="s">
        <v>893</v>
      </c>
      <c r="C115" s="136" t="s">
        <v>891</v>
      </c>
      <c r="D115" s="133">
        <v>270.0</v>
      </c>
      <c r="E115" s="129">
        <f>'3.5'!$I$22</f>
        <v>18509.52778</v>
      </c>
      <c r="F115" s="129">
        <f>'3.5'!$I$36</f>
        <v>4277.777778</v>
      </c>
      <c r="G115" s="129">
        <f>'3.5'!$I$50</f>
        <v>0</v>
      </c>
      <c r="H115" s="129">
        <f>'3.5'!$I$64</f>
        <v>0</v>
      </c>
      <c r="I115" s="129">
        <f>'3.5'!$I$78</f>
        <v>14400</v>
      </c>
      <c r="J115" s="131">
        <f t="shared" si="205"/>
        <v>18677.77778</v>
      </c>
      <c r="K115" s="131">
        <f t="shared" si="206"/>
        <v>37187.30556</v>
      </c>
      <c r="L115" s="131">
        <f t="shared" si="207"/>
        <v>4997572.5</v>
      </c>
      <c r="M115" s="131">
        <f t="shared" si="208"/>
        <v>5043000</v>
      </c>
      <c r="N115" s="131">
        <f t="shared" si="209"/>
        <v>10040572.5</v>
      </c>
      <c r="O115" s="131">
        <f t="shared" si="210"/>
        <v>4997572.5</v>
      </c>
      <c r="P115" s="131">
        <f t="shared" si="211"/>
        <v>5759106</v>
      </c>
      <c r="Q115" s="131">
        <f t="shared" si="212"/>
        <v>10756678.5</v>
      </c>
      <c r="R115" s="131">
        <f t="shared" si="213"/>
        <v>4997572.5</v>
      </c>
      <c r="S115" s="131">
        <f t="shared" si="214"/>
        <v>7198882.5</v>
      </c>
      <c r="T115" s="131">
        <f t="shared" si="215"/>
        <v>12196455</v>
      </c>
      <c r="U115" s="131">
        <f t="shared" si="216"/>
        <v>18509.52778</v>
      </c>
      <c r="V115" s="131">
        <f t="shared" si="217"/>
        <v>28848.85506</v>
      </c>
      <c r="W115" s="131">
        <f t="shared" si="218"/>
        <v>47358.38283</v>
      </c>
      <c r="X115" s="131">
        <f t="shared" si="219"/>
        <v>4997572.5</v>
      </c>
      <c r="Y115" s="131">
        <f t="shared" si="220"/>
        <v>7789190.865</v>
      </c>
      <c r="Z115" s="131">
        <f t="shared" si="221"/>
        <v>12786763.37</v>
      </c>
    </row>
    <row r="116" ht="14.25" customHeight="1">
      <c r="A116" s="137">
        <v>46176.0</v>
      </c>
      <c r="B116" s="127" t="s">
        <v>894</v>
      </c>
      <c r="C116" s="136" t="s">
        <v>891</v>
      </c>
      <c r="D116" s="133">
        <v>270.0</v>
      </c>
      <c r="E116" s="129">
        <f>'3.6'!$I$22</f>
        <v>4823.074074</v>
      </c>
      <c r="F116" s="129">
        <f>'3.6'!$I$36</f>
        <v>16777.77778</v>
      </c>
      <c r="G116" s="129">
        <f>'3.6'!$I$50</f>
        <v>0</v>
      </c>
      <c r="H116" s="129">
        <f>'3.6'!$I$64</f>
        <v>0</v>
      </c>
      <c r="I116" s="129">
        <f>'3.6'!$I$78</f>
        <v>0</v>
      </c>
      <c r="J116" s="131">
        <f t="shared" si="205"/>
        <v>16777.77778</v>
      </c>
      <c r="K116" s="131">
        <f t="shared" si="206"/>
        <v>21600.85185</v>
      </c>
      <c r="L116" s="131">
        <f t="shared" si="207"/>
        <v>1302230</v>
      </c>
      <c r="M116" s="131">
        <f t="shared" si="208"/>
        <v>4530000</v>
      </c>
      <c r="N116" s="131">
        <f t="shared" si="209"/>
        <v>5832230</v>
      </c>
      <c r="O116" s="131">
        <f t="shared" si="210"/>
        <v>1302230</v>
      </c>
      <c r="P116" s="131">
        <f t="shared" si="211"/>
        <v>5173260</v>
      </c>
      <c r="Q116" s="131">
        <f t="shared" si="212"/>
        <v>6475490</v>
      </c>
      <c r="R116" s="131">
        <f t="shared" si="213"/>
        <v>1302230</v>
      </c>
      <c r="S116" s="131">
        <f t="shared" si="214"/>
        <v>6466575</v>
      </c>
      <c r="T116" s="131">
        <f t="shared" si="215"/>
        <v>7768805</v>
      </c>
      <c r="U116" s="131">
        <f t="shared" si="216"/>
        <v>4823.074074</v>
      </c>
      <c r="V116" s="131">
        <f t="shared" si="217"/>
        <v>25914.20056</v>
      </c>
      <c r="W116" s="131">
        <f t="shared" si="218"/>
        <v>30737.27463</v>
      </c>
      <c r="X116" s="131">
        <f t="shared" si="219"/>
        <v>1302230</v>
      </c>
      <c r="Y116" s="131">
        <f t="shared" si="220"/>
        <v>6996834.15</v>
      </c>
      <c r="Z116" s="131">
        <f t="shared" si="221"/>
        <v>8299064.15</v>
      </c>
    </row>
    <row r="117" ht="14.25" customHeight="1">
      <c r="A117" s="137">
        <v>46206.0</v>
      </c>
      <c r="B117" s="127" t="s">
        <v>895</v>
      </c>
      <c r="C117" s="136" t="s">
        <v>891</v>
      </c>
      <c r="D117" s="133">
        <v>244.0</v>
      </c>
      <c r="E117" s="129">
        <f>'3.7'!$I$22</f>
        <v>2908.31493</v>
      </c>
      <c r="F117" s="129">
        <f>'3.7'!$I$36</f>
        <v>25573.77049</v>
      </c>
      <c r="G117" s="129">
        <f>'3.7'!$I$50</f>
        <v>0</v>
      </c>
      <c r="H117" s="129">
        <f>'3.7'!$I$64</f>
        <v>0</v>
      </c>
      <c r="I117" s="129">
        <f>'3.7'!$I$78</f>
        <v>0</v>
      </c>
      <c r="J117" s="131">
        <f t="shared" si="205"/>
        <v>25573.77049</v>
      </c>
      <c r="K117" s="131">
        <f t="shared" si="206"/>
        <v>28482.08542</v>
      </c>
      <c r="L117" s="131">
        <f t="shared" si="207"/>
        <v>709628.843</v>
      </c>
      <c r="M117" s="131">
        <f t="shared" si="208"/>
        <v>6240000</v>
      </c>
      <c r="N117" s="131">
        <f t="shared" si="209"/>
        <v>6949628.843</v>
      </c>
      <c r="O117" s="131">
        <f t="shared" si="210"/>
        <v>709628.843</v>
      </c>
      <c r="P117" s="131">
        <f t="shared" si="211"/>
        <v>7126080</v>
      </c>
      <c r="Q117" s="131">
        <f t="shared" si="212"/>
        <v>7835708.843</v>
      </c>
      <c r="R117" s="131">
        <f t="shared" si="213"/>
        <v>709628.843</v>
      </c>
      <c r="S117" s="131">
        <f t="shared" si="214"/>
        <v>8907600</v>
      </c>
      <c r="T117" s="131">
        <f t="shared" si="215"/>
        <v>9617228.843</v>
      </c>
      <c r="U117" s="131">
        <f t="shared" si="216"/>
        <v>2908.31493</v>
      </c>
      <c r="V117" s="131">
        <f t="shared" si="217"/>
        <v>39500.09508</v>
      </c>
      <c r="W117" s="131">
        <f t="shared" si="218"/>
        <v>42408.41001</v>
      </c>
      <c r="X117" s="131">
        <f t="shared" si="219"/>
        <v>709628.843</v>
      </c>
      <c r="Y117" s="131">
        <f t="shared" si="220"/>
        <v>9638023.2</v>
      </c>
      <c r="Z117" s="131">
        <f t="shared" si="221"/>
        <v>10347652.04</v>
      </c>
    </row>
    <row r="118" ht="14.25" customHeight="1">
      <c r="A118" s="137">
        <v>46237.0</v>
      </c>
      <c r="B118" s="127" t="s">
        <v>902</v>
      </c>
      <c r="C118" s="136" t="s">
        <v>891</v>
      </c>
      <c r="D118" s="138">
        <f>284</f>
        <v>284</v>
      </c>
      <c r="E118" s="129">
        <f>'3.8'!$I$22</f>
        <v>3803.746944</v>
      </c>
      <c r="F118" s="129">
        <f>'3.8'!$I$36</f>
        <v>0</v>
      </c>
      <c r="G118" s="129">
        <f>'3.8'!$I$50</f>
        <v>0</v>
      </c>
      <c r="H118" s="129">
        <f>'3.8'!$I$64</f>
        <v>0</v>
      </c>
      <c r="I118" s="129">
        <f>'3.8'!$I$78</f>
        <v>37500</v>
      </c>
      <c r="J118" s="131">
        <f t="shared" si="205"/>
        <v>37500</v>
      </c>
      <c r="K118" s="131">
        <f t="shared" si="206"/>
        <v>41303.74694</v>
      </c>
      <c r="L118" s="131">
        <f t="shared" si="207"/>
        <v>1080264.132</v>
      </c>
      <c r="M118" s="131">
        <f t="shared" si="208"/>
        <v>10650000</v>
      </c>
      <c r="N118" s="131">
        <f t="shared" si="209"/>
        <v>11730264.13</v>
      </c>
      <c r="O118" s="131">
        <f t="shared" si="210"/>
        <v>1080264.132</v>
      </c>
      <c r="P118" s="131">
        <f t="shared" si="211"/>
        <v>12162300</v>
      </c>
      <c r="Q118" s="131">
        <f t="shared" si="212"/>
        <v>13242564.13</v>
      </c>
      <c r="R118" s="131">
        <f t="shared" si="213"/>
        <v>1080264.132</v>
      </c>
      <c r="S118" s="131">
        <f t="shared" si="214"/>
        <v>15202875</v>
      </c>
      <c r="T118" s="131">
        <f t="shared" si="215"/>
        <v>16283139.13</v>
      </c>
      <c r="U118" s="131">
        <f t="shared" si="216"/>
        <v>3803.746944</v>
      </c>
      <c r="V118" s="131">
        <f t="shared" si="217"/>
        <v>57920.8125</v>
      </c>
      <c r="W118" s="131">
        <f t="shared" si="218"/>
        <v>61724.55944</v>
      </c>
      <c r="X118" s="131">
        <f t="shared" si="219"/>
        <v>1080264.132</v>
      </c>
      <c r="Y118" s="131">
        <f t="shared" si="220"/>
        <v>16449510.75</v>
      </c>
      <c r="Z118" s="131">
        <f t="shared" si="221"/>
        <v>17529774.88</v>
      </c>
    </row>
    <row r="119" ht="14.25" customHeight="1">
      <c r="A119" s="135" t="s">
        <v>911</v>
      </c>
      <c r="B119" s="123"/>
      <c r="C119" s="124"/>
      <c r="D119" s="125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  <c r="Z119" s="124"/>
    </row>
    <row r="120" ht="14.25" customHeight="1">
      <c r="A120" s="137">
        <v>46026.0</v>
      </c>
      <c r="B120" s="127" t="s">
        <v>884</v>
      </c>
      <c r="C120" s="136" t="s">
        <v>869</v>
      </c>
      <c r="D120" s="133">
        <v>7.0</v>
      </c>
      <c r="E120" s="129">
        <f>'4.1'!$I$22</f>
        <v>698753.5714</v>
      </c>
      <c r="F120" s="129">
        <f>'4.1'!$I$36</f>
        <v>722142.8571</v>
      </c>
      <c r="G120" s="129">
        <f>'4.1'!$I$50</f>
        <v>0</v>
      </c>
      <c r="H120" s="129">
        <f>'4.1'!$I$64</f>
        <v>33357.14286</v>
      </c>
      <c r="I120" s="129">
        <f>'4.1'!$I$78</f>
        <v>0</v>
      </c>
      <c r="J120" s="131">
        <f t="shared" ref="J120:J129" si="222">SUM(F120:I120)</f>
        <v>755500</v>
      </c>
      <c r="K120" s="131">
        <f t="shared" ref="K120:K129" si="223">SUM(E120,J120)</f>
        <v>1454253.571</v>
      </c>
      <c r="L120" s="131">
        <f t="shared" ref="L120:L129" si="224">$D120*E120</f>
        <v>4891275</v>
      </c>
      <c r="M120" s="131">
        <f t="shared" ref="M120:M129" si="225">$D120*(SUM(F120:I120))</f>
        <v>5288500</v>
      </c>
      <c r="N120" s="131">
        <f t="shared" ref="N120:N129" si="226">L120+M120</f>
        <v>10179775</v>
      </c>
      <c r="O120" s="131">
        <f t="shared" ref="O120:O129" si="227">L120</f>
        <v>4891275</v>
      </c>
      <c r="P120" s="131">
        <f t="shared" ref="P120:P129" si="228">(P$130*M120)/M$130</f>
        <v>6039467</v>
      </c>
      <c r="Q120" s="131">
        <f t="shared" ref="Q120:Q129" si="229">O120+P120</f>
        <v>10930742</v>
      </c>
      <c r="R120" s="131">
        <f t="shared" ref="R120:R129" si="230">L120</f>
        <v>4891275</v>
      </c>
      <c r="S120" s="131">
        <f t="shared" ref="S120:S129" si="231">(S$130*P120)/P$130</f>
        <v>7549333.75</v>
      </c>
      <c r="T120" s="131">
        <f t="shared" ref="T120:T129" si="232">R120+S120</f>
        <v>12440608.75</v>
      </c>
      <c r="U120" s="131">
        <f t="shared" ref="U120:U129" si="233">E120</f>
        <v>698753.5714</v>
      </c>
      <c r="V120" s="131">
        <f t="shared" ref="V120:V129" si="234">Y120/D120</f>
        <v>1166911.303</v>
      </c>
      <c r="W120" s="131">
        <f t="shared" ref="W120:W129" si="235">U120+V120</f>
        <v>1865664.874</v>
      </c>
      <c r="X120" s="131">
        <f t="shared" ref="X120:X129" si="236">L120</f>
        <v>4891275</v>
      </c>
      <c r="Y120" s="131">
        <f t="shared" ref="Y120:Y129" si="237">(Y$130*S120)/S$130</f>
        <v>8168379.118</v>
      </c>
      <c r="Z120" s="131">
        <f t="shared" ref="Z120:Z129" si="238">X120+Y120</f>
        <v>13059654.12</v>
      </c>
    </row>
    <row r="121" ht="14.25" customHeight="1">
      <c r="A121" s="137">
        <v>46057.0</v>
      </c>
      <c r="B121" s="127" t="s">
        <v>885</v>
      </c>
      <c r="C121" s="136" t="s">
        <v>869</v>
      </c>
      <c r="D121" s="133">
        <v>11.0</v>
      </c>
      <c r="E121" s="129">
        <f>'4.2'!$I$22</f>
        <v>560883.7236</v>
      </c>
      <c r="F121" s="129">
        <f>'4.2'!$I$36</f>
        <v>459545.4545</v>
      </c>
      <c r="G121" s="129">
        <f>'4.2'!$I$50</f>
        <v>0</v>
      </c>
      <c r="H121" s="129">
        <f>'4.2'!$I$64</f>
        <v>22454.54545</v>
      </c>
      <c r="I121" s="129">
        <f>'4.2'!$I$78</f>
        <v>0</v>
      </c>
      <c r="J121" s="131">
        <f t="shared" si="222"/>
        <v>482000</v>
      </c>
      <c r="K121" s="131">
        <f t="shared" si="223"/>
        <v>1042883.724</v>
      </c>
      <c r="L121" s="131">
        <f t="shared" si="224"/>
        <v>6169720.96</v>
      </c>
      <c r="M121" s="131">
        <f t="shared" si="225"/>
        <v>5302000</v>
      </c>
      <c r="N121" s="131">
        <f t="shared" si="226"/>
        <v>11471720.96</v>
      </c>
      <c r="O121" s="131">
        <f t="shared" si="227"/>
        <v>6169720.96</v>
      </c>
      <c r="P121" s="131">
        <f t="shared" si="228"/>
        <v>6054884</v>
      </c>
      <c r="Q121" s="131">
        <f t="shared" si="229"/>
        <v>12224604.96</v>
      </c>
      <c r="R121" s="131">
        <f t="shared" si="230"/>
        <v>6169720.96</v>
      </c>
      <c r="S121" s="131">
        <f t="shared" si="231"/>
        <v>7568605</v>
      </c>
      <c r="T121" s="131">
        <f t="shared" si="232"/>
        <v>13738325.96</v>
      </c>
      <c r="U121" s="131">
        <f t="shared" si="233"/>
        <v>560883.7236</v>
      </c>
      <c r="V121" s="131">
        <f t="shared" si="234"/>
        <v>744475.51</v>
      </c>
      <c r="W121" s="131">
        <f t="shared" si="235"/>
        <v>1305359.234</v>
      </c>
      <c r="X121" s="131">
        <f t="shared" si="236"/>
        <v>6169720.96</v>
      </c>
      <c r="Y121" s="131">
        <f t="shared" si="237"/>
        <v>8189230.61</v>
      </c>
      <c r="Z121" s="131">
        <f t="shared" si="238"/>
        <v>14358951.57</v>
      </c>
    </row>
    <row r="122" ht="14.25" customHeight="1">
      <c r="A122" s="137">
        <v>46085.0</v>
      </c>
      <c r="B122" s="127" t="s">
        <v>886</v>
      </c>
      <c r="C122" s="136" t="s">
        <v>869</v>
      </c>
      <c r="D122" s="133">
        <v>8.0</v>
      </c>
      <c r="E122" s="129">
        <f>'4.3'!$I$22</f>
        <v>523644</v>
      </c>
      <c r="F122" s="129">
        <f>'4.3'!$I$36</f>
        <v>631875</v>
      </c>
      <c r="G122" s="129">
        <f>'4.3'!$I$50</f>
        <v>0</v>
      </c>
      <c r="H122" s="129">
        <f>'4.3'!$I$64</f>
        <v>30875</v>
      </c>
      <c r="I122" s="129">
        <f>'4.3'!$I$78</f>
        <v>0</v>
      </c>
      <c r="J122" s="131">
        <f t="shared" si="222"/>
        <v>662750</v>
      </c>
      <c r="K122" s="131">
        <f t="shared" si="223"/>
        <v>1186394</v>
      </c>
      <c r="L122" s="131">
        <f t="shared" si="224"/>
        <v>4189152</v>
      </c>
      <c r="M122" s="131">
        <f t="shared" si="225"/>
        <v>5302000</v>
      </c>
      <c r="N122" s="131">
        <f t="shared" si="226"/>
        <v>9491152</v>
      </c>
      <c r="O122" s="131">
        <f t="shared" si="227"/>
        <v>4189152</v>
      </c>
      <c r="P122" s="131">
        <f t="shared" si="228"/>
        <v>6054884</v>
      </c>
      <c r="Q122" s="131">
        <f t="shared" si="229"/>
        <v>10244036</v>
      </c>
      <c r="R122" s="131">
        <f t="shared" si="230"/>
        <v>4189152</v>
      </c>
      <c r="S122" s="131">
        <f t="shared" si="231"/>
        <v>7568605</v>
      </c>
      <c r="T122" s="131">
        <f t="shared" si="232"/>
        <v>11757757</v>
      </c>
      <c r="U122" s="131">
        <f t="shared" si="233"/>
        <v>523644</v>
      </c>
      <c r="V122" s="131">
        <f t="shared" si="234"/>
        <v>1023653.826</v>
      </c>
      <c r="W122" s="131">
        <f t="shared" si="235"/>
        <v>1547297.826</v>
      </c>
      <c r="X122" s="131">
        <f t="shared" si="236"/>
        <v>4189152</v>
      </c>
      <c r="Y122" s="131">
        <f t="shared" si="237"/>
        <v>8189230.61</v>
      </c>
      <c r="Z122" s="131">
        <f t="shared" si="238"/>
        <v>12378382.61</v>
      </c>
    </row>
    <row r="123" ht="14.25" customHeight="1">
      <c r="A123" s="137">
        <v>46116.0</v>
      </c>
      <c r="B123" s="127" t="s">
        <v>892</v>
      </c>
      <c r="C123" s="136" t="s">
        <v>891</v>
      </c>
      <c r="D123" s="138">
        <f>26*4</f>
        <v>104</v>
      </c>
      <c r="E123" s="129">
        <f>'4.4'!$I$22</f>
        <v>28822.0627</v>
      </c>
      <c r="F123" s="129">
        <f>'4.4'!$I$36</f>
        <v>37500</v>
      </c>
      <c r="G123" s="129">
        <f>'4.4'!$I$50</f>
        <v>0</v>
      </c>
      <c r="H123" s="129">
        <f>'4.4'!$I$64</f>
        <v>769.2307692</v>
      </c>
      <c r="I123" s="129">
        <f>'4.4'!$I$78</f>
        <v>0</v>
      </c>
      <c r="J123" s="131">
        <f t="shared" si="222"/>
        <v>38269.23077</v>
      </c>
      <c r="K123" s="131">
        <f t="shared" si="223"/>
        <v>67091.29347</v>
      </c>
      <c r="L123" s="131">
        <f t="shared" si="224"/>
        <v>2997494.521</v>
      </c>
      <c r="M123" s="131">
        <f t="shared" si="225"/>
        <v>3980000</v>
      </c>
      <c r="N123" s="131">
        <f t="shared" si="226"/>
        <v>6977494.521</v>
      </c>
      <c r="O123" s="131">
        <f t="shared" si="227"/>
        <v>2997494.521</v>
      </c>
      <c r="P123" s="131">
        <f t="shared" si="228"/>
        <v>4545160</v>
      </c>
      <c r="Q123" s="131">
        <f t="shared" si="229"/>
        <v>7542654.521</v>
      </c>
      <c r="R123" s="131">
        <f t="shared" si="230"/>
        <v>2997494.521</v>
      </c>
      <c r="S123" s="131">
        <f t="shared" si="231"/>
        <v>5681450</v>
      </c>
      <c r="T123" s="131">
        <f t="shared" si="232"/>
        <v>8678944.521</v>
      </c>
      <c r="U123" s="131">
        <f t="shared" si="233"/>
        <v>28822.0627</v>
      </c>
      <c r="V123" s="131">
        <f t="shared" si="234"/>
        <v>59108.93173</v>
      </c>
      <c r="W123" s="131">
        <f t="shared" si="235"/>
        <v>87930.99443</v>
      </c>
      <c r="X123" s="131">
        <f t="shared" si="236"/>
        <v>2997494.521</v>
      </c>
      <c r="Y123" s="131">
        <f t="shared" si="237"/>
        <v>6147328.9</v>
      </c>
      <c r="Z123" s="131">
        <f t="shared" si="238"/>
        <v>9144823.421</v>
      </c>
    </row>
    <row r="124" ht="14.25" customHeight="1">
      <c r="A124" s="137">
        <v>46146.0</v>
      </c>
      <c r="B124" s="127" t="s">
        <v>912</v>
      </c>
      <c r="C124" s="136" t="s">
        <v>891</v>
      </c>
      <c r="D124" s="133">
        <v>270.0</v>
      </c>
      <c r="E124" s="129">
        <f>'4.5'!$I$22</f>
        <v>20048.08333</v>
      </c>
      <c r="F124" s="129">
        <f>'4.5'!$I$36</f>
        <v>4277.777778</v>
      </c>
      <c r="G124" s="129">
        <f>'4.5'!$I$50</f>
        <v>0</v>
      </c>
      <c r="H124" s="129">
        <f>'4.5'!$I$64</f>
        <v>0</v>
      </c>
      <c r="I124" s="129">
        <f>'4.5'!$I$78</f>
        <v>15600</v>
      </c>
      <c r="J124" s="131">
        <f t="shared" si="222"/>
        <v>19877.77778</v>
      </c>
      <c r="K124" s="131">
        <f t="shared" si="223"/>
        <v>39925.86111</v>
      </c>
      <c r="L124" s="131">
        <f t="shared" si="224"/>
        <v>5412982.5</v>
      </c>
      <c r="M124" s="131">
        <f t="shared" si="225"/>
        <v>5367000</v>
      </c>
      <c r="N124" s="131">
        <f t="shared" si="226"/>
        <v>10779982.5</v>
      </c>
      <c r="O124" s="131">
        <f t="shared" si="227"/>
        <v>5412982.5</v>
      </c>
      <c r="P124" s="131">
        <f t="shared" si="228"/>
        <v>6129114</v>
      </c>
      <c r="Q124" s="131">
        <f t="shared" si="229"/>
        <v>11542096.5</v>
      </c>
      <c r="R124" s="131">
        <f t="shared" si="230"/>
        <v>5412982.5</v>
      </c>
      <c r="S124" s="131">
        <f t="shared" si="231"/>
        <v>7661392.5</v>
      </c>
      <c r="T124" s="131">
        <f t="shared" si="232"/>
        <v>13074375</v>
      </c>
      <c r="U124" s="131">
        <f t="shared" si="233"/>
        <v>20048.08333</v>
      </c>
      <c r="V124" s="131">
        <f t="shared" si="234"/>
        <v>30702.32106</v>
      </c>
      <c r="W124" s="131">
        <f t="shared" si="235"/>
        <v>50750.40439</v>
      </c>
      <c r="X124" s="131">
        <f t="shared" si="236"/>
        <v>5412982.5</v>
      </c>
      <c r="Y124" s="131">
        <f t="shared" si="237"/>
        <v>8289626.685</v>
      </c>
      <c r="Z124" s="131">
        <f t="shared" si="238"/>
        <v>13702609.19</v>
      </c>
    </row>
    <row r="125" ht="14.25" customHeight="1">
      <c r="A125" s="137">
        <v>46177.0</v>
      </c>
      <c r="B125" s="127" t="s">
        <v>913</v>
      </c>
      <c r="C125" s="136" t="s">
        <v>891</v>
      </c>
      <c r="D125" s="133">
        <v>270.0</v>
      </c>
      <c r="E125" s="129">
        <f>'4.6'!$I$22</f>
        <v>4823.074074</v>
      </c>
      <c r="F125" s="129">
        <f>'4.6'!$I$36</f>
        <v>17333.33333</v>
      </c>
      <c r="G125" s="129">
        <f>'4.6'!$I$50</f>
        <v>0</v>
      </c>
      <c r="H125" s="129">
        <f>'4.6'!$I$64</f>
        <v>0</v>
      </c>
      <c r="I125" s="129">
        <f>'4.6'!$I$78</f>
        <v>0</v>
      </c>
      <c r="J125" s="131">
        <f t="shared" si="222"/>
        <v>17333.33333</v>
      </c>
      <c r="K125" s="131">
        <f t="shared" si="223"/>
        <v>22156.40741</v>
      </c>
      <c r="L125" s="131">
        <f t="shared" si="224"/>
        <v>1302230</v>
      </c>
      <c r="M125" s="131">
        <f t="shared" si="225"/>
        <v>4680000</v>
      </c>
      <c r="N125" s="131">
        <f t="shared" si="226"/>
        <v>5982230</v>
      </c>
      <c r="O125" s="131">
        <f t="shared" si="227"/>
        <v>1302230</v>
      </c>
      <c r="P125" s="131">
        <f t="shared" si="228"/>
        <v>5344560</v>
      </c>
      <c r="Q125" s="131">
        <f t="shared" si="229"/>
        <v>6646790</v>
      </c>
      <c r="R125" s="131">
        <f t="shared" si="230"/>
        <v>1302230</v>
      </c>
      <c r="S125" s="131">
        <f t="shared" si="231"/>
        <v>6680700</v>
      </c>
      <c r="T125" s="131">
        <f t="shared" si="232"/>
        <v>7982930</v>
      </c>
      <c r="U125" s="131">
        <f t="shared" si="233"/>
        <v>4823.074074</v>
      </c>
      <c r="V125" s="131">
        <f t="shared" si="234"/>
        <v>26772.28667</v>
      </c>
      <c r="W125" s="131">
        <f t="shared" si="235"/>
        <v>31595.36074</v>
      </c>
      <c r="X125" s="131">
        <f t="shared" si="236"/>
        <v>1302230</v>
      </c>
      <c r="Y125" s="131">
        <f t="shared" si="237"/>
        <v>7228517.4</v>
      </c>
      <c r="Z125" s="131">
        <f t="shared" si="238"/>
        <v>8530747.4</v>
      </c>
    </row>
    <row r="126" ht="14.25" customHeight="1">
      <c r="A126" s="137">
        <v>46207.0</v>
      </c>
      <c r="B126" s="127" t="s">
        <v>895</v>
      </c>
      <c r="C126" s="136" t="s">
        <v>891</v>
      </c>
      <c r="D126" s="133">
        <f t="shared" ref="D126:D127" si="239">30*4</f>
        <v>120</v>
      </c>
      <c r="E126" s="129">
        <f>'4.7'!$I$22</f>
        <v>3096.245179</v>
      </c>
      <c r="F126" s="129">
        <f>'4.7'!$I$36</f>
        <v>29125</v>
      </c>
      <c r="G126" s="129">
        <f>'4.7'!$I$50</f>
        <v>0</v>
      </c>
      <c r="H126" s="129">
        <f>'4.7'!$I$64</f>
        <v>0</v>
      </c>
      <c r="I126" s="129">
        <f>'4.7'!$I$78</f>
        <v>0</v>
      </c>
      <c r="J126" s="131">
        <f t="shared" si="222"/>
        <v>29125</v>
      </c>
      <c r="K126" s="131">
        <f t="shared" si="223"/>
        <v>32221.24518</v>
      </c>
      <c r="L126" s="131">
        <f t="shared" si="224"/>
        <v>371549.4215</v>
      </c>
      <c r="M126" s="131">
        <f t="shared" si="225"/>
        <v>3495000</v>
      </c>
      <c r="N126" s="131">
        <f t="shared" si="226"/>
        <v>3866549.421</v>
      </c>
      <c r="O126" s="131">
        <f t="shared" si="227"/>
        <v>371549.4215</v>
      </c>
      <c r="P126" s="131">
        <f t="shared" si="228"/>
        <v>3991290</v>
      </c>
      <c r="Q126" s="131">
        <f t="shared" si="229"/>
        <v>4362839.421</v>
      </c>
      <c r="R126" s="131">
        <f t="shared" si="230"/>
        <v>371549.4215</v>
      </c>
      <c r="S126" s="131">
        <f t="shared" si="231"/>
        <v>4989112.5</v>
      </c>
      <c r="T126" s="131">
        <f t="shared" si="232"/>
        <v>5360661.921</v>
      </c>
      <c r="U126" s="131">
        <f t="shared" si="233"/>
        <v>3096.245179</v>
      </c>
      <c r="V126" s="131">
        <f t="shared" si="234"/>
        <v>44985.16438</v>
      </c>
      <c r="W126" s="131">
        <f t="shared" si="235"/>
        <v>48081.40955</v>
      </c>
      <c r="X126" s="131">
        <f t="shared" si="236"/>
        <v>371549.4215</v>
      </c>
      <c r="Y126" s="131">
        <f t="shared" si="237"/>
        <v>5398219.725</v>
      </c>
      <c r="Z126" s="131">
        <f t="shared" si="238"/>
        <v>5769769.146</v>
      </c>
    </row>
    <row r="127" ht="14.25" customHeight="1">
      <c r="A127" s="137">
        <v>46238.0</v>
      </c>
      <c r="B127" s="127" t="s">
        <v>902</v>
      </c>
      <c r="C127" s="136" t="s">
        <v>891</v>
      </c>
      <c r="D127" s="133">
        <f t="shared" si="239"/>
        <v>120</v>
      </c>
      <c r="E127" s="129">
        <f>'4.8'!$I$22</f>
        <v>4057.195592</v>
      </c>
      <c r="F127" s="129">
        <f>'4.8'!$I$36</f>
        <v>0</v>
      </c>
      <c r="G127" s="129">
        <f>'4.8'!$I$50</f>
        <v>0</v>
      </c>
      <c r="H127" s="129">
        <f>'4.8'!$I$64</f>
        <v>0</v>
      </c>
      <c r="I127" s="129">
        <f>'4.8'!$I$78</f>
        <v>37500</v>
      </c>
      <c r="J127" s="131">
        <f t="shared" si="222"/>
        <v>37500</v>
      </c>
      <c r="K127" s="131">
        <f t="shared" si="223"/>
        <v>41557.19559</v>
      </c>
      <c r="L127" s="131">
        <f t="shared" si="224"/>
        <v>486863.4711</v>
      </c>
      <c r="M127" s="131">
        <f t="shared" si="225"/>
        <v>4500000</v>
      </c>
      <c r="N127" s="131">
        <f t="shared" si="226"/>
        <v>4986863.471</v>
      </c>
      <c r="O127" s="131">
        <f t="shared" si="227"/>
        <v>486863.4711</v>
      </c>
      <c r="P127" s="131">
        <f t="shared" si="228"/>
        <v>5139000</v>
      </c>
      <c r="Q127" s="131">
        <f t="shared" si="229"/>
        <v>5625863.471</v>
      </c>
      <c r="R127" s="131">
        <f t="shared" si="230"/>
        <v>486863.4711</v>
      </c>
      <c r="S127" s="131">
        <f t="shared" si="231"/>
        <v>6423750</v>
      </c>
      <c r="T127" s="131">
        <f t="shared" si="232"/>
        <v>6910613.471</v>
      </c>
      <c r="U127" s="131">
        <f t="shared" si="233"/>
        <v>4057.195592</v>
      </c>
      <c r="V127" s="131">
        <f t="shared" si="234"/>
        <v>57920.8125</v>
      </c>
      <c r="W127" s="131">
        <f t="shared" si="235"/>
        <v>61978.00809</v>
      </c>
      <c r="X127" s="131">
        <f t="shared" si="236"/>
        <v>486863.4711</v>
      </c>
      <c r="Y127" s="131">
        <f t="shared" si="237"/>
        <v>6950497.5</v>
      </c>
      <c r="Z127" s="131">
        <f t="shared" si="238"/>
        <v>7437360.971</v>
      </c>
    </row>
    <row r="128" ht="14.25" customHeight="1">
      <c r="A128" s="137">
        <v>46146.0</v>
      </c>
      <c r="B128" s="127" t="s">
        <v>914</v>
      </c>
      <c r="C128" s="136" t="s">
        <v>891</v>
      </c>
      <c r="D128" s="133">
        <v>70.0</v>
      </c>
      <c r="E128" s="129">
        <f>'4.5'!$I$22</f>
        <v>20048.08333</v>
      </c>
      <c r="F128" s="129">
        <f>'4.5'!$I$36</f>
        <v>4277.777778</v>
      </c>
      <c r="G128" s="129">
        <f>'4.5'!$I$50</f>
        <v>0</v>
      </c>
      <c r="H128" s="129">
        <f>'4.5'!$I$64</f>
        <v>0</v>
      </c>
      <c r="I128" s="129">
        <f>'4.5'!$I$78</f>
        <v>15600</v>
      </c>
      <c r="J128" s="131">
        <f t="shared" si="222"/>
        <v>19877.77778</v>
      </c>
      <c r="K128" s="131">
        <f t="shared" si="223"/>
        <v>39925.86111</v>
      </c>
      <c r="L128" s="131">
        <f t="shared" si="224"/>
        <v>1403365.833</v>
      </c>
      <c r="M128" s="131">
        <f t="shared" si="225"/>
        <v>1391444.444</v>
      </c>
      <c r="N128" s="131">
        <f t="shared" si="226"/>
        <v>2794810.278</v>
      </c>
      <c r="O128" s="131">
        <f t="shared" si="227"/>
        <v>1403365.833</v>
      </c>
      <c r="P128" s="131">
        <f t="shared" si="228"/>
        <v>1589029.556</v>
      </c>
      <c r="Q128" s="131">
        <f t="shared" si="229"/>
        <v>2992395.389</v>
      </c>
      <c r="R128" s="131">
        <f t="shared" si="230"/>
        <v>1403365.833</v>
      </c>
      <c r="S128" s="131">
        <f t="shared" si="231"/>
        <v>1986286.944</v>
      </c>
      <c r="T128" s="131">
        <f t="shared" si="232"/>
        <v>3389652.778</v>
      </c>
      <c r="U128" s="131">
        <f t="shared" si="233"/>
        <v>20048.08333</v>
      </c>
      <c r="V128" s="131">
        <f t="shared" si="234"/>
        <v>30702.32106</v>
      </c>
      <c r="W128" s="131">
        <f t="shared" si="235"/>
        <v>50750.40439</v>
      </c>
      <c r="X128" s="131">
        <f t="shared" si="236"/>
        <v>1403365.833</v>
      </c>
      <c r="Y128" s="131">
        <f t="shared" si="237"/>
        <v>2149162.474</v>
      </c>
      <c r="Z128" s="131">
        <f t="shared" si="238"/>
        <v>3552528.307</v>
      </c>
    </row>
    <row r="129" ht="14.25" customHeight="1">
      <c r="A129" s="137">
        <v>46177.0</v>
      </c>
      <c r="B129" s="127" t="s">
        <v>915</v>
      </c>
      <c r="C129" s="136" t="s">
        <v>891</v>
      </c>
      <c r="D129" s="133">
        <v>70.0</v>
      </c>
      <c r="E129" s="129">
        <f>'4.6'!$I$22</f>
        <v>4823.074074</v>
      </c>
      <c r="F129" s="129">
        <f>'4.6'!$I$36</f>
        <v>17333.33333</v>
      </c>
      <c r="G129" s="129">
        <f>'4.6'!$I$50</f>
        <v>0</v>
      </c>
      <c r="H129" s="129">
        <f>'4.6'!$I$64</f>
        <v>0</v>
      </c>
      <c r="I129" s="129">
        <f>'4.6'!$I$78</f>
        <v>0</v>
      </c>
      <c r="J129" s="131">
        <f t="shared" si="222"/>
        <v>17333.33333</v>
      </c>
      <c r="K129" s="131">
        <f t="shared" si="223"/>
        <v>22156.40741</v>
      </c>
      <c r="L129" s="131">
        <f t="shared" si="224"/>
        <v>337615.1852</v>
      </c>
      <c r="M129" s="131">
        <f t="shared" si="225"/>
        <v>1213333.333</v>
      </c>
      <c r="N129" s="131">
        <f t="shared" si="226"/>
        <v>1550948.519</v>
      </c>
      <c r="O129" s="131">
        <f t="shared" si="227"/>
        <v>337615.1852</v>
      </c>
      <c r="P129" s="131">
        <f t="shared" si="228"/>
        <v>1385626.667</v>
      </c>
      <c r="Q129" s="131">
        <f t="shared" si="229"/>
        <v>1723241.852</v>
      </c>
      <c r="R129" s="131">
        <f t="shared" si="230"/>
        <v>337615.1852</v>
      </c>
      <c r="S129" s="131">
        <f t="shared" si="231"/>
        <v>1732033.333</v>
      </c>
      <c r="T129" s="131">
        <f t="shared" si="232"/>
        <v>2069648.519</v>
      </c>
      <c r="U129" s="131">
        <f t="shared" si="233"/>
        <v>4823.074074</v>
      </c>
      <c r="V129" s="131">
        <f t="shared" si="234"/>
        <v>26772.28667</v>
      </c>
      <c r="W129" s="131">
        <f t="shared" si="235"/>
        <v>31595.36074</v>
      </c>
      <c r="X129" s="131">
        <f t="shared" si="236"/>
        <v>337615.1852</v>
      </c>
      <c r="Y129" s="131">
        <f t="shared" si="237"/>
        <v>1874060.067</v>
      </c>
      <c r="Z129" s="131">
        <f t="shared" si="238"/>
        <v>2211675.252</v>
      </c>
    </row>
    <row r="130" ht="123.0" customHeight="1">
      <c r="B130" s="140"/>
      <c r="E130" s="92"/>
      <c r="F130" s="92"/>
      <c r="G130" s="92"/>
      <c r="H130" s="92"/>
      <c r="I130" s="92"/>
      <c r="J130" s="141"/>
      <c r="K130" s="92"/>
      <c r="L130" s="142">
        <f t="shared" ref="L130:M130" si="240">SUM(L9:L129)</f>
        <v>566369893.5</v>
      </c>
      <c r="M130" s="142">
        <f t="shared" si="240"/>
        <v>995369425.8</v>
      </c>
      <c r="N130" s="143"/>
      <c r="O130" s="143"/>
      <c r="P130" s="142">
        <f>M136</f>
        <v>1136711884</v>
      </c>
      <c r="Q130" s="143"/>
      <c r="R130" s="143"/>
      <c r="S130" s="142">
        <f>M139</f>
        <v>1420889855</v>
      </c>
      <c r="T130" s="143"/>
      <c r="U130" s="143"/>
      <c r="V130" s="143"/>
      <c r="W130" s="143"/>
      <c r="X130" s="144">
        <f>SUM(X9:X129)</f>
        <v>566369893.5</v>
      </c>
      <c r="Y130" s="142">
        <f>M142</f>
        <v>1537402823</v>
      </c>
      <c r="Z130" s="144">
        <f>SUM(Z9:Z129)</f>
        <v>2103772717</v>
      </c>
    </row>
    <row r="131" ht="14.25" customHeight="1"/>
    <row r="132" ht="14.25" customHeight="1">
      <c r="A132" s="92"/>
      <c r="B132" s="92"/>
      <c r="C132" s="92"/>
      <c r="D132" s="92"/>
      <c r="E132" s="92"/>
      <c r="F132" s="92"/>
      <c r="G132" s="92"/>
      <c r="H132" s="92"/>
      <c r="I132" s="145" t="s">
        <v>916</v>
      </c>
      <c r="J132" s="145"/>
      <c r="K132" s="145"/>
      <c r="L132" s="146"/>
      <c r="M132" s="146">
        <f>M130</f>
        <v>995369425.8</v>
      </c>
      <c r="N132" s="147">
        <f t="shared" ref="N132:N145" si="241">M132/1450</f>
        <v>686461.673</v>
      </c>
    </row>
    <row r="133" ht="14.25" customHeight="1">
      <c r="B133" s="92"/>
      <c r="K133" s="92" t="s">
        <v>917</v>
      </c>
      <c r="L133" s="148">
        <v>0.03</v>
      </c>
      <c r="M133" s="143">
        <f t="shared" ref="M133:M135" si="242">M$132*L133</f>
        <v>29861082.77</v>
      </c>
      <c r="N133" s="147">
        <f t="shared" si="241"/>
        <v>20593.85019</v>
      </c>
      <c r="O133" s="149"/>
    </row>
    <row r="134" ht="14.25" customHeight="1">
      <c r="B134" s="92"/>
      <c r="K134" s="92" t="s">
        <v>918</v>
      </c>
      <c r="L134" s="150">
        <v>0.056</v>
      </c>
      <c r="M134" s="143">
        <f t="shared" si="242"/>
        <v>55740687.84</v>
      </c>
      <c r="N134" s="147">
        <f t="shared" si="241"/>
        <v>38441.85369</v>
      </c>
      <c r="O134" s="151"/>
    </row>
    <row r="135" ht="14.25" customHeight="1">
      <c r="B135" s="92"/>
      <c r="K135" s="92" t="s">
        <v>919</v>
      </c>
      <c r="L135" s="150">
        <v>0.056</v>
      </c>
      <c r="M135" s="143">
        <f t="shared" si="242"/>
        <v>55740687.84</v>
      </c>
      <c r="N135" s="147">
        <f t="shared" si="241"/>
        <v>38441.85369</v>
      </c>
      <c r="O135" s="151"/>
    </row>
    <row r="136" ht="14.25" customHeight="1">
      <c r="A136" s="92"/>
      <c r="B136" s="92"/>
      <c r="C136" s="92"/>
      <c r="D136" s="92"/>
      <c r="E136" s="92"/>
      <c r="F136" s="92"/>
      <c r="G136" s="92"/>
      <c r="H136" s="92"/>
      <c r="I136" s="145" t="s">
        <v>920</v>
      </c>
      <c r="J136" s="145"/>
      <c r="K136" s="145"/>
      <c r="L136" s="152"/>
      <c r="M136" s="146">
        <f>SUM(M132:M135)</f>
        <v>1136711884</v>
      </c>
      <c r="N136" s="147">
        <f t="shared" si="241"/>
        <v>783939.2305</v>
      </c>
    </row>
    <row r="137" ht="14.25" customHeight="1">
      <c r="B137" s="92"/>
      <c r="K137" s="92" t="s">
        <v>921</v>
      </c>
      <c r="L137" s="150">
        <v>0.25</v>
      </c>
      <c r="M137" s="143">
        <f t="shared" ref="M137:M138" si="243">M$136*L137</f>
        <v>284177971.1</v>
      </c>
      <c r="N137" s="147">
        <f t="shared" si="241"/>
        <v>195984.8076</v>
      </c>
    </row>
    <row r="138" ht="14.25" customHeight="1">
      <c r="B138" s="92"/>
      <c r="K138" s="92" t="s">
        <v>922</v>
      </c>
      <c r="L138" s="148">
        <v>0.0</v>
      </c>
      <c r="M138" s="143">
        <f t="shared" si="243"/>
        <v>0</v>
      </c>
      <c r="N138" s="147">
        <f t="shared" si="241"/>
        <v>0</v>
      </c>
    </row>
    <row r="139" ht="14.25" customHeight="1">
      <c r="A139" s="92"/>
      <c r="B139" s="92"/>
      <c r="C139" s="92"/>
      <c r="D139" s="92"/>
      <c r="E139" s="92"/>
      <c r="F139" s="92"/>
      <c r="G139" s="92"/>
      <c r="H139" s="92"/>
      <c r="I139" s="145" t="s">
        <v>923</v>
      </c>
      <c r="J139" s="145"/>
      <c r="K139" s="145"/>
      <c r="L139" s="152"/>
      <c r="M139" s="146">
        <f>SUM(M136:M138)</f>
        <v>1420889855</v>
      </c>
      <c r="N139" s="147">
        <f t="shared" si="241"/>
        <v>979924.0381</v>
      </c>
    </row>
    <row r="140" ht="14.25" customHeight="1">
      <c r="B140" s="92"/>
      <c r="K140" s="92" t="s">
        <v>924</v>
      </c>
      <c r="L140" s="148">
        <v>0.07</v>
      </c>
      <c r="M140" s="143">
        <f t="shared" ref="M140:M141" si="244">M$139*L140</f>
        <v>99462289.87</v>
      </c>
      <c r="N140" s="147">
        <f t="shared" si="241"/>
        <v>68594.68267</v>
      </c>
    </row>
    <row r="141" ht="14.25" customHeight="1">
      <c r="B141" s="92"/>
      <c r="K141" s="92" t="s">
        <v>925</v>
      </c>
      <c r="L141" s="148">
        <v>0.012</v>
      </c>
      <c r="M141" s="143">
        <f t="shared" si="244"/>
        <v>17050678.26</v>
      </c>
      <c r="N141" s="147">
        <f t="shared" si="241"/>
        <v>11759.08846</v>
      </c>
    </row>
    <row r="142" ht="14.25" customHeight="1">
      <c r="A142" s="92"/>
      <c r="B142" s="92"/>
      <c r="C142" s="92"/>
      <c r="D142" s="92"/>
      <c r="E142" s="92"/>
      <c r="F142" s="92"/>
      <c r="G142" s="92"/>
      <c r="H142" s="92"/>
      <c r="I142" s="145" t="s">
        <v>835</v>
      </c>
      <c r="J142" s="145"/>
      <c r="K142" s="145"/>
      <c r="L142" s="152"/>
      <c r="M142" s="146">
        <f>SUM(M139:M141)</f>
        <v>1537402823</v>
      </c>
      <c r="N142" s="147">
        <f t="shared" si="241"/>
        <v>1060277.809</v>
      </c>
    </row>
    <row r="143" ht="14.25" customHeight="1">
      <c r="B143" s="92"/>
      <c r="K143" s="92" t="s">
        <v>926</v>
      </c>
      <c r="L143" s="148">
        <v>0.21</v>
      </c>
      <c r="M143" s="143">
        <f>M142*L143</f>
        <v>322854592.9</v>
      </c>
      <c r="N143" s="147">
        <f t="shared" si="241"/>
        <v>222658.3399</v>
      </c>
    </row>
    <row r="144" ht="14.25" customHeight="1">
      <c r="A144" s="92"/>
      <c r="B144" s="92"/>
      <c r="C144" s="92"/>
      <c r="D144" s="92"/>
      <c r="E144" s="92"/>
      <c r="F144" s="92"/>
      <c r="G144" s="92"/>
      <c r="H144" s="92"/>
      <c r="I144" s="145" t="s">
        <v>927</v>
      </c>
      <c r="J144" s="145"/>
      <c r="K144" s="145"/>
      <c r="L144" s="146"/>
      <c r="M144" s="146">
        <f>SUM(M142:M143)</f>
        <v>1860257416</v>
      </c>
      <c r="N144" s="147">
        <f t="shared" si="241"/>
        <v>1282936.149</v>
      </c>
    </row>
    <row r="145" ht="14.25" customHeight="1">
      <c r="L145" s="153" t="s">
        <v>928</v>
      </c>
      <c r="M145" s="154">
        <f>L130</f>
        <v>566369893.5</v>
      </c>
      <c r="N145" s="147">
        <f t="shared" si="241"/>
        <v>390599.9266</v>
      </c>
    </row>
    <row r="146" ht="14.25" customHeight="1"/>
    <row r="147" ht="14.25" customHeight="1"/>
    <row r="148" ht="14.25" customHeight="1">
      <c r="J148" s="155"/>
      <c r="K148" s="156" t="s">
        <v>929</v>
      </c>
      <c r="N148" s="151"/>
    </row>
    <row r="149" ht="14.25" customHeight="1">
      <c r="J149" s="156" t="s">
        <v>866</v>
      </c>
      <c r="K149" s="156">
        <v>25.0</v>
      </c>
      <c r="N149" s="157"/>
      <c r="O149" s="86"/>
    </row>
    <row r="150" ht="14.25" customHeight="1">
      <c r="J150" s="156" t="s">
        <v>930</v>
      </c>
      <c r="K150" s="156">
        <f>9+9+3+18</f>
        <v>39</v>
      </c>
    </row>
    <row r="151" ht="14.25" customHeight="1">
      <c r="J151" s="156" t="s">
        <v>931</v>
      </c>
      <c r="K151" s="156">
        <f>18+18+25+7+2+8+2+2+6+13</f>
        <v>101</v>
      </c>
      <c r="N151" s="151"/>
    </row>
    <row r="152" ht="14.25" customHeight="1">
      <c r="J152" s="156" t="s">
        <v>932</v>
      </c>
      <c r="K152" s="156">
        <f>15+12+19+8+2+2+3+7</f>
        <v>68</v>
      </c>
      <c r="N152" s="157"/>
      <c r="O152" s="86"/>
    </row>
    <row r="153" ht="14.25" customHeight="1">
      <c r="J153" s="156" t="s">
        <v>933</v>
      </c>
      <c r="K153" s="156">
        <f>13+13+13+8+2+6+8</f>
        <v>63</v>
      </c>
    </row>
    <row r="154" ht="14.25" customHeight="1">
      <c r="J154" s="156" t="s">
        <v>934</v>
      </c>
      <c r="K154" s="155">
        <f>K153</f>
        <v>63</v>
      </c>
    </row>
    <row r="155" ht="14.25" customHeight="1">
      <c r="J155" s="156" t="s">
        <v>935</v>
      </c>
      <c r="K155" s="155">
        <f>K153</f>
        <v>63</v>
      </c>
    </row>
    <row r="156" ht="14.25" customHeight="1">
      <c r="J156" s="156" t="s">
        <v>936</v>
      </c>
      <c r="K156" s="155">
        <f>K153</f>
        <v>63</v>
      </c>
    </row>
    <row r="157" ht="14.25" customHeight="1">
      <c r="J157" s="156" t="s">
        <v>937</v>
      </c>
      <c r="K157" s="155">
        <f>K153</f>
        <v>63</v>
      </c>
    </row>
    <row r="158" ht="14.25" customHeight="1">
      <c r="J158" s="156" t="s">
        <v>938</v>
      </c>
      <c r="K158" s="155">
        <f>K153</f>
        <v>63</v>
      </c>
    </row>
    <row r="159" ht="14.25" customHeight="1">
      <c r="J159" s="156" t="s">
        <v>939</v>
      </c>
      <c r="K159" s="155">
        <f>K153</f>
        <v>63</v>
      </c>
    </row>
    <row r="160" ht="14.25" customHeight="1">
      <c r="J160" s="156" t="s">
        <v>940</v>
      </c>
      <c r="K160" s="155">
        <f>K153</f>
        <v>63</v>
      </c>
    </row>
    <row r="161" ht="14.25" customHeight="1">
      <c r="J161" s="156" t="s">
        <v>941</v>
      </c>
      <c r="K161" s="156">
        <f>7+7+7+5+2+6+5+5</f>
        <v>44</v>
      </c>
    </row>
    <row r="162" ht="14.25" customHeight="1"/>
    <row r="163" ht="14.25" customHeight="1">
      <c r="J163" s="156" t="s">
        <v>942</v>
      </c>
      <c r="K163" s="156">
        <f>SUM(K149:K161)</f>
        <v>781</v>
      </c>
    </row>
    <row r="164" ht="14.25" customHeight="1"/>
    <row r="165" ht="14.25" customHeight="1">
      <c r="J165" s="156" t="s">
        <v>943</v>
      </c>
      <c r="K165" s="158">
        <f>K163/23</f>
        <v>33.95652174</v>
      </c>
    </row>
    <row r="166" ht="14.25" customHeight="1"/>
    <row r="167" ht="14.25" customHeight="1"/>
    <row r="168" ht="14.25" customHeight="1">
      <c r="J168" s="159" t="s">
        <v>944</v>
      </c>
    </row>
    <row r="169" ht="14.25" customHeight="1">
      <c r="J169" s="155"/>
      <c r="K169" s="156" t="s">
        <v>825</v>
      </c>
    </row>
    <row r="170" ht="14.25" customHeight="1">
      <c r="J170" s="156" t="s">
        <v>866</v>
      </c>
      <c r="K170" s="156">
        <v>1.0</v>
      </c>
      <c r="L170" s="153">
        <v>1.0</v>
      </c>
    </row>
    <row r="171" ht="14.25" customHeight="1">
      <c r="J171" s="156" t="s">
        <v>930</v>
      </c>
      <c r="K171" s="156">
        <v>1.0</v>
      </c>
      <c r="L171" s="153">
        <v>1.0</v>
      </c>
    </row>
    <row r="172" ht="14.25" customHeight="1">
      <c r="J172" s="156" t="s">
        <v>931</v>
      </c>
      <c r="K172" s="156">
        <v>2.0</v>
      </c>
    </row>
    <row r="173" ht="14.25" customHeight="1">
      <c r="J173" s="156" t="s">
        <v>932</v>
      </c>
      <c r="K173" s="156">
        <v>2.0</v>
      </c>
    </row>
    <row r="174" ht="14.25" customHeight="1">
      <c r="J174" s="156" t="s">
        <v>933</v>
      </c>
      <c r="K174" s="156">
        <v>1.5</v>
      </c>
    </row>
    <row r="175" ht="14.25" customHeight="1">
      <c r="J175" s="156" t="s">
        <v>934</v>
      </c>
      <c r="K175" s="156">
        <v>1.5</v>
      </c>
    </row>
    <row r="176" ht="14.25" customHeight="1">
      <c r="J176" s="156" t="s">
        <v>935</v>
      </c>
      <c r="K176" s="156">
        <v>1.5</v>
      </c>
    </row>
    <row r="177" ht="14.25" customHeight="1">
      <c r="J177" s="156" t="s">
        <v>936</v>
      </c>
      <c r="K177" s="156">
        <v>1.5</v>
      </c>
    </row>
    <row r="178" ht="14.25" customHeight="1">
      <c r="J178" s="156" t="s">
        <v>937</v>
      </c>
      <c r="K178" s="156">
        <v>1.5</v>
      </c>
    </row>
    <row r="179" ht="14.25" customHeight="1">
      <c r="J179" s="156" t="s">
        <v>938</v>
      </c>
      <c r="K179" s="156">
        <v>1.5</v>
      </c>
    </row>
    <row r="180" ht="14.25" customHeight="1">
      <c r="J180" s="156" t="s">
        <v>939</v>
      </c>
      <c r="K180" s="156">
        <v>1.5</v>
      </c>
    </row>
    <row r="181" ht="14.25" customHeight="1">
      <c r="J181" s="156" t="s">
        <v>940</v>
      </c>
      <c r="K181" s="156">
        <v>1.5</v>
      </c>
    </row>
    <row r="182" ht="14.25" customHeight="1">
      <c r="J182" s="156" t="s">
        <v>941</v>
      </c>
      <c r="K182" s="156">
        <v>1.0</v>
      </c>
    </row>
    <row r="183" ht="14.25" customHeight="1"/>
    <row r="184" ht="14.25" customHeight="1">
      <c r="J184" s="156" t="s">
        <v>945</v>
      </c>
      <c r="K184" s="156">
        <f>SUM(K170:K182)</f>
        <v>19</v>
      </c>
    </row>
    <row r="185" ht="14.25" customHeight="1"/>
    <row r="186" ht="14.25" customHeight="1">
      <c r="J186" s="156"/>
      <c r="K186" s="158"/>
    </row>
    <row r="187" ht="14.25" customHeight="1"/>
    <row r="188" ht="14.25" customHeight="1">
      <c r="L188" s="153" t="s">
        <v>946</v>
      </c>
      <c r="M188" s="153" t="s">
        <v>947</v>
      </c>
      <c r="N188" s="153" t="s">
        <v>948</v>
      </c>
    </row>
    <row r="189" ht="14.25" customHeight="1">
      <c r="L189" s="159">
        <v>1.0</v>
      </c>
      <c r="M189" s="153" t="s">
        <v>949</v>
      </c>
    </row>
    <row r="190" ht="14.25" customHeight="1">
      <c r="L190" s="159">
        <v>2.0</v>
      </c>
      <c r="M190" s="153" t="s">
        <v>949</v>
      </c>
    </row>
    <row r="191" ht="14.25" customHeight="1">
      <c r="L191" s="159">
        <v>3.0</v>
      </c>
      <c r="M191" s="153" t="s">
        <v>949</v>
      </c>
    </row>
    <row r="192" ht="14.25" customHeight="1">
      <c r="L192" s="159">
        <v>4.0</v>
      </c>
      <c r="M192" s="153" t="s">
        <v>950</v>
      </c>
    </row>
    <row r="193" ht="14.25" customHeight="1">
      <c r="L193" s="159">
        <v>5.0</v>
      </c>
      <c r="M193" s="153" t="s">
        <v>951</v>
      </c>
    </row>
    <row r="194" ht="14.25" customHeight="1">
      <c r="L194" s="159">
        <v>6.0</v>
      </c>
      <c r="M194" s="153" t="s">
        <v>952</v>
      </c>
    </row>
    <row r="195" ht="14.25" customHeight="1">
      <c r="L195" s="159">
        <v>7.0</v>
      </c>
      <c r="M195" s="153" t="s">
        <v>953</v>
      </c>
      <c r="N195" s="153" t="s">
        <v>949</v>
      </c>
    </row>
    <row r="196" ht="14.25" customHeight="1">
      <c r="L196" s="159">
        <v>8.0</v>
      </c>
      <c r="M196" s="153" t="s">
        <v>954</v>
      </c>
      <c r="N196" s="153" t="s">
        <v>950</v>
      </c>
    </row>
    <row r="197" ht="14.25" customHeight="1">
      <c r="L197" s="159">
        <v>9.0</v>
      </c>
      <c r="M197" s="153" t="s">
        <v>955</v>
      </c>
      <c r="N197" s="153" t="s">
        <v>951</v>
      </c>
    </row>
    <row r="198" ht="14.25" customHeight="1">
      <c r="L198" s="159">
        <v>10.0</v>
      </c>
      <c r="M198" s="153" t="s">
        <v>956</v>
      </c>
      <c r="N198" s="153" t="s">
        <v>952</v>
      </c>
    </row>
    <row r="199" ht="14.25" customHeight="1">
      <c r="L199" s="159">
        <v>11.0</v>
      </c>
      <c r="M199" s="153" t="s">
        <v>957</v>
      </c>
      <c r="N199" s="153" t="s">
        <v>953</v>
      </c>
    </row>
    <row r="200" ht="14.25" customHeight="1">
      <c r="L200" s="159">
        <v>12.0</v>
      </c>
      <c r="M200" s="153" t="s">
        <v>958</v>
      </c>
      <c r="N200" s="153" t="s">
        <v>954</v>
      </c>
    </row>
    <row r="201" ht="14.25" customHeight="1">
      <c r="L201" s="159">
        <v>13.0</v>
      </c>
      <c r="M201" s="153" t="s">
        <v>959</v>
      </c>
      <c r="N201" s="153" t="s">
        <v>955</v>
      </c>
    </row>
    <row r="202" ht="14.25" customHeight="1">
      <c r="L202" s="159">
        <v>14.0</v>
      </c>
      <c r="N202" s="153" t="s">
        <v>956</v>
      </c>
    </row>
    <row r="203" ht="14.25" customHeight="1">
      <c r="L203" s="159">
        <v>15.0</v>
      </c>
      <c r="N203" s="153" t="s">
        <v>957</v>
      </c>
    </row>
    <row r="204" ht="14.25" customHeight="1">
      <c r="L204" s="159">
        <v>16.0</v>
      </c>
      <c r="N204" s="153" t="s">
        <v>960</v>
      </c>
    </row>
    <row r="205" ht="14.25" customHeight="1">
      <c r="L205" s="159">
        <v>17.0</v>
      </c>
    </row>
    <row r="206" ht="14.25" customHeight="1">
      <c r="L206" s="159">
        <v>18.0</v>
      </c>
    </row>
    <row r="207" ht="14.25" customHeight="1">
      <c r="L207" s="159">
        <v>19.0</v>
      </c>
    </row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</sheetData>
  <mergeCells count="15">
    <mergeCell ref="E5:N5"/>
    <mergeCell ref="E6:K6"/>
    <mergeCell ref="L6:N6"/>
    <mergeCell ref="J168:K168"/>
    <mergeCell ref="O6:Q6"/>
    <mergeCell ref="R6:T6"/>
    <mergeCell ref="U6:W6"/>
    <mergeCell ref="X6:Z6"/>
    <mergeCell ref="A5:A7"/>
    <mergeCell ref="B5:B7"/>
    <mergeCell ref="C5:C7"/>
    <mergeCell ref="D5:D7"/>
    <mergeCell ref="O5:Q5"/>
    <mergeCell ref="R5:T5"/>
    <mergeCell ref="U5:Z5"/>
  </mergeCells>
  <printOptions/>
  <pageMargins bottom="0.7480314960629921" footer="0.0" header="0.0" left="0.7086614173228347" right="0.7086614173228347" top="0.7480314960629921"/>
  <pageSetup paperSize="9" scale="80"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103.29"/>
    <col customWidth="1" min="3" max="3" width="7.71"/>
    <col customWidth="1" min="4" max="4" width="11.57"/>
    <col customWidth="1" min="5" max="10" width="20.71"/>
    <col customWidth="1" min="11" max="21" width="8.71"/>
  </cols>
  <sheetData>
    <row r="1" ht="33.75" customHeight="1">
      <c r="A1" s="160" t="s">
        <v>827</v>
      </c>
      <c r="B1" s="91"/>
      <c r="J1" s="92"/>
    </row>
    <row r="2">
      <c r="A2" s="161"/>
    </row>
    <row r="3">
      <c r="A3" s="162" t="s">
        <v>961</v>
      </c>
    </row>
    <row r="5" ht="30.75" customHeight="1">
      <c r="A5" s="93" t="s">
        <v>828</v>
      </c>
      <c r="B5" s="93"/>
      <c r="C5" s="94"/>
      <c r="D5" s="94"/>
      <c r="E5" s="94"/>
      <c r="F5" s="94"/>
      <c r="G5" s="94"/>
      <c r="H5" s="94"/>
      <c r="I5" s="94"/>
      <c r="J5" s="94"/>
    </row>
    <row r="6" ht="15.0" customHeight="1">
      <c r="C6" s="92"/>
    </row>
    <row r="7" ht="14.25" customHeight="1">
      <c r="A7" s="95" t="s">
        <v>829</v>
      </c>
      <c r="B7" s="96" t="s">
        <v>830</v>
      </c>
      <c r="C7" s="95" t="s">
        <v>3</v>
      </c>
      <c r="D7" s="97" t="s">
        <v>831</v>
      </c>
      <c r="E7" s="101" t="s">
        <v>835</v>
      </c>
      <c r="F7" s="99"/>
      <c r="G7" s="99"/>
      <c r="H7" s="99"/>
      <c r="I7" s="99"/>
      <c r="J7" s="102"/>
    </row>
    <row r="8" ht="14.25" customHeight="1">
      <c r="A8" s="103"/>
      <c r="B8" s="103"/>
      <c r="C8" s="103"/>
      <c r="D8" s="104"/>
      <c r="E8" s="110" t="s">
        <v>839</v>
      </c>
      <c r="F8" s="106"/>
      <c r="G8" s="107"/>
      <c r="H8" s="111" t="s">
        <v>837</v>
      </c>
      <c r="I8" s="106"/>
      <c r="J8" s="112"/>
    </row>
    <row r="9" ht="14.25" customHeight="1">
      <c r="A9" s="113"/>
      <c r="B9" s="113"/>
      <c r="C9" s="113"/>
      <c r="D9" s="114"/>
      <c r="E9" s="118" t="s">
        <v>840</v>
      </c>
      <c r="F9" s="119" t="s">
        <v>847</v>
      </c>
      <c r="G9" s="119" t="s">
        <v>846</v>
      </c>
      <c r="H9" s="119" t="s">
        <v>840</v>
      </c>
      <c r="I9" s="119" t="s">
        <v>847</v>
      </c>
      <c r="J9" s="121" t="s">
        <v>846</v>
      </c>
    </row>
    <row r="10" ht="14.25" customHeight="1">
      <c r="A10" s="122" t="s">
        <v>848</v>
      </c>
      <c r="B10" s="123"/>
      <c r="C10" s="124"/>
      <c r="D10" s="125"/>
      <c r="E10" s="124"/>
      <c r="F10" s="124"/>
      <c r="G10" s="124"/>
      <c r="H10" s="124"/>
      <c r="I10" s="124"/>
      <c r="J10" s="124"/>
    </row>
    <row r="11" ht="14.25" customHeight="1">
      <c r="A11" s="163" t="str">
        <f>'01_C&amp;P'!A9</f>
        <v>0.1</v>
      </c>
      <c r="B11" s="163" t="str">
        <f>'01_C&amp;P'!B9</f>
        <v>OBRADOR</v>
      </c>
      <c r="C11" s="116" t="str">
        <f>'01_C&amp;P'!C9</f>
        <v>mes</v>
      </c>
      <c r="D11" s="164">
        <f>'01_C&amp;P'!D9</f>
        <v>16</v>
      </c>
      <c r="E11" s="131" t="str">
        <f>'01_C&amp;P'!U9</f>
        <v/>
      </c>
      <c r="F11" s="131">
        <f>'01_C&amp;P'!V9</f>
        <v>1081188.5</v>
      </c>
      <c r="G11" s="131">
        <f>'01_C&amp;P'!W9</f>
        <v>1081188.5</v>
      </c>
      <c r="H11" s="131">
        <f>'01_C&amp;P'!X9</f>
        <v>0</v>
      </c>
      <c r="I11" s="131">
        <f>'01_C&amp;P'!Y9</f>
        <v>17299016</v>
      </c>
      <c r="J11" s="131">
        <f t="shared" ref="J11:J18" si="1">H11+I11</f>
        <v>17299016</v>
      </c>
    </row>
    <row r="12" ht="14.25" customHeight="1">
      <c r="A12" s="163" t="str">
        <f>'01_C&amp;P'!A10</f>
        <v>0.2</v>
      </c>
      <c r="B12" s="163" t="str">
        <f>'01_C&amp;P'!B10</f>
        <v>BANOS QUIMICOS (2)</v>
      </c>
      <c r="C12" s="116" t="str">
        <f>'01_C&amp;P'!C10</f>
        <v>mes</v>
      </c>
      <c r="D12" s="164">
        <f>'01_C&amp;P'!D10</f>
        <v>16</v>
      </c>
      <c r="E12" s="131" t="str">
        <f>'01_C&amp;P'!U10</f>
        <v/>
      </c>
      <c r="F12" s="131">
        <f>'01_C&amp;P'!V10</f>
        <v>370693.2</v>
      </c>
      <c r="G12" s="131">
        <f>'01_C&amp;P'!W10</f>
        <v>370693.2</v>
      </c>
      <c r="H12" s="131">
        <f>'01_C&amp;P'!X10</f>
        <v>0</v>
      </c>
      <c r="I12" s="131">
        <f>'01_C&amp;P'!Y10</f>
        <v>5931091.2</v>
      </c>
      <c r="J12" s="131">
        <f t="shared" si="1"/>
        <v>5931091.2</v>
      </c>
    </row>
    <row r="13" ht="14.25" customHeight="1">
      <c r="A13" s="163" t="str">
        <f>'01_C&amp;P'!A11</f>
        <v>0.3</v>
      </c>
      <c r="B13" s="163" t="str">
        <f>'01_C&amp;P'!B11</f>
        <v>INSTALACIONES PROVISORIAS</v>
      </c>
      <c r="C13" s="116" t="str">
        <f>'01_C&amp;P'!C11</f>
        <v>gl</v>
      </c>
      <c r="D13" s="165">
        <f>'01_C&amp;P'!D11</f>
        <v>1</v>
      </c>
      <c r="E13" s="131" t="str">
        <f>'01_C&amp;P'!U11</f>
        <v/>
      </c>
      <c r="F13" s="131">
        <f>'01_C&amp;P'!V11</f>
        <v>7722775</v>
      </c>
      <c r="G13" s="131">
        <f>'01_C&amp;P'!W11</f>
        <v>7722775</v>
      </c>
      <c r="H13" s="131">
        <f>'01_C&amp;P'!X11</f>
        <v>0</v>
      </c>
      <c r="I13" s="131">
        <f>'01_C&amp;P'!Y11</f>
        <v>7722775</v>
      </c>
      <c r="J13" s="131">
        <f t="shared" si="1"/>
        <v>7722775</v>
      </c>
    </row>
    <row r="14" ht="14.25" customHeight="1">
      <c r="A14" s="163" t="str">
        <f>'01_C&amp;P'!A12</f>
        <v>0.4</v>
      </c>
      <c r="B14" s="163" t="str">
        <f>'01_C&amp;P'!B12</f>
        <v>LIMPIEZA PERIODICA DE OBRA</v>
      </c>
      <c r="C14" s="116" t="str">
        <f>'01_C&amp;P'!C12</f>
        <v>mes</v>
      </c>
      <c r="D14" s="164">
        <f>'01_C&amp;P'!D12</f>
        <v>16</v>
      </c>
      <c r="E14" s="131" t="str">
        <f>'01_C&amp;P'!U12</f>
        <v/>
      </c>
      <c r="F14" s="131">
        <f>'01_C&amp;P'!V12</f>
        <v>1544555</v>
      </c>
      <c r="G14" s="131">
        <f>'01_C&amp;P'!W12</f>
        <v>1544555</v>
      </c>
      <c r="H14" s="131">
        <f>'01_C&amp;P'!X12</f>
        <v>0</v>
      </c>
      <c r="I14" s="131">
        <f>'01_C&amp;P'!Y12</f>
        <v>24712880</v>
      </c>
      <c r="J14" s="131">
        <f t="shared" si="1"/>
        <v>24712880</v>
      </c>
    </row>
    <row r="15" ht="14.25" customHeight="1">
      <c r="A15" s="163" t="str">
        <f>'01_C&amp;P'!A13</f>
        <v>0.5</v>
      </c>
      <c r="B15" s="163" t="str">
        <f>'01_C&amp;P'!B13</f>
        <v>ACARREO DE MATERIALES</v>
      </c>
      <c r="C15" s="116" t="str">
        <f>'01_C&amp;P'!C13</f>
        <v>mes</v>
      </c>
      <c r="D15" s="164">
        <f>'01_C&amp;P'!D13</f>
        <v>16</v>
      </c>
      <c r="E15" s="131" t="str">
        <f>'01_C&amp;P'!U13</f>
        <v/>
      </c>
      <c r="F15" s="131">
        <f>'01_C&amp;P'!V13</f>
        <v>1544555</v>
      </c>
      <c r="G15" s="131">
        <f>'01_C&amp;P'!W13</f>
        <v>1544555</v>
      </c>
      <c r="H15" s="131">
        <f>'01_C&amp;P'!X13</f>
        <v>0</v>
      </c>
      <c r="I15" s="131">
        <f>'01_C&amp;P'!Y13</f>
        <v>24712880</v>
      </c>
      <c r="J15" s="131">
        <f t="shared" si="1"/>
        <v>24712880</v>
      </c>
    </row>
    <row r="16" ht="14.25" customHeight="1">
      <c r="A16" s="163" t="str">
        <f>'01_C&amp;P'!A14</f>
        <v>0.6</v>
      </c>
      <c r="B16" s="163" t="str">
        <f>'01_C&amp;P'!B14</f>
        <v>AYUDA DE GREMIOS</v>
      </c>
      <c r="C16" s="116" t="str">
        <f>'01_C&amp;P'!C14</f>
        <v>mes</v>
      </c>
      <c r="D16" s="164">
        <f>'01_C&amp;P'!D14</f>
        <v>16</v>
      </c>
      <c r="E16" s="131" t="str">
        <f>'01_C&amp;P'!U14</f>
        <v/>
      </c>
      <c r="F16" s="131">
        <f>'01_C&amp;P'!V14</f>
        <v>4633665</v>
      </c>
      <c r="G16" s="131">
        <f>'01_C&amp;P'!W14</f>
        <v>4633665</v>
      </c>
      <c r="H16" s="131">
        <f>'01_C&amp;P'!X14</f>
        <v>0</v>
      </c>
      <c r="I16" s="131">
        <f>'01_C&amp;P'!Y14</f>
        <v>74138640</v>
      </c>
      <c r="J16" s="131">
        <f t="shared" si="1"/>
        <v>74138640</v>
      </c>
    </row>
    <row r="17" ht="14.25" customHeight="1">
      <c r="A17" s="163" t="str">
        <f>'01_C&amp;P'!A15</f>
        <v>0.7</v>
      </c>
      <c r="B17" s="163" t="str">
        <f>'01_C&amp;P'!B15</f>
        <v>LIMPIEZA FINAL</v>
      </c>
      <c r="C17" s="116" t="str">
        <f>'01_C&amp;P'!C15</f>
        <v>gl</v>
      </c>
      <c r="D17" s="165">
        <f>'01_C&amp;P'!D15</f>
        <v>1</v>
      </c>
      <c r="E17" s="131" t="str">
        <f>'01_C&amp;P'!U15</f>
        <v/>
      </c>
      <c r="F17" s="131">
        <f>'01_C&amp;P'!V15</f>
        <v>3089110</v>
      </c>
      <c r="G17" s="131">
        <f>'01_C&amp;P'!W15</f>
        <v>3089110</v>
      </c>
      <c r="H17" s="131">
        <f>'01_C&amp;P'!X15</f>
        <v>0</v>
      </c>
      <c r="I17" s="131">
        <f>'01_C&amp;P'!Y15</f>
        <v>3089110</v>
      </c>
      <c r="J17" s="131">
        <f t="shared" si="1"/>
        <v>3089110</v>
      </c>
    </row>
    <row r="18" ht="14.25" customHeight="1">
      <c r="A18" s="163" t="str">
        <f>'01_C&amp;P'!A16</f>
        <v>0.8</v>
      </c>
      <c r="B18" s="163" t="str">
        <f>'01_C&amp;P'!B16</f>
        <v>ESTRUCTURA DE ENCOFRADO Y APUNTALAMIENTO PROVISORIO</v>
      </c>
      <c r="C18" s="116" t="str">
        <f>'01_C&amp;P'!C16</f>
        <v>gl</v>
      </c>
      <c r="D18" s="165">
        <f>'01_C&amp;P'!D16</f>
        <v>1</v>
      </c>
      <c r="E18" s="131" t="str">
        <f>'01_C&amp;P'!U16</f>
        <v/>
      </c>
      <c r="F18" s="131">
        <f>'01_C&amp;P'!V16</f>
        <v>199467922.7</v>
      </c>
      <c r="G18" s="131">
        <f>'01_C&amp;P'!W16</f>
        <v>199467922.7</v>
      </c>
      <c r="H18" s="131">
        <f>'01_C&amp;P'!X16</f>
        <v>0</v>
      </c>
      <c r="I18" s="131">
        <f>'01_C&amp;P'!Y16</f>
        <v>199467922.7</v>
      </c>
      <c r="J18" s="131">
        <f t="shared" si="1"/>
        <v>199467922.7</v>
      </c>
    </row>
    <row r="19" ht="14.25" customHeight="1">
      <c r="A19" s="135" t="str">
        <f>'01_C&amp;P'!A17</f>
        <v>EXCAVACION</v>
      </c>
      <c r="B19" s="135"/>
      <c r="C19" s="135"/>
      <c r="D19" s="135"/>
      <c r="E19" s="125"/>
      <c r="F19" s="125"/>
      <c r="G19" s="125"/>
      <c r="H19" s="125"/>
      <c r="I19" s="125"/>
      <c r="J19" s="125"/>
    </row>
    <row r="20" ht="14.25" customHeight="1">
      <c r="A20" s="163" t="str">
        <f>'01_C&amp;P'!A18</f>
        <v>0.9</v>
      </c>
      <c r="B20" s="163" t="str">
        <f>'01_C&amp;P'!B18</f>
        <v>EXCAVACION BASES Y TRONCOS</v>
      </c>
      <c r="C20" s="116" t="str">
        <f>'01_C&amp;P'!C18</f>
        <v>m³</v>
      </c>
      <c r="D20" s="165">
        <f>'01_C&amp;P'!D18</f>
        <v>366.36</v>
      </c>
      <c r="E20" s="131">
        <f>'01_C&amp;P'!U18</f>
        <v>0</v>
      </c>
      <c r="F20" s="131">
        <f>'01_C&amp;P'!V18</f>
        <v>57927.13642</v>
      </c>
      <c r="G20" s="131">
        <f>'01_C&amp;P'!W18</f>
        <v>57927.13642</v>
      </c>
      <c r="H20" s="131">
        <f>'01_C&amp;P'!X18</f>
        <v>0</v>
      </c>
      <c r="I20" s="131">
        <f>'01_C&amp;P'!Y18</f>
        <v>21222185.7</v>
      </c>
      <c r="J20" s="131">
        <f t="shared" ref="J20:J22" si="2">H20+I20</f>
        <v>21222185.7</v>
      </c>
    </row>
    <row r="21" ht="14.25" customHeight="1">
      <c r="A21" s="163" t="str">
        <f>'01_C&amp;P'!A19</f>
        <v>0.10</v>
      </c>
      <c r="B21" s="163" t="str">
        <f>'01_C&amp;P'!B19</f>
        <v>EXCAVACION TENSORES</v>
      </c>
      <c r="C21" s="116" t="str">
        <f>'01_C&amp;P'!C19</f>
        <v>m³</v>
      </c>
      <c r="D21" s="165">
        <f>'01_C&amp;P'!D19</f>
        <v>5.4</v>
      </c>
      <c r="E21" s="131">
        <f>'01_C&amp;P'!U19</f>
        <v>0</v>
      </c>
      <c r="F21" s="131">
        <f>'01_C&amp;P'!V19</f>
        <v>77227.75</v>
      </c>
      <c r="G21" s="131">
        <f>'01_C&amp;P'!W19</f>
        <v>77227.75</v>
      </c>
      <c r="H21" s="131">
        <f>'01_C&amp;P'!X19</f>
        <v>0</v>
      </c>
      <c r="I21" s="131">
        <f>'01_C&amp;P'!Y19</f>
        <v>417029.85</v>
      </c>
      <c r="J21" s="131">
        <f t="shared" si="2"/>
        <v>417029.85</v>
      </c>
    </row>
    <row r="22" ht="14.25" customHeight="1">
      <c r="A22" s="163" t="str">
        <f>'01_C&amp;P'!A20</f>
        <v>0.11</v>
      </c>
      <c r="B22" s="163" t="str">
        <f>'01_C&amp;P'!B20</f>
        <v>EXCAVACION TRONERAS</v>
      </c>
      <c r="C22" s="116" t="str">
        <f>'01_C&amp;P'!C20</f>
        <v>m³</v>
      </c>
      <c r="D22" s="165">
        <f>'01_C&amp;P'!D20</f>
        <v>276</v>
      </c>
      <c r="E22" s="131">
        <f>'01_C&amp;P'!U20</f>
        <v>0</v>
      </c>
      <c r="F22" s="131">
        <f>'01_C&amp;P'!V20</f>
        <v>57920.8125</v>
      </c>
      <c r="G22" s="131">
        <f>'01_C&amp;P'!W20</f>
        <v>57920.8125</v>
      </c>
      <c r="H22" s="131">
        <f>'01_C&amp;P'!X20</f>
        <v>0</v>
      </c>
      <c r="I22" s="131">
        <f>'01_C&amp;P'!Y20</f>
        <v>15986144.25</v>
      </c>
      <c r="J22" s="131">
        <f t="shared" si="2"/>
        <v>15986144.25</v>
      </c>
    </row>
    <row r="23" ht="14.25" customHeight="1">
      <c r="A23" s="135" t="str">
        <f>'01_C&amp;P'!A21</f>
        <v>OBRA GRIS - FUNDACIONES</v>
      </c>
      <c r="B23" s="135"/>
      <c r="C23" s="135"/>
      <c r="D23" s="135"/>
      <c r="E23" s="125"/>
      <c r="F23" s="125"/>
      <c r="G23" s="125"/>
      <c r="H23" s="125"/>
      <c r="I23" s="125"/>
      <c r="J23" s="125"/>
    </row>
    <row r="24" ht="14.25" customHeight="1">
      <c r="A24" s="163" t="str">
        <f>'01_C&amp;P'!A22</f>
        <v>0.12</v>
      </c>
      <c r="B24" s="163" t="str">
        <f>'01_C&amp;P'!B22</f>
        <v>BASES</v>
      </c>
      <c r="C24" s="116" t="str">
        <f>'01_C&amp;P'!C22</f>
        <v>m³</v>
      </c>
      <c r="D24" s="165">
        <f>'01_C&amp;P'!D22</f>
        <v>108</v>
      </c>
      <c r="E24" s="131">
        <f>'01_C&amp;P'!U22</f>
        <v>264204.4859</v>
      </c>
      <c r="F24" s="131">
        <f>'01_C&amp;P'!V22</f>
        <v>109835.0222</v>
      </c>
      <c r="G24" s="131">
        <f>'01_C&amp;P'!W22</f>
        <v>374039.5081</v>
      </c>
      <c r="H24" s="131">
        <f>'01_C&amp;P'!X22</f>
        <v>28534084.48</v>
      </c>
      <c r="I24" s="131">
        <f>'01_C&amp;P'!Y22</f>
        <v>11862182.4</v>
      </c>
      <c r="J24" s="131">
        <f t="shared" ref="J24:J27" si="3">H24+I24</f>
        <v>40396266.88</v>
      </c>
    </row>
    <row r="25" ht="14.25" customHeight="1">
      <c r="A25" s="163" t="str">
        <f>'01_C&amp;P'!A23</f>
        <v>0.13</v>
      </c>
      <c r="B25" s="163" t="str">
        <f>'01_C&amp;P'!B23</f>
        <v>TRONCOS</v>
      </c>
      <c r="C25" s="116" t="str">
        <f>'01_C&amp;P'!C23</f>
        <v>m³</v>
      </c>
      <c r="D25" s="165">
        <f>'01_C&amp;P'!D23</f>
        <v>20</v>
      </c>
      <c r="E25" s="131">
        <f>'01_C&amp;P'!U23</f>
        <v>290615.563</v>
      </c>
      <c r="F25" s="131">
        <f>'01_C&amp;P'!V23</f>
        <v>562951.6836</v>
      </c>
      <c r="G25" s="131">
        <f>'01_C&amp;P'!W23</f>
        <v>853567.2466</v>
      </c>
      <c r="H25" s="131">
        <f>'01_C&amp;P'!X23</f>
        <v>5812311.26</v>
      </c>
      <c r="I25" s="131">
        <f>'01_C&amp;P'!Y23</f>
        <v>11259033.67</v>
      </c>
      <c r="J25" s="131">
        <f t="shared" si="3"/>
        <v>17071344.93</v>
      </c>
    </row>
    <row r="26" ht="14.25" customHeight="1">
      <c r="A26" s="163" t="str">
        <f>'01_C&amp;P'!A24</f>
        <v>0.14</v>
      </c>
      <c r="B26" s="163" t="str">
        <f>'01_C&amp;P'!B24</f>
        <v>TENSORES</v>
      </c>
      <c r="C26" s="116" t="str">
        <f>'01_C&amp;P'!C24</f>
        <v>m³</v>
      </c>
      <c r="D26" s="165">
        <f>'01_C&amp;P'!D24</f>
        <v>5.4</v>
      </c>
      <c r="E26" s="131">
        <f>'01_C&amp;P'!U24</f>
        <v>389379.4444</v>
      </c>
      <c r="F26" s="131">
        <f>'01_C&amp;P'!V24</f>
        <v>596369.8472</v>
      </c>
      <c r="G26" s="131">
        <f>'01_C&amp;P'!W24</f>
        <v>985749.2917</v>
      </c>
      <c r="H26" s="131">
        <f>'01_C&amp;P'!X24</f>
        <v>2102649</v>
      </c>
      <c r="I26" s="131">
        <f>'01_C&amp;P'!Y24</f>
        <v>3220397.175</v>
      </c>
      <c r="J26" s="131">
        <f t="shared" si="3"/>
        <v>5323046.175</v>
      </c>
    </row>
    <row r="27" ht="14.25" customHeight="1">
      <c r="A27" s="163" t="str">
        <f>'01_C&amp;P'!A25</f>
        <v>0.15</v>
      </c>
      <c r="B27" s="163" t="str">
        <f>'01_C&amp;P'!B25</f>
        <v>TABIQUES DE SUBMURACION</v>
      </c>
      <c r="C27" s="116" t="str">
        <f>'01_C&amp;P'!C25</f>
        <v>m³</v>
      </c>
      <c r="D27" s="165">
        <f>'01_C&amp;P'!D25</f>
        <v>42.75</v>
      </c>
      <c r="E27" s="131">
        <f>'01_C&amp;P'!U25</f>
        <v>442353.6842</v>
      </c>
      <c r="F27" s="131">
        <f>'01_C&amp;P'!V25</f>
        <v>578259.714</v>
      </c>
      <c r="G27" s="131">
        <f>'01_C&amp;P'!W25</f>
        <v>1020613.398</v>
      </c>
      <c r="H27" s="131">
        <f>'01_C&amp;P'!X25</f>
        <v>18910620</v>
      </c>
      <c r="I27" s="131">
        <f>'01_C&amp;P'!Y25</f>
        <v>24720602.78</v>
      </c>
      <c r="J27" s="131">
        <f t="shared" si="3"/>
        <v>43631222.78</v>
      </c>
    </row>
    <row r="28" ht="14.25" customHeight="1">
      <c r="A28" s="135" t="str">
        <f>'01_C&amp;P'!A26</f>
        <v>OBRA GRIS - SOBRE SUBSUELO</v>
      </c>
      <c r="B28" s="135"/>
      <c r="C28" s="135"/>
      <c r="D28" s="166"/>
      <c r="E28" s="125"/>
      <c r="F28" s="125"/>
      <c r="G28" s="125"/>
      <c r="H28" s="125"/>
      <c r="I28" s="125"/>
      <c r="J28" s="125"/>
    </row>
    <row r="29" ht="14.25" customHeight="1">
      <c r="A29" s="167">
        <f>'01_C&amp;P'!A27</f>
        <v>36892</v>
      </c>
      <c r="B29" s="163" t="str">
        <f>'01_C&amp;P'!B27</f>
        <v>COLUMNAS Y TABIQUES</v>
      </c>
      <c r="C29" s="116" t="str">
        <f>'01_C&amp;P'!C27</f>
        <v>m³</v>
      </c>
      <c r="D29" s="165">
        <f>'01_C&amp;P'!D27</f>
        <v>23</v>
      </c>
      <c r="E29" s="131">
        <f>'01_C&amp;P'!U27</f>
        <v>548114.3443</v>
      </c>
      <c r="F29" s="131">
        <f>'01_C&amp;P'!V27</f>
        <v>947147.9878</v>
      </c>
      <c r="G29" s="131">
        <f>'01_C&amp;P'!W27</f>
        <v>1495262.332</v>
      </c>
      <c r="H29" s="131">
        <f>'01_C&amp;P'!X27</f>
        <v>12606629.92</v>
      </c>
      <c r="I29" s="131">
        <f>'01_C&amp;P'!Y27</f>
        <v>21784403.72</v>
      </c>
      <c r="J29" s="131">
        <f t="shared" ref="J29:J38" si="4">H29+I29</f>
        <v>34391033.64</v>
      </c>
    </row>
    <row r="30" ht="14.25" customHeight="1">
      <c r="A30" s="167">
        <f>'01_C&amp;P'!A28</f>
        <v>46054</v>
      </c>
      <c r="B30" s="163" t="str">
        <f>'01_C&amp;P'!B28</f>
        <v>VIGAS </v>
      </c>
      <c r="C30" s="116" t="str">
        <f>'01_C&amp;P'!C28</f>
        <v>m³</v>
      </c>
      <c r="D30" s="165">
        <f>'01_C&amp;P'!D28</f>
        <v>16</v>
      </c>
      <c r="E30" s="131">
        <f>'01_C&amp;P'!U28</f>
        <v>539468.3675</v>
      </c>
      <c r="F30" s="131">
        <f>'01_C&amp;P'!V28</f>
        <v>1361525.233</v>
      </c>
      <c r="G30" s="131">
        <f>'01_C&amp;P'!W28</f>
        <v>1900993.6</v>
      </c>
      <c r="H30" s="131">
        <f>'01_C&amp;P'!X28</f>
        <v>8631493.88</v>
      </c>
      <c r="I30" s="131">
        <f>'01_C&amp;P'!Y28</f>
        <v>21784403.72</v>
      </c>
      <c r="J30" s="131">
        <f t="shared" si="4"/>
        <v>30415897.6</v>
      </c>
    </row>
    <row r="31" ht="14.25" customHeight="1">
      <c r="A31" s="167">
        <f>'01_C&amp;P'!A29</f>
        <v>46082</v>
      </c>
      <c r="B31" s="163" t="str">
        <f>'01_C&amp;P'!B29</f>
        <v>LOSA</v>
      </c>
      <c r="C31" s="116" t="str">
        <f>'01_C&amp;P'!C29</f>
        <v>m³</v>
      </c>
      <c r="D31" s="165">
        <f>'01_C&amp;P'!D29</f>
        <v>57</v>
      </c>
      <c r="E31" s="131">
        <f>'01_C&amp;P'!U29</f>
        <v>362272.7368</v>
      </c>
      <c r="F31" s="131">
        <f>'01_C&amp;P'!V29</f>
        <v>541664.5995</v>
      </c>
      <c r="G31" s="131">
        <f>'01_C&amp;P'!W29</f>
        <v>903937.3364</v>
      </c>
      <c r="H31" s="131">
        <f>'01_C&amp;P'!X29</f>
        <v>20649546</v>
      </c>
      <c r="I31" s="131">
        <f>'01_C&amp;P'!Y29</f>
        <v>30874882.17</v>
      </c>
      <c r="J31" s="131">
        <f t="shared" si="4"/>
        <v>51524428.17</v>
      </c>
    </row>
    <row r="32" ht="14.25" customHeight="1">
      <c r="A32" s="163" t="str">
        <f>'01_C&amp;P'!A30</f>
        <v>1.31</v>
      </c>
      <c r="B32" s="163" t="str">
        <f>'01_C&amp;P'!B30</f>
        <v>LOSA DE SUPRESION SOBRE SUELO COMPACTADO. e=10cm.</v>
      </c>
      <c r="C32" s="116" t="str">
        <f>'01_C&amp;P'!C30</f>
        <v>m³</v>
      </c>
      <c r="D32" s="165">
        <f>'01_C&amp;P'!D30</f>
        <v>39</v>
      </c>
      <c r="E32" s="131">
        <f>'01_C&amp;P'!U30</f>
        <v>218369.7179</v>
      </c>
      <c r="F32" s="131">
        <f>'01_C&amp;P'!V30</f>
        <v>200198.0904</v>
      </c>
      <c r="G32" s="131">
        <f>'01_C&amp;P'!W30</f>
        <v>418567.8083</v>
      </c>
      <c r="H32" s="131">
        <f>'01_C&amp;P'!X30</f>
        <v>8516419</v>
      </c>
      <c r="I32" s="131">
        <f>'01_C&amp;P'!Y30</f>
        <v>7807725.525</v>
      </c>
      <c r="J32" s="131">
        <f t="shared" si="4"/>
        <v>16324144.53</v>
      </c>
    </row>
    <row r="33" ht="14.25" customHeight="1">
      <c r="A33" s="163" t="str">
        <f>'01_C&amp;P'!A31</f>
        <v>1.32</v>
      </c>
      <c r="B33" s="163" t="str">
        <f>'01_C&amp;P'!B31</f>
        <v>PAVIMENTO ALISADO EN ESTACIONAMIENTO. e=10cm</v>
      </c>
      <c r="C33" s="116" t="str">
        <f>'01_C&amp;P'!C31</f>
        <v>m²</v>
      </c>
      <c r="D33" s="165">
        <f>'01_C&amp;P'!D31</f>
        <v>310</v>
      </c>
      <c r="E33" s="131">
        <f>'01_C&amp;P'!U31</f>
        <v>25336.65968</v>
      </c>
      <c r="F33" s="131">
        <f>'01_C&amp;P'!V31</f>
        <v>25086.56266</v>
      </c>
      <c r="G33" s="131">
        <f>'01_C&amp;P'!W31</f>
        <v>50423.22234</v>
      </c>
      <c r="H33" s="131">
        <f>'01_C&amp;P'!X31</f>
        <v>7854364.5</v>
      </c>
      <c r="I33" s="131">
        <f>'01_C&amp;P'!Y31</f>
        <v>7776834.425</v>
      </c>
      <c r="J33" s="131">
        <f t="shared" si="4"/>
        <v>15631198.93</v>
      </c>
    </row>
    <row r="34" ht="14.25" customHeight="1">
      <c r="A34" s="167">
        <f>'01_C&amp;P'!A32</f>
        <v>46113</v>
      </c>
      <c r="B34" s="163" t="str">
        <f>'01_C&amp;P'!B32</f>
        <v>MAMPOSTERIA.</v>
      </c>
      <c r="C34" s="116" t="str">
        <f>'01_C&amp;P'!C32</f>
        <v>m²</v>
      </c>
      <c r="D34" s="165">
        <f>'01_C&amp;P'!D32</f>
        <v>360</v>
      </c>
      <c r="E34" s="131">
        <f>'01_C&amp;P'!U32</f>
        <v>28937.37103</v>
      </c>
      <c r="F34" s="131">
        <f>'01_C&amp;P'!V32</f>
        <v>26021.46132</v>
      </c>
      <c r="G34" s="131">
        <f>'01_C&amp;P'!W32</f>
        <v>54958.83235</v>
      </c>
      <c r="H34" s="131">
        <f>'01_C&amp;P'!X32</f>
        <v>10417453.57</v>
      </c>
      <c r="I34" s="131">
        <f>'01_C&amp;P'!Y32</f>
        <v>9367726.075</v>
      </c>
      <c r="J34" s="131">
        <f t="shared" si="4"/>
        <v>19785179.65</v>
      </c>
    </row>
    <row r="35" ht="14.25" customHeight="1">
      <c r="A35" s="167">
        <f>'01_C&amp;P'!A33</f>
        <v>46143</v>
      </c>
      <c r="B35" s="163" t="str">
        <f>'01_C&amp;P'!B33</f>
        <v>CONTRAPISO . e=12cm</v>
      </c>
      <c r="C35" s="116" t="str">
        <f>'01_C&amp;P'!C33</f>
        <v>m²</v>
      </c>
      <c r="D35" s="165">
        <f>'01_C&amp;P'!D33</f>
        <v>80</v>
      </c>
      <c r="E35" s="131">
        <f>'01_C&amp;P'!U33</f>
        <v>18664.73038</v>
      </c>
      <c r="F35" s="131">
        <f>'01_C&amp;P'!V33</f>
        <v>45467.83781</v>
      </c>
      <c r="G35" s="131">
        <f>'01_C&amp;P'!W33</f>
        <v>64132.56819</v>
      </c>
      <c r="H35" s="131">
        <f>'01_C&amp;P'!X33</f>
        <v>1493178.43</v>
      </c>
      <c r="I35" s="131">
        <f>'01_C&amp;P'!Y33</f>
        <v>3637427.025</v>
      </c>
      <c r="J35" s="131">
        <f t="shared" si="4"/>
        <v>5130605.455</v>
      </c>
    </row>
    <row r="36" ht="14.25" customHeight="1">
      <c r="A36" s="167">
        <f>'01_C&amp;P'!A34</f>
        <v>46174</v>
      </c>
      <c r="B36" s="163" t="str">
        <f>'01_C&amp;P'!B34</f>
        <v>CARPETA . e=3cm</v>
      </c>
      <c r="C36" s="116" t="str">
        <f>'01_C&amp;P'!C34</f>
        <v>m²</v>
      </c>
      <c r="D36" s="165">
        <f>'01_C&amp;P'!D34</f>
        <v>80</v>
      </c>
      <c r="E36" s="131">
        <f>'01_C&amp;P'!U34</f>
        <v>5017.625</v>
      </c>
      <c r="F36" s="131">
        <f>'01_C&amp;P'!V34</f>
        <v>27222.78188</v>
      </c>
      <c r="G36" s="131">
        <f>'01_C&amp;P'!W34</f>
        <v>32240.40688</v>
      </c>
      <c r="H36" s="131">
        <f>'01_C&amp;P'!X34</f>
        <v>401410</v>
      </c>
      <c r="I36" s="131">
        <f>'01_C&amp;P'!Y34</f>
        <v>2177822.55</v>
      </c>
      <c r="J36" s="131">
        <f t="shared" si="4"/>
        <v>2579232.55</v>
      </c>
    </row>
    <row r="37" ht="14.25" customHeight="1">
      <c r="A37" s="167">
        <f>'01_C&amp;P'!A35</f>
        <v>46204</v>
      </c>
      <c r="B37" s="163" t="str">
        <f>'01_C&amp;P'!B35</f>
        <v>REVOQUE INTERIOR. (GRUESO FRATAZADO)</v>
      </c>
      <c r="C37" s="116" t="str">
        <f>'01_C&amp;P'!C35</f>
        <v>m²</v>
      </c>
      <c r="D37" s="165">
        <f>'01_C&amp;P'!D35</f>
        <v>180</v>
      </c>
      <c r="E37" s="131">
        <f>'01_C&amp;P'!U35</f>
        <v>2871.411846</v>
      </c>
      <c r="F37" s="131">
        <f>'01_C&amp;P'!V35</f>
        <v>40158.43</v>
      </c>
      <c r="G37" s="131">
        <f>'01_C&amp;P'!W35</f>
        <v>43029.84185</v>
      </c>
      <c r="H37" s="131">
        <f>'01_C&amp;P'!X35</f>
        <v>516854.1322</v>
      </c>
      <c r="I37" s="131">
        <f>'01_C&amp;P'!Y35</f>
        <v>7228517.4</v>
      </c>
      <c r="J37" s="131">
        <f t="shared" si="4"/>
        <v>7745371.532</v>
      </c>
    </row>
    <row r="38" ht="14.25" customHeight="1">
      <c r="A38" s="167">
        <f>'01_C&amp;P'!A36</f>
        <v>46235</v>
      </c>
      <c r="B38" s="163" t="str">
        <f>'01_C&amp;P'!B36</f>
        <v>REVOQUE INTERTIOR HIDROFUGO.</v>
      </c>
      <c r="C38" s="116" t="str">
        <f>'01_C&amp;P'!C36</f>
        <v>m²</v>
      </c>
      <c r="D38" s="165">
        <f>'01_C&amp;P'!D36</f>
        <v>282</v>
      </c>
      <c r="E38" s="131">
        <f>'01_C&amp;P'!U36</f>
        <v>3811.674579</v>
      </c>
      <c r="F38" s="131">
        <f>'01_C&amp;P'!V36</f>
        <v>54141.58218</v>
      </c>
      <c r="G38" s="131">
        <f>'01_C&amp;P'!W36</f>
        <v>57953.25676</v>
      </c>
      <c r="H38" s="131">
        <f>'01_C&amp;P'!X36</f>
        <v>1074892.231</v>
      </c>
      <c r="I38" s="131">
        <f>'01_C&amp;P'!Y36</f>
        <v>15267926.18</v>
      </c>
      <c r="J38" s="131">
        <f t="shared" si="4"/>
        <v>16342818.41</v>
      </c>
    </row>
    <row r="39" ht="14.25" customHeight="1">
      <c r="A39" s="135" t="str">
        <f>'01_C&amp;P'!A37</f>
        <v>OBRA GRIS - SOBRE PLANTA BAJA</v>
      </c>
      <c r="B39" s="135"/>
      <c r="C39" s="135"/>
      <c r="D39" s="135"/>
      <c r="E39" s="125"/>
      <c r="F39" s="125"/>
      <c r="G39" s="125"/>
      <c r="H39" s="125"/>
      <c r="I39" s="125"/>
      <c r="J39" s="125"/>
    </row>
    <row r="40" ht="14.25" customHeight="1">
      <c r="A40" s="168">
        <f>'01_C&amp;P'!A38</f>
        <v>45293</v>
      </c>
      <c r="B40" s="163" t="str">
        <f>'01_C&amp;P'!B38</f>
        <v>COLUMNAS Y TABIQUES</v>
      </c>
      <c r="C40" s="116" t="str">
        <f>'01_C&amp;P'!C38</f>
        <v>m³</v>
      </c>
      <c r="D40" s="165">
        <f>'01_C&amp;P'!D38</f>
        <v>31</v>
      </c>
      <c r="E40" s="131">
        <f>'01_C&amp;P'!U38</f>
        <v>537748.8432</v>
      </c>
      <c r="F40" s="131">
        <f>'01_C&amp;P'!V38</f>
        <v>607333.9733</v>
      </c>
      <c r="G40" s="131">
        <f>'01_C&amp;P'!W38</f>
        <v>1145082.817</v>
      </c>
      <c r="H40" s="131">
        <f>'01_C&amp;P'!X38</f>
        <v>16670214.14</v>
      </c>
      <c r="I40" s="131">
        <f>'01_C&amp;P'!Y38</f>
        <v>18827353.17</v>
      </c>
      <c r="J40" s="131">
        <f t="shared" ref="J40:J48" si="5">H40+I40</f>
        <v>35497567.31</v>
      </c>
    </row>
    <row r="41" ht="14.25" customHeight="1">
      <c r="A41" s="116" t="str">
        <f>'01_C&amp;P'!A39</f>
        <v>n</v>
      </c>
      <c r="B41" s="163" t="str">
        <f>'01_C&amp;P'!B39</f>
        <v>VIGAS </v>
      </c>
      <c r="C41" s="116" t="str">
        <f>'01_C&amp;P'!C39</f>
        <v>m³</v>
      </c>
      <c r="D41" s="165">
        <f>'01_C&amp;P'!D39</f>
        <v>14</v>
      </c>
      <c r="E41" s="131">
        <f>'01_C&amp;P'!U39</f>
        <v>559896.9429</v>
      </c>
      <c r="F41" s="131">
        <f>'01_C&amp;P'!V39</f>
        <v>1320539.362</v>
      </c>
      <c r="G41" s="131">
        <f>'01_C&amp;P'!W39</f>
        <v>1880436.305</v>
      </c>
      <c r="H41" s="131">
        <f>'01_C&amp;P'!X39</f>
        <v>7838557.2</v>
      </c>
      <c r="I41" s="131">
        <f>'01_C&amp;P'!Y39</f>
        <v>18487551.07</v>
      </c>
      <c r="J41" s="131">
        <f t="shared" si="5"/>
        <v>26326108.27</v>
      </c>
    </row>
    <row r="42" ht="14.25" customHeight="1">
      <c r="A42" s="168">
        <f>'01_C&amp;P'!A40</f>
        <v>45353</v>
      </c>
      <c r="B42" s="163" t="str">
        <f>'01_C&amp;P'!B40</f>
        <v>LOSA</v>
      </c>
      <c r="C42" s="116" t="str">
        <f>'01_C&amp;P'!C40</f>
        <v>m³</v>
      </c>
      <c r="D42" s="165">
        <f>'01_C&amp;P'!D40</f>
        <v>26</v>
      </c>
      <c r="E42" s="131">
        <f>'01_C&amp;P'!U40</f>
        <v>417771.5</v>
      </c>
      <c r="F42" s="131">
        <f>'01_C&amp;P'!V40</f>
        <v>896406.2566</v>
      </c>
      <c r="G42" s="131">
        <f>'01_C&amp;P'!W40</f>
        <v>1314177.757</v>
      </c>
      <c r="H42" s="131">
        <f>'01_C&amp;P'!X40</f>
        <v>10862059</v>
      </c>
      <c r="I42" s="131">
        <f>'01_C&amp;P'!Y40</f>
        <v>23306562.67</v>
      </c>
      <c r="J42" s="131">
        <f t="shared" si="5"/>
        <v>34168621.67</v>
      </c>
    </row>
    <row r="43" ht="14.25" customHeight="1">
      <c r="A43" s="168">
        <f>'01_C&amp;P'!A41</f>
        <v>46114</v>
      </c>
      <c r="B43" s="163" t="str">
        <f>'01_C&amp;P'!B41</f>
        <v>MAMPOSTERIA.</v>
      </c>
      <c r="C43" s="116" t="str">
        <f>'01_C&amp;P'!C41</f>
        <v>m²</v>
      </c>
      <c r="D43" s="165">
        <f>'01_C&amp;P'!D41</f>
        <v>340</v>
      </c>
      <c r="E43" s="131">
        <f>'01_C&amp;P'!U41</f>
        <v>28748.29431</v>
      </c>
      <c r="F43" s="131">
        <f>'01_C&amp;P'!V41</f>
        <v>26870.71419</v>
      </c>
      <c r="G43" s="131">
        <f>'01_C&amp;P'!W41</f>
        <v>55619.0085</v>
      </c>
      <c r="H43" s="131">
        <f>'01_C&amp;P'!X41</f>
        <v>9774420.066</v>
      </c>
      <c r="I43" s="131">
        <f>'01_C&amp;P'!Y41</f>
        <v>9136042.825</v>
      </c>
      <c r="J43" s="131">
        <f t="shared" si="5"/>
        <v>18910462.89</v>
      </c>
    </row>
    <row r="44" ht="14.25" customHeight="1">
      <c r="A44" s="168">
        <f>'01_C&amp;P'!A42</f>
        <v>46144</v>
      </c>
      <c r="B44" s="163" t="str">
        <f>'01_C&amp;P'!B42</f>
        <v>CONTRAPISO INTERIOR . e=12cm</v>
      </c>
      <c r="C44" s="116" t="str">
        <f>'01_C&amp;P'!C42</f>
        <v>m²</v>
      </c>
      <c r="D44" s="165">
        <f>'01_C&amp;P'!D42</f>
        <v>144</v>
      </c>
      <c r="E44" s="131">
        <f>'01_C&amp;P'!U42</f>
        <v>20997.16396</v>
      </c>
      <c r="F44" s="131">
        <f>'01_C&amp;P'!V42</f>
        <v>35556.94323</v>
      </c>
      <c r="G44" s="131">
        <f>'01_C&amp;P'!W42</f>
        <v>56554.10719</v>
      </c>
      <c r="H44" s="131">
        <f>'01_C&amp;P'!X42</f>
        <v>3023591.61</v>
      </c>
      <c r="I44" s="131">
        <f>'01_C&amp;P'!Y42</f>
        <v>5120199.825</v>
      </c>
      <c r="J44" s="131">
        <f t="shared" si="5"/>
        <v>8143791.435</v>
      </c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</row>
    <row r="45" ht="14.25" customHeight="1">
      <c r="A45" s="116" t="str">
        <f>'01_C&amp;P'!A43</f>
        <v>2.51</v>
      </c>
      <c r="B45" s="163" t="str">
        <f>'01_C&amp;P'!B43</f>
        <v>PAVIMENTO ALISADO EN ESTACIONAMIENTO. e=10cm</v>
      </c>
      <c r="C45" s="116" t="str">
        <f>'01_C&amp;P'!C43</f>
        <v>m²</v>
      </c>
      <c r="D45" s="165">
        <f>'01_C&amp;P'!D43</f>
        <v>267</v>
      </c>
      <c r="E45" s="131">
        <f>'01_C&amp;P'!U43</f>
        <v>26130.31461</v>
      </c>
      <c r="F45" s="131">
        <f>'01_C&amp;P'!V43</f>
        <v>26002.90159</v>
      </c>
      <c r="G45" s="131">
        <f>'01_C&amp;P'!W43</f>
        <v>52133.2162</v>
      </c>
      <c r="H45" s="131">
        <f>'01_C&amp;P'!X43</f>
        <v>6976794</v>
      </c>
      <c r="I45" s="131">
        <f>'01_C&amp;P'!Y43</f>
        <v>6942774.725</v>
      </c>
      <c r="J45" s="131">
        <f t="shared" si="5"/>
        <v>13919568.73</v>
      </c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</row>
    <row r="46" ht="14.25" customHeight="1">
      <c r="A46" s="168">
        <f>'01_C&amp;P'!A44</f>
        <v>46175</v>
      </c>
      <c r="B46" s="163" t="str">
        <f>'01_C&amp;P'!B44</f>
        <v>CARPETA INTERIOR. e=3cm</v>
      </c>
      <c r="C46" s="116" t="str">
        <f>'01_C&amp;P'!C44</f>
        <v>m²</v>
      </c>
      <c r="D46" s="165">
        <f>'01_C&amp;P'!D44</f>
        <v>144</v>
      </c>
      <c r="E46" s="131">
        <f>'01_C&amp;P'!U44</f>
        <v>9043.263889</v>
      </c>
      <c r="F46" s="131">
        <f>'01_C&amp;P'!V44</f>
        <v>25099.01875</v>
      </c>
      <c r="G46" s="131">
        <f>'01_C&amp;P'!W44</f>
        <v>34142.28264</v>
      </c>
      <c r="H46" s="131">
        <f>'01_C&amp;P'!X44</f>
        <v>1302230</v>
      </c>
      <c r="I46" s="131">
        <f>'01_C&amp;P'!Y44</f>
        <v>3614258.7</v>
      </c>
      <c r="J46" s="131">
        <f t="shared" si="5"/>
        <v>4916488.7</v>
      </c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</row>
    <row r="47" ht="14.25" customHeight="1">
      <c r="A47" s="168">
        <f>'01_C&amp;P'!A45</f>
        <v>46205</v>
      </c>
      <c r="B47" s="163" t="str">
        <f>'01_C&amp;P'!B45</f>
        <v>REVOQUE INTERIOR. (GRUESO FRATAZADO)</v>
      </c>
      <c r="C47" s="116" t="str">
        <f>'01_C&amp;P'!C45</f>
        <v>m²</v>
      </c>
      <c r="D47" s="165">
        <f>'01_C&amp;P'!D45</f>
        <v>224</v>
      </c>
      <c r="E47" s="131">
        <f>'01_C&amp;P'!U45</f>
        <v>2828.889463</v>
      </c>
      <c r="F47" s="131">
        <f>'01_C&amp;P'!V45</f>
        <v>37648.52813</v>
      </c>
      <c r="G47" s="131">
        <f>'01_C&amp;P'!W45</f>
        <v>40477.41759</v>
      </c>
      <c r="H47" s="131">
        <f>'01_C&amp;P'!X45</f>
        <v>633671.2397</v>
      </c>
      <c r="I47" s="131">
        <f>'01_C&amp;P'!Y45</f>
        <v>8433270.3</v>
      </c>
      <c r="J47" s="131">
        <f t="shared" si="5"/>
        <v>9066941.54</v>
      </c>
    </row>
    <row r="48" ht="14.25" customHeight="1">
      <c r="A48" s="168">
        <f>'01_C&amp;P'!A46</f>
        <v>46236</v>
      </c>
      <c r="B48" s="163" t="str">
        <f>'01_C&amp;P'!B46</f>
        <v>REVOQUE EXTERIOR (GRUESO FRATAZADO) CON HIDROFUGO.</v>
      </c>
      <c r="C48" s="116" t="str">
        <f>'01_C&amp;P'!C46</f>
        <v>m²</v>
      </c>
      <c r="D48" s="165">
        <f>'01_C&amp;P'!D46</f>
        <v>456</v>
      </c>
      <c r="E48" s="131">
        <f>'01_C&amp;P'!U46</f>
        <v>3712.799768</v>
      </c>
      <c r="F48" s="131">
        <f>'01_C&amp;P'!V46</f>
        <v>57920.8125</v>
      </c>
      <c r="G48" s="131">
        <f>'01_C&amp;P'!W46</f>
        <v>61633.61227</v>
      </c>
      <c r="H48" s="131">
        <f>'01_C&amp;P'!X46</f>
        <v>1693036.694</v>
      </c>
      <c r="I48" s="131">
        <f>'01_C&amp;P'!Y46</f>
        <v>26411890.5</v>
      </c>
      <c r="J48" s="131">
        <f t="shared" si="5"/>
        <v>28104927.19</v>
      </c>
    </row>
    <row r="49" ht="14.25" customHeight="1">
      <c r="A49" s="135" t="str">
        <f>'01_C&amp;P'!A47</f>
        <v>OBRA GRIS - SOBRE PRIMER PISO</v>
      </c>
      <c r="B49" s="135"/>
      <c r="C49" s="135"/>
      <c r="D49" s="166"/>
      <c r="E49" s="125"/>
      <c r="F49" s="125"/>
      <c r="G49" s="125"/>
      <c r="H49" s="125"/>
      <c r="I49" s="125"/>
      <c r="J49" s="125"/>
    </row>
    <row r="50" ht="14.25" customHeight="1">
      <c r="A50" s="167">
        <f>'01_C&amp;P'!A48</f>
        <v>46025</v>
      </c>
      <c r="B50" s="163" t="str">
        <f>'01_C&amp;P'!B48</f>
        <v>COLUMNAS Y TABIQUES</v>
      </c>
      <c r="C50" s="116" t="str">
        <f>'01_C&amp;P'!C48</f>
        <v>m³</v>
      </c>
      <c r="D50" s="165">
        <f>'01_C&amp;P'!D48</f>
        <v>18</v>
      </c>
      <c r="E50" s="131">
        <f>'01_C&amp;P'!U48</f>
        <v>517211.3467</v>
      </c>
      <c r="F50" s="131">
        <f>'01_C&amp;P'!V48</f>
        <v>871343.5415</v>
      </c>
      <c r="G50" s="131">
        <f>'01_C&amp;P'!W48</f>
        <v>1388554.888</v>
      </c>
      <c r="H50" s="131">
        <f>'01_C&amp;P'!X48</f>
        <v>9309804.24</v>
      </c>
      <c r="I50" s="131">
        <f>'01_C&amp;P'!Y48</f>
        <v>15684183.75</v>
      </c>
      <c r="J50" s="131">
        <f t="shared" ref="J50:J57" si="6">H50+I50</f>
        <v>24993987.99</v>
      </c>
    </row>
    <row r="51" ht="14.25" customHeight="1">
      <c r="A51" s="167">
        <f>'01_C&amp;P'!A49</f>
        <v>46056</v>
      </c>
      <c r="B51" s="163" t="str">
        <f>'01_C&amp;P'!B49</f>
        <v>VIGAS </v>
      </c>
      <c r="C51" s="116" t="str">
        <f>'01_C&amp;P'!C49</f>
        <v>m³</v>
      </c>
      <c r="D51" s="165">
        <f>'01_C&amp;P'!D49</f>
        <v>13</v>
      </c>
      <c r="E51" s="131">
        <f>'01_C&amp;P'!U49</f>
        <v>631622.8738</v>
      </c>
      <c r="F51" s="131">
        <f>'01_C&amp;P'!V49</f>
        <v>1206475.673</v>
      </c>
      <c r="G51" s="131">
        <f>'01_C&amp;P'!W49</f>
        <v>1838098.547</v>
      </c>
      <c r="H51" s="131">
        <f>'01_C&amp;P'!X49</f>
        <v>8211097.36</v>
      </c>
      <c r="I51" s="131">
        <f>'01_C&amp;P'!Y49</f>
        <v>15684183.75</v>
      </c>
      <c r="J51" s="131">
        <f t="shared" si="6"/>
        <v>23895281.11</v>
      </c>
    </row>
    <row r="52" ht="14.25" customHeight="1">
      <c r="A52" s="167">
        <f>'01_C&amp;P'!A50</f>
        <v>46084</v>
      </c>
      <c r="B52" s="163" t="str">
        <f>'01_C&amp;P'!B50</f>
        <v>LOSA</v>
      </c>
      <c r="C52" s="116" t="str">
        <f>'01_C&amp;P'!C50</f>
        <v>m³</v>
      </c>
      <c r="D52" s="165">
        <f>'01_C&amp;P'!D50</f>
        <v>24</v>
      </c>
      <c r="E52" s="131">
        <f>'01_C&amp;P'!U50</f>
        <v>381107.0833</v>
      </c>
      <c r="F52" s="131">
        <f>'01_C&amp;P'!V50</f>
        <v>667666.077</v>
      </c>
      <c r="G52" s="131">
        <f>'01_C&amp;P'!W50</f>
        <v>1048773.16</v>
      </c>
      <c r="H52" s="131">
        <f>'01_C&amp;P'!X50</f>
        <v>9146570</v>
      </c>
      <c r="I52" s="131">
        <f>'01_C&amp;P'!Y50</f>
        <v>16023985.85</v>
      </c>
      <c r="J52" s="131">
        <f t="shared" si="6"/>
        <v>25170555.85</v>
      </c>
    </row>
    <row r="53" ht="14.25" customHeight="1">
      <c r="A53" s="167">
        <f>'01_C&amp;P'!A51</f>
        <v>46115</v>
      </c>
      <c r="B53" s="163" t="str">
        <f>'01_C&amp;P'!B51</f>
        <v>MAMPOSTERIA.</v>
      </c>
      <c r="C53" s="116" t="str">
        <f>'01_C&amp;P'!C51</f>
        <v>m²</v>
      </c>
      <c r="D53" s="165">
        <f>'01_C&amp;P'!D51</f>
        <v>320</v>
      </c>
      <c r="E53" s="131">
        <f>'01_C&amp;P'!U51</f>
        <v>29083.52645</v>
      </c>
      <c r="F53" s="131">
        <f>'01_C&amp;P'!V51</f>
        <v>29274.14398</v>
      </c>
      <c r="G53" s="131">
        <f>'01_C&amp;P'!W51</f>
        <v>58357.67043</v>
      </c>
      <c r="H53" s="131">
        <f>'01_C&amp;P'!X51</f>
        <v>9306728.463</v>
      </c>
      <c r="I53" s="131">
        <f>'01_C&amp;P'!Y51</f>
        <v>9367726.075</v>
      </c>
      <c r="J53" s="131">
        <f t="shared" si="6"/>
        <v>18674454.54</v>
      </c>
    </row>
    <row r="54" ht="14.25" customHeight="1">
      <c r="A54" s="167">
        <f>'01_C&amp;P'!A52</f>
        <v>46145</v>
      </c>
      <c r="B54" s="163" t="str">
        <f>'01_C&amp;P'!B52</f>
        <v>CONTRAPISO . e=12cm</v>
      </c>
      <c r="C54" s="116" t="str">
        <f>'01_C&amp;P'!C52</f>
        <v>m²</v>
      </c>
      <c r="D54" s="165">
        <f>'01_C&amp;P'!D52</f>
        <v>270</v>
      </c>
      <c r="E54" s="131">
        <f>'01_C&amp;P'!U52</f>
        <v>18509.52778</v>
      </c>
      <c r="F54" s="131">
        <f>'01_C&amp;P'!V52</f>
        <v>28848.85506</v>
      </c>
      <c r="G54" s="131">
        <f>'01_C&amp;P'!W52</f>
        <v>47358.38283</v>
      </c>
      <c r="H54" s="131">
        <f>'01_C&amp;P'!X52</f>
        <v>4997572.5</v>
      </c>
      <c r="I54" s="131">
        <f>'01_C&amp;P'!Y52</f>
        <v>7789190.865</v>
      </c>
      <c r="J54" s="131">
        <f t="shared" si="6"/>
        <v>12786763.37</v>
      </c>
    </row>
    <row r="55" ht="14.25" customHeight="1">
      <c r="A55" s="167">
        <f>'01_C&amp;P'!A53</f>
        <v>46176</v>
      </c>
      <c r="B55" s="163" t="str">
        <f>'01_C&amp;P'!B53</f>
        <v>CARPETA . e=3cm</v>
      </c>
      <c r="C55" s="116" t="str">
        <f>'01_C&amp;P'!C53</f>
        <v>m²</v>
      </c>
      <c r="D55" s="165">
        <f>'01_C&amp;P'!D53</f>
        <v>270</v>
      </c>
      <c r="E55" s="131">
        <f>'01_C&amp;P'!U53</f>
        <v>4823.074074</v>
      </c>
      <c r="F55" s="131">
        <f>'01_C&amp;P'!V53</f>
        <v>25914.20056</v>
      </c>
      <c r="G55" s="131">
        <f>'01_C&amp;P'!W53</f>
        <v>30737.27463</v>
      </c>
      <c r="H55" s="131">
        <f>'01_C&amp;P'!X53</f>
        <v>1302230</v>
      </c>
      <c r="I55" s="131">
        <f>'01_C&amp;P'!Y53</f>
        <v>6996834.15</v>
      </c>
      <c r="J55" s="131">
        <f t="shared" si="6"/>
        <v>8299064.15</v>
      </c>
    </row>
    <row r="56" ht="14.25" customHeight="1">
      <c r="A56" s="167">
        <f>'01_C&amp;P'!A54</f>
        <v>46206</v>
      </c>
      <c r="B56" s="163" t="str">
        <f>'01_C&amp;P'!B54</f>
        <v>REVOQUE INTERIOR. (GRUESO FRATAZADO)</v>
      </c>
      <c r="C56" s="116" t="str">
        <f>'01_C&amp;P'!C54</f>
        <v>m²</v>
      </c>
      <c r="D56" s="165">
        <f>'01_C&amp;P'!D54</f>
        <v>244</v>
      </c>
      <c r="E56" s="131">
        <f>'01_C&amp;P'!U54</f>
        <v>2908.31493</v>
      </c>
      <c r="F56" s="131">
        <f>'01_C&amp;P'!V54</f>
        <v>39500.09508</v>
      </c>
      <c r="G56" s="131">
        <f>'01_C&amp;P'!W54</f>
        <v>42408.41001</v>
      </c>
      <c r="H56" s="131">
        <f>'01_C&amp;P'!X54</f>
        <v>709628.843</v>
      </c>
      <c r="I56" s="131">
        <f>'01_C&amp;P'!Y54</f>
        <v>9638023.2</v>
      </c>
      <c r="J56" s="131">
        <f t="shared" si="6"/>
        <v>10347652.04</v>
      </c>
    </row>
    <row r="57" ht="14.25" customHeight="1">
      <c r="A57" s="167">
        <f>'01_C&amp;P'!A55</f>
        <v>46237</v>
      </c>
      <c r="B57" s="163" t="str">
        <f>'01_C&amp;P'!B55</f>
        <v>REVOQUE EXTERIOR (GRUESO FRATAZADO) CON HIDROFUGO.</v>
      </c>
      <c r="C57" s="116" t="str">
        <f>'01_C&amp;P'!C55</f>
        <v>m²</v>
      </c>
      <c r="D57" s="165">
        <f>'01_C&amp;P'!D55</f>
        <v>284</v>
      </c>
      <c r="E57" s="131">
        <f>'01_C&amp;P'!U55</f>
        <v>3803.746944</v>
      </c>
      <c r="F57" s="131">
        <f>'01_C&amp;P'!V55</f>
        <v>57920.8125</v>
      </c>
      <c r="G57" s="131">
        <f>'01_C&amp;P'!W55</f>
        <v>61724.55944</v>
      </c>
      <c r="H57" s="131">
        <f>'01_C&amp;P'!X55</f>
        <v>1080264.132</v>
      </c>
      <c r="I57" s="131">
        <f>'01_C&amp;P'!Y55</f>
        <v>16449510.75</v>
      </c>
      <c r="J57" s="131">
        <f t="shared" si="6"/>
        <v>17529774.88</v>
      </c>
    </row>
    <row r="58" ht="14.25" customHeight="1">
      <c r="A58" s="135" t="str">
        <f>'01_C&amp;P'!A56</f>
        <v>OBRA GRIS - SOBRE SEGUNDO PISO</v>
      </c>
      <c r="B58" s="135"/>
      <c r="C58" s="135"/>
      <c r="D58" s="135"/>
      <c r="E58" s="125"/>
      <c r="F58" s="125"/>
      <c r="G58" s="125"/>
      <c r="H58" s="125"/>
      <c r="I58" s="125"/>
      <c r="J58" s="125"/>
    </row>
    <row r="59" ht="14.25" customHeight="1">
      <c r="A59" s="167">
        <f>'01_C&amp;P'!A57</f>
        <v>46025</v>
      </c>
      <c r="B59" s="163" t="str">
        <f>'01_C&amp;P'!B57</f>
        <v>COLUMNAS Y TABIQUES</v>
      </c>
      <c r="C59" s="116" t="str">
        <f>'01_C&amp;P'!C57</f>
        <v>m³</v>
      </c>
      <c r="D59" s="165">
        <f>'01_C&amp;P'!D57</f>
        <v>18</v>
      </c>
      <c r="E59" s="131">
        <f>'01_C&amp;P'!U57</f>
        <v>517211.3467</v>
      </c>
      <c r="F59" s="131">
        <f>'01_C&amp;P'!V57</f>
        <v>871343.5415</v>
      </c>
      <c r="G59" s="131">
        <f>'01_C&amp;P'!W57</f>
        <v>1388554.888</v>
      </c>
      <c r="H59" s="131">
        <f>'01_C&amp;P'!X57</f>
        <v>9309804.24</v>
      </c>
      <c r="I59" s="131">
        <f>'01_C&amp;P'!Y57</f>
        <v>15684183.75</v>
      </c>
      <c r="J59" s="131">
        <f t="shared" ref="J59:J66" si="7">H59+I59</f>
        <v>24993987.99</v>
      </c>
    </row>
    <row r="60" ht="14.25" customHeight="1">
      <c r="A60" s="167">
        <f>'01_C&amp;P'!A58</f>
        <v>46056</v>
      </c>
      <c r="B60" s="163" t="str">
        <f>'01_C&amp;P'!B58</f>
        <v>VIGAS </v>
      </c>
      <c r="C60" s="116" t="str">
        <f>'01_C&amp;P'!C58</f>
        <v>m³</v>
      </c>
      <c r="D60" s="165">
        <f>'01_C&amp;P'!D58</f>
        <v>13</v>
      </c>
      <c r="E60" s="131">
        <f>'01_C&amp;P'!U58</f>
        <v>631622.8738</v>
      </c>
      <c r="F60" s="131">
        <f>'01_C&amp;P'!V58</f>
        <v>1206475.673</v>
      </c>
      <c r="G60" s="131">
        <f>'01_C&amp;P'!W58</f>
        <v>1838098.547</v>
      </c>
      <c r="H60" s="131">
        <f>'01_C&amp;P'!X58</f>
        <v>8211097.36</v>
      </c>
      <c r="I60" s="131">
        <f>'01_C&amp;P'!Y58</f>
        <v>15684183.75</v>
      </c>
      <c r="J60" s="131">
        <f t="shared" si="7"/>
        <v>23895281.11</v>
      </c>
    </row>
    <row r="61" ht="14.25" customHeight="1">
      <c r="A61" s="167">
        <f>'01_C&amp;P'!A59</f>
        <v>46084</v>
      </c>
      <c r="B61" s="163" t="str">
        <f>'01_C&amp;P'!B59</f>
        <v>LOSA</v>
      </c>
      <c r="C61" s="116" t="str">
        <f>'01_C&amp;P'!C59</f>
        <v>m³</v>
      </c>
      <c r="D61" s="165">
        <f>'01_C&amp;P'!D59</f>
        <v>24</v>
      </c>
      <c r="E61" s="131">
        <f>'01_C&amp;P'!U59</f>
        <v>381107.0833</v>
      </c>
      <c r="F61" s="131">
        <f>'01_C&amp;P'!V59</f>
        <v>667666.077</v>
      </c>
      <c r="G61" s="131">
        <f>'01_C&amp;P'!W59</f>
        <v>1048773.16</v>
      </c>
      <c r="H61" s="131">
        <f>'01_C&amp;P'!X59</f>
        <v>9146570</v>
      </c>
      <c r="I61" s="131">
        <f>'01_C&amp;P'!Y59</f>
        <v>16023985.85</v>
      </c>
      <c r="J61" s="131">
        <f t="shared" si="7"/>
        <v>25170555.85</v>
      </c>
    </row>
    <row r="62" ht="14.25" customHeight="1">
      <c r="A62" s="167">
        <f>'01_C&amp;P'!A60</f>
        <v>46115</v>
      </c>
      <c r="B62" s="163" t="str">
        <f>'01_C&amp;P'!B60</f>
        <v>MAMPOSTERIA.</v>
      </c>
      <c r="C62" s="116" t="str">
        <f>'01_C&amp;P'!C60</f>
        <v>m²</v>
      </c>
      <c r="D62" s="165">
        <f>'01_C&amp;P'!D60</f>
        <v>320</v>
      </c>
      <c r="E62" s="131">
        <f>'01_C&amp;P'!U60</f>
        <v>29083.52645</v>
      </c>
      <c r="F62" s="131">
        <f>'01_C&amp;P'!V60</f>
        <v>29274.14398</v>
      </c>
      <c r="G62" s="131">
        <f>'01_C&amp;P'!W60</f>
        <v>58357.67043</v>
      </c>
      <c r="H62" s="131">
        <f>'01_C&amp;P'!X60</f>
        <v>9306728.463</v>
      </c>
      <c r="I62" s="131">
        <f>'01_C&amp;P'!Y60</f>
        <v>9367726.075</v>
      </c>
      <c r="J62" s="131">
        <f t="shared" si="7"/>
        <v>18674454.54</v>
      </c>
    </row>
    <row r="63" ht="14.25" customHeight="1">
      <c r="A63" s="167">
        <f>'01_C&amp;P'!A61</f>
        <v>46145</v>
      </c>
      <c r="B63" s="163" t="str">
        <f>'01_C&amp;P'!B61</f>
        <v>CONTRAPISO . e=12cm</v>
      </c>
      <c r="C63" s="116" t="str">
        <f>'01_C&amp;P'!C61</f>
        <v>m²</v>
      </c>
      <c r="D63" s="165">
        <f>'01_C&amp;P'!D61</f>
        <v>270</v>
      </c>
      <c r="E63" s="131">
        <f>'01_C&amp;P'!U61</f>
        <v>18509.52778</v>
      </c>
      <c r="F63" s="131">
        <f>'01_C&amp;P'!V61</f>
        <v>28848.85506</v>
      </c>
      <c r="G63" s="131">
        <f>'01_C&amp;P'!W61</f>
        <v>47358.38283</v>
      </c>
      <c r="H63" s="131">
        <f>'01_C&amp;P'!X61</f>
        <v>4997572.5</v>
      </c>
      <c r="I63" s="131">
        <f>'01_C&amp;P'!Y61</f>
        <v>7789190.865</v>
      </c>
      <c r="J63" s="131">
        <f t="shared" si="7"/>
        <v>12786763.37</v>
      </c>
    </row>
    <row r="64" ht="14.25" customHeight="1">
      <c r="A64" s="167">
        <f>'01_C&amp;P'!A62</f>
        <v>46176</v>
      </c>
      <c r="B64" s="163" t="str">
        <f>'01_C&amp;P'!B62</f>
        <v>CARPETA . e=3cm</v>
      </c>
      <c r="C64" s="116" t="str">
        <f>'01_C&amp;P'!C62</f>
        <v>m²</v>
      </c>
      <c r="D64" s="165">
        <f>'01_C&amp;P'!D62</f>
        <v>270</v>
      </c>
      <c r="E64" s="131">
        <f>'01_C&amp;P'!U62</f>
        <v>4823.074074</v>
      </c>
      <c r="F64" s="131">
        <f>'01_C&amp;P'!V62</f>
        <v>25914.20056</v>
      </c>
      <c r="G64" s="131">
        <f>'01_C&amp;P'!W62</f>
        <v>30737.27463</v>
      </c>
      <c r="H64" s="131">
        <f>'01_C&amp;P'!X62</f>
        <v>1302230</v>
      </c>
      <c r="I64" s="131">
        <f>'01_C&amp;P'!Y62</f>
        <v>6996834.15</v>
      </c>
      <c r="J64" s="131">
        <f t="shared" si="7"/>
        <v>8299064.15</v>
      </c>
    </row>
    <row r="65" ht="14.25" customHeight="1">
      <c r="A65" s="167">
        <f>'01_C&amp;P'!A63</f>
        <v>46206</v>
      </c>
      <c r="B65" s="163" t="str">
        <f>'01_C&amp;P'!B63</f>
        <v>REVOQUE INTERIOR. (GRUESO FRATAZADO)</v>
      </c>
      <c r="C65" s="116" t="str">
        <f>'01_C&amp;P'!C63</f>
        <v>m²</v>
      </c>
      <c r="D65" s="165">
        <f>'01_C&amp;P'!D63</f>
        <v>244</v>
      </c>
      <c r="E65" s="131">
        <f>'01_C&amp;P'!U63</f>
        <v>2908.31493</v>
      </c>
      <c r="F65" s="131">
        <f>'01_C&amp;P'!V63</f>
        <v>39500.09508</v>
      </c>
      <c r="G65" s="131">
        <f>'01_C&amp;P'!W63</f>
        <v>42408.41001</v>
      </c>
      <c r="H65" s="131">
        <f>'01_C&amp;P'!X63</f>
        <v>709628.843</v>
      </c>
      <c r="I65" s="131">
        <f>'01_C&amp;P'!Y63</f>
        <v>9638023.2</v>
      </c>
      <c r="J65" s="131">
        <f t="shared" si="7"/>
        <v>10347652.04</v>
      </c>
    </row>
    <row r="66" ht="14.25" customHeight="1">
      <c r="A66" s="167">
        <f>'01_C&amp;P'!A64</f>
        <v>46237</v>
      </c>
      <c r="B66" s="163" t="str">
        <f>'01_C&amp;P'!B64</f>
        <v>REVOQUE EXTERIOR (GRUESO FRATAZADO) CON HIDROFUGO.</v>
      </c>
      <c r="C66" s="116" t="str">
        <f>'01_C&amp;P'!C64</f>
        <v>m²</v>
      </c>
      <c r="D66" s="165">
        <f>'01_C&amp;P'!D64</f>
        <v>284</v>
      </c>
      <c r="E66" s="131">
        <f>'01_C&amp;P'!U64</f>
        <v>3803.746944</v>
      </c>
      <c r="F66" s="131">
        <f>'01_C&amp;P'!V64</f>
        <v>57920.8125</v>
      </c>
      <c r="G66" s="131">
        <f>'01_C&amp;P'!W64</f>
        <v>61724.55944</v>
      </c>
      <c r="H66" s="131">
        <f>'01_C&amp;P'!X64</f>
        <v>1080264.132</v>
      </c>
      <c r="I66" s="131">
        <f>'01_C&amp;P'!Y64</f>
        <v>16449510.75</v>
      </c>
      <c r="J66" s="131">
        <f t="shared" si="7"/>
        <v>17529774.88</v>
      </c>
    </row>
    <row r="67" ht="14.25" customHeight="1">
      <c r="A67" s="135" t="str">
        <f>'01_C&amp;P'!A65</f>
        <v>OBRA GRIS - SOBRE TERCER PISO</v>
      </c>
      <c r="B67" s="135"/>
      <c r="C67" s="135"/>
      <c r="D67" s="135"/>
      <c r="E67" s="125"/>
      <c r="F67" s="125"/>
      <c r="G67" s="125"/>
      <c r="H67" s="125"/>
      <c r="I67" s="125"/>
      <c r="J67" s="125"/>
    </row>
    <row r="68" ht="14.25" customHeight="1">
      <c r="A68" s="167">
        <f>'01_C&amp;P'!A66</f>
        <v>46025</v>
      </c>
      <c r="B68" s="163" t="str">
        <f>'01_C&amp;P'!B66</f>
        <v>COLUMNAS Y TABIQUES</v>
      </c>
      <c r="C68" s="116" t="str">
        <f>'01_C&amp;P'!C66</f>
        <v>m³</v>
      </c>
      <c r="D68" s="165">
        <f>'01_C&amp;P'!D66</f>
        <v>18</v>
      </c>
      <c r="E68" s="131">
        <f>'01_C&amp;P'!U66</f>
        <v>517211.3467</v>
      </c>
      <c r="F68" s="131">
        <f>'01_C&amp;P'!V66</f>
        <v>871343.5415</v>
      </c>
      <c r="G68" s="131">
        <f>'01_C&amp;P'!W66</f>
        <v>1388554.888</v>
      </c>
      <c r="H68" s="131">
        <f>'01_C&amp;P'!X66</f>
        <v>9309804.24</v>
      </c>
      <c r="I68" s="131">
        <f>'01_C&amp;P'!Y66</f>
        <v>15684183.75</v>
      </c>
      <c r="J68" s="131">
        <f t="shared" ref="J68:J75" si="8">H68+I68</f>
        <v>24993987.99</v>
      </c>
    </row>
    <row r="69" ht="14.25" customHeight="1">
      <c r="A69" s="167">
        <f>'01_C&amp;P'!A67</f>
        <v>46056</v>
      </c>
      <c r="B69" s="163" t="str">
        <f>'01_C&amp;P'!B67</f>
        <v>VIGAS </v>
      </c>
      <c r="C69" s="116" t="str">
        <f>'01_C&amp;P'!C67</f>
        <v>m³</v>
      </c>
      <c r="D69" s="165">
        <f>'01_C&amp;P'!D67</f>
        <v>13</v>
      </c>
      <c r="E69" s="131">
        <f>'01_C&amp;P'!U67</f>
        <v>631622.8738</v>
      </c>
      <c r="F69" s="131">
        <f>'01_C&amp;P'!V67</f>
        <v>1206475.673</v>
      </c>
      <c r="G69" s="131">
        <f>'01_C&amp;P'!W67</f>
        <v>1838098.547</v>
      </c>
      <c r="H69" s="131">
        <f>'01_C&amp;P'!X67</f>
        <v>8211097.36</v>
      </c>
      <c r="I69" s="131">
        <f>'01_C&amp;P'!Y67</f>
        <v>15684183.75</v>
      </c>
      <c r="J69" s="131">
        <f t="shared" si="8"/>
        <v>23895281.11</v>
      </c>
    </row>
    <row r="70" ht="14.25" customHeight="1">
      <c r="A70" s="167">
        <f>'01_C&amp;P'!A68</f>
        <v>46084</v>
      </c>
      <c r="B70" s="163" t="str">
        <f>'01_C&amp;P'!B68</f>
        <v>LOSA</v>
      </c>
      <c r="C70" s="116" t="str">
        <f>'01_C&amp;P'!C68</f>
        <v>m³</v>
      </c>
      <c r="D70" s="165">
        <f>'01_C&amp;P'!D68</f>
        <v>24</v>
      </c>
      <c r="E70" s="131">
        <f>'01_C&amp;P'!U68</f>
        <v>381107.0833</v>
      </c>
      <c r="F70" s="131">
        <f>'01_C&amp;P'!V68</f>
        <v>667666.077</v>
      </c>
      <c r="G70" s="131">
        <f>'01_C&amp;P'!W68</f>
        <v>1048773.16</v>
      </c>
      <c r="H70" s="131">
        <f>'01_C&amp;P'!X68</f>
        <v>9146570</v>
      </c>
      <c r="I70" s="131">
        <f>'01_C&amp;P'!Y68</f>
        <v>16023985.85</v>
      </c>
      <c r="J70" s="131">
        <f t="shared" si="8"/>
        <v>25170555.85</v>
      </c>
    </row>
    <row r="71" ht="14.25" customHeight="1">
      <c r="A71" s="167">
        <f>'01_C&amp;P'!A69</f>
        <v>46115</v>
      </c>
      <c r="B71" s="163" t="str">
        <f>'01_C&amp;P'!B69</f>
        <v>MAMPOSTERIA.</v>
      </c>
      <c r="C71" s="116" t="str">
        <f>'01_C&amp;P'!C69</f>
        <v>m²</v>
      </c>
      <c r="D71" s="165">
        <f>'01_C&amp;P'!D69</f>
        <v>320</v>
      </c>
      <c r="E71" s="131">
        <f>'01_C&amp;P'!U69</f>
        <v>29083.52645</v>
      </c>
      <c r="F71" s="131">
        <f>'01_C&amp;P'!V69</f>
        <v>29274.14398</v>
      </c>
      <c r="G71" s="131">
        <f>'01_C&amp;P'!W69</f>
        <v>58357.67043</v>
      </c>
      <c r="H71" s="131">
        <f>'01_C&amp;P'!X69</f>
        <v>9306728.463</v>
      </c>
      <c r="I71" s="131">
        <f>'01_C&amp;P'!Y69</f>
        <v>9367726.075</v>
      </c>
      <c r="J71" s="131">
        <f t="shared" si="8"/>
        <v>18674454.54</v>
      </c>
    </row>
    <row r="72" ht="14.25" customHeight="1">
      <c r="A72" s="167">
        <f>'01_C&amp;P'!A70</f>
        <v>46145</v>
      </c>
      <c r="B72" s="163" t="str">
        <f>'01_C&amp;P'!B70</f>
        <v>CONTRAPISO . e=12cm</v>
      </c>
      <c r="C72" s="116" t="str">
        <f>'01_C&amp;P'!C70</f>
        <v>m²</v>
      </c>
      <c r="D72" s="165">
        <f>'01_C&amp;P'!D70</f>
        <v>270</v>
      </c>
      <c r="E72" s="131">
        <f>'01_C&amp;P'!U70</f>
        <v>18509.52778</v>
      </c>
      <c r="F72" s="131">
        <f>'01_C&amp;P'!V70</f>
        <v>28848.85506</v>
      </c>
      <c r="G72" s="131">
        <f>'01_C&amp;P'!W70</f>
        <v>47358.38283</v>
      </c>
      <c r="H72" s="131">
        <f>'01_C&amp;P'!X70</f>
        <v>4997572.5</v>
      </c>
      <c r="I72" s="131">
        <f>'01_C&amp;P'!Y70</f>
        <v>7789190.865</v>
      </c>
      <c r="J72" s="131">
        <f t="shared" si="8"/>
        <v>12786763.37</v>
      </c>
    </row>
    <row r="73" ht="14.25" customHeight="1">
      <c r="A73" s="167">
        <f>'01_C&amp;P'!A71</f>
        <v>46176</v>
      </c>
      <c r="B73" s="163" t="str">
        <f>'01_C&amp;P'!B71</f>
        <v>CARPETA . e=3cm</v>
      </c>
      <c r="C73" s="116" t="str">
        <f>'01_C&amp;P'!C71</f>
        <v>m²</v>
      </c>
      <c r="D73" s="165">
        <f>'01_C&amp;P'!D71</f>
        <v>270</v>
      </c>
      <c r="E73" s="131">
        <f>'01_C&amp;P'!U71</f>
        <v>4823.074074</v>
      </c>
      <c r="F73" s="131">
        <f>'01_C&amp;P'!V71</f>
        <v>25914.20056</v>
      </c>
      <c r="G73" s="131">
        <f>'01_C&amp;P'!W71</f>
        <v>30737.27463</v>
      </c>
      <c r="H73" s="131">
        <f>'01_C&amp;P'!X71</f>
        <v>1302230</v>
      </c>
      <c r="I73" s="131">
        <f>'01_C&amp;P'!Y71</f>
        <v>6996834.15</v>
      </c>
      <c r="J73" s="131">
        <f t="shared" si="8"/>
        <v>8299064.15</v>
      </c>
    </row>
    <row r="74" ht="14.25" customHeight="1">
      <c r="A74" s="167">
        <f>'01_C&amp;P'!A72</f>
        <v>46206</v>
      </c>
      <c r="B74" s="163" t="str">
        <f>'01_C&amp;P'!B72</f>
        <v>REVOQUE INTERIOR. (GRUESO FRATAZADO)</v>
      </c>
      <c r="C74" s="116" t="str">
        <f>'01_C&amp;P'!C72</f>
        <v>m²</v>
      </c>
      <c r="D74" s="165">
        <f>'01_C&amp;P'!D72</f>
        <v>244</v>
      </c>
      <c r="E74" s="131">
        <f>'01_C&amp;P'!U72</f>
        <v>2908.31493</v>
      </c>
      <c r="F74" s="131">
        <f>'01_C&amp;P'!V72</f>
        <v>39500.09508</v>
      </c>
      <c r="G74" s="131">
        <f>'01_C&amp;P'!W72</f>
        <v>42408.41001</v>
      </c>
      <c r="H74" s="131">
        <f>'01_C&amp;P'!X72</f>
        <v>709628.843</v>
      </c>
      <c r="I74" s="131">
        <f>'01_C&amp;P'!Y72</f>
        <v>9638023.2</v>
      </c>
      <c r="J74" s="131">
        <f t="shared" si="8"/>
        <v>10347652.04</v>
      </c>
    </row>
    <row r="75" ht="14.25" customHeight="1">
      <c r="A75" s="167">
        <f>'01_C&amp;P'!A73</f>
        <v>46237</v>
      </c>
      <c r="B75" s="163" t="str">
        <f>'01_C&amp;P'!B73</f>
        <v>REVOQUE EXTERIOR (GRUESO FRATAZADO) CON HIDROFUGO.</v>
      </c>
      <c r="C75" s="116" t="str">
        <f>'01_C&amp;P'!C73</f>
        <v>m²</v>
      </c>
      <c r="D75" s="165">
        <f>'01_C&amp;P'!D73</f>
        <v>284</v>
      </c>
      <c r="E75" s="131">
        <f>'01_C&amp;P'!U73</f>
        <v>3803.746944</v>
      </c>
      <c r="F75" s="131">
        <f>'01_C&amp;P'!V73</f>
        <v>57920.8125</v>
      </c>
      <c r="G75" s="131">
        <f>'01_C&amp;P'!W73</f>
        <v>61724.55944</v>
      </c>
      <c r="H75" s="131">
        <f>'01_C&amp;P'!X73</f>
        <v>1080264.132</v>
      </c>
      <c r="I75" s="131">
        <f>'01_C&amp;P'!Y73</f>
        <v>16449510.75</v>
      </c>
      <c r="J75" s="131">
        <f t="shared" si="8"/>
        <v>17529774.88</v>
      </c>
    </row>
    <row r="76" ht="14.25" customHeight="1">
      <c r="A76" s="135" t="str">
        <f>'01_C&amp;P'!A74</f>
        <v>OBRA GRIS - SOBRE CUARTO PISO</v>
      </c>
      <c r="B76" s="135"/>
      <c r="C76" s="135"/>
      <c r="D76" s="166"/>
      <c r="E76" s="125"/>
      <c r="F76" s="125"/>
      <c r="G76" s="125"/>
      <c r="H76" s="125"/>
      <c r="I76" s="125"/>
      <c r="J76" s="125"/>
    </row>
    <row r="77" ht="14.25" customHeight="1">
      <c r="A77" s="167">
        <f>'01_C&amp;P'!A75</f>
        <v>46025</v>
      </c>
      <c r="B77" s="163" t="str">
        <f>'01_C&amp;P'!B75</f>
        <v>COLUMNAS Y TABIQUES</v>
      </c>
      <c r="C77" s="116" t="str">
        <f>'01_C&amp;P'!C75</f>
        <v>m³</v>
      </c>
      <c r="D77" s="165">
        <f>'01_C&amp;P'!D75</f>
        <v>18</v>
      </c>
      <c r="E77" s="131">
        <f>'01_C&amp;P'!U75</f>
        <v>517211.3467</v>
      </c>
      <c r="F77" s="131">
        <f>'01_C&amp;P'!V75</f>
        <v>871343.5415</v>
      </c>
      <c r="G77" s="131">
        <f>'01_C&amp;P'!W75</f>
        <v>1388554.888</v>
      </c>
      <c r="H77" s="131">
        <f>'01_C&amp;P'!X75</f>
        <v>9309804.24</v>
      </c>
      <c r="I77" s="131">
        <f>'01_C&amp;P'!Y75</f>
        <v>15684183.75</v>
      </c>
      <c r="J77" s="131">
        <f t="shared" ref="J77:J84" si="9">H77+I77</f>
        <v>24993987.99</v>
      </c>
    </row>
    <row r="78" ht="14.25" customHeight="1">
      <c r="A78" s="167">
        <f>'01_C&amp;P'!A76</f>
        <v>46056</v>
      </c>
      <c r="B78" s="163" t="str">
        <f>'01_C&amp;P'!B76</f>
        <v>VIGAS </v>
      </c>
      <c r="C78" s="116" t="str">
        <f>'01_C&amp;P'!C76</f>
        <v>m³</v>
      </c>
      <c r="D78" s="165">
        <f>'01_C&amp;P'!D76</f>
        <v>13</v>
      </c>
      <c r="E78" s="131">
        <f>'01_C&amp;P'!U76</f>
        <v>631622.8738</v>
      </c>
      <c r="F78" s="131">
        <f>'01_C&amp;P'!V76</f>
        <v>1206475.673</v>
      </c>
      <c r="G78" s="131">
        <f>'01_C&amp;P'!W76</f>
        <v>1838098.547</v>
      </c>
      <c r="H78" s="131">
        <f>'01_C&amp;P'!X76</f>
        <v>8211097.36</v>
      </c>
      <c r="I78" s="131">
        <f>'01_C&amp;P'!Y76</f>
        <v>15684183.75</v>
      </c>
      <c r="J78" s="131">
        <f t="shared" si="9"/>
        <v>23895281.11</v>
      </c>
    </row>
    <row r="79" ht="14.25" customHeight="1">
      <c r="A79" s="167">
        <f>'01_C&amp;P'!A77</f>
        <v>46084</v>
      </c>
      <c r="B79" s="163" t="str">
        <f>'01_C&amp;P'!B77</f>
        <v>LOSA</v>
      </c>
      <c r="C79" s="116" t="str">
        <f>'01_C&amp;P'!C77</f>
        <v>m³</v>
      </c>
      <c r="D79" s="165">
        <f>'01_C&amp;P'!D77</f>
        <v>24</v>
      </c>
      <c r="E79" s="131">
        <f>'01_C&amp;P'!U77</f>
        <v>381107.0833</v>
      </c>
      <c r="F79" s="131">
        <f>'01_C&amp;P'!V77</f>
        <v>667666.077</v>
      </c>
      <c r="G79" s="131">
        <f>'01_C&amp;P'!W77</f>
        <v>1048773.16</v>
      </c>
      <c r="H79" s="131">
        <f>'01_C&amp;P'!X77</f>
        <v>9146570</v>
      </c>
      <c r="I79" s="131">
        <f>'01_C&amp;P'!Y77</f>
        <v>16023985.85</v>
      </c>
      <c r="J79" s="131">
        <f t="shared" si="9"/>
        <v>25170555.85</v>
      </c>
    </row>
    <row r="80" ht="14.25" customHeight="1">
      <c r="A80" s="167">
        <f>'01_C&amp;P'!A78</f>
        <v>46115</v>
      </c>
      <c r="B80" s="163" t="str">
        <f>'01_C&amp;P'!B78</f>
        <v>MAMPOSTERIA.</v>
      </c>
      <c r="C80" s="116" t="str">
        <f>'01_C&amp;P'!C78</f>
        <v>m²</v>
      </c>
      <c r="D80" s="165">
        <f>'01_C&amp;P'!D78</f>
        <v>320</v>
      </c>
      <c r="E80" s="131">
        <f>'01_C&amp;P'!U78</f>
        <v>29083.52645</v>
      </c>
      <c r="F80" s="131">
        <f>'01_C&amp;P'!V78</f>
        <v>29274.14398</v>
      </c>
      <c r="G80" s="131">
        <f>'01_C&amp;P'!W78</f>
        <v>58357.67043</v>
      </c>
      <c r="H80" s="131">
        <f>'01_C&amp;P'!X78</f>
        <v>9306728.463</v>
      </c>
      <c r="I80" s="131">
        <f>'01_C&amp;P'!Y78</f>
        <v>9367726.075</v>
      </c>
      <c r="J80" s="131">
        <f t="shared" si="9"/>
        <v>18674454.54</v>
      </c>
    </row>
    <row r="81" ht="14.25" customHeight="1">
      <c r="A81" s="167">
        <f>'01_C&amp;P'!A79</f>
        <v>46145</v>
      </c>
      <c r="B81" s="163" t="str">
        <f>'01_C&amp;P'!B79</f>
        <v>CONTRAPISO . e=12cm</v>
      </c>
      <c r="C81" s="116" t="str">
        <f>'01_C&amp;P'!C79</f>
        <v>m²</v>
      </c>
      <c r="D81" s="165">
        <f>'01_C&amp;P'!D79</f>
        <v>270</v>
      </c>
      <c r="E81" s="131">
        <f>'01_C&amp;P'!U79</f>
        <v>18509.52778</v>
      </c>
      <c r="F81" s="131">
        <f>'01_C&amp;P'!V79</f>
        <v>28848.85506</v>
      </c>
      <c r="G81" s="131">
        <f>'01_C&amp;P'!W79</f>
        <v>47358.38283</v>
      </c>
      <c r="H81" s="131">
        <f>'01_C&amp;P'!X79</f>
        <v>4997572.5</v>
      </c>
      <c r="I81" s="131">
        <f>'01_C&amp;P'!Y79</f>
        <v>7789190.865</v>
      </c>
      <c r="J81" s="131">
        <f t="shared" si="9"/>
        <v>12786763.37</v>
      </c>
    </row>
    <row r="82" ht="14.25" customHeight="1">
      <c r="A82" s="167">
        <f>'01_C&amp;P'!A80</f>
        <v>46176</v>
      </c>
      <c r="B82" s="163" t="str">
        <f>'01_C&amp;P'!B80</f>
        <v>CARPETA . e=3cm</v>
      </c>
      <c r="C82" s="116" t="str">
        <f>'01_C&amp;P'!C80</f>
        <v>m²</v>
      </c>
      <c r="D82" s="165">
        <f>'01_C&amp;P'!D80</f>
        <v>270</v>
      </c>
      <c r="E82" s="131">
        <f>'01_C&amp;P'!U80</f>
        <v>4823.074074</v>
      </c>
      <c r="F82" s="131">
        <f>'01_C&amp;P'!V80</f>
        <v>25914.20056</v>
      </c>
      <c r="G82" s="131">
        <f>'01_C&amp;P'!W80</f>
        <v>30737.27463</v>
      </c>
      <c r="H82" s="131">
        <f>'01_C&amp;P'!X80</f>
        <v>1302230</v>
      </c>
      <c r="I82" s="131">
        <f>'01_C&amp;P'!Y80</f>
        <v>6996834.15</v>
      </c>
      <c r="J82" s="131">
        <f t="shared" si="9"/>
        <v>8299064.15</v>
      </c>
    </row>
    <row r="83" ht="14.25" customHeight="1">
      <c r="A83" s="167">
        <f>'01_C&amp;P'!A81</f>
        <v>46206</v>
      </c>
      <c r="B83" s="163" t="str">
        <f>'01_C&amp;P'!B81</f>
        <v>REVOQUE INTERIOR. (GRUESO FRATAZADO)</v>
      </c>
      <c r="C83" s="116" t="str">
        <f>'01_C&amp;P'!C81</f>
        <v>m²</v>
      </c>
      <c r="D83" s="165">
        <f>'01_C&amp;P'!D81</f>
        <v>244</v>
      </c>
      <c r="E83" s="131">
        <f>'01_C&amp;P'!U81</f>
        <v>2908.31493</v>
      </c>
      <c r="F83" s="131">
        <f>'01_C&amp;P'!V81</f>
        <v>39500.09508</v>
      </c>
      <c r="G83" s="131">
        <f>'01_C&amp;P'!W81</f>
        <v>42408.41001</v>
      </c>
      <c r="H83" s="131">
        <f>'01_C&amp;P'!X81</f>
        <v>709628.843</v>
      </c>
      <c r="I83" s="131">
        <f>'01_C&amp;P'!Y81</f>
        <v>9638023.2</v>
      </c>
      <c r="J83" s="131">
        <f t="shared" si="9"/>
        <v>10347652.04</v>
      </c>
    </row>
    <row r="84" ht="14.25" customHeight="1">
      <c r="A84" s="167">
        <f>'01_C&amp;P'!A82</f>
        <v>46237</v>
      </c>
      <c r="B84" s="163" t="str">
        <f>'01_C&amp;P'!B82</f>
        <v>REVOQUE EXTERIOR (GRUESO FRATAZADO) CON HIDROFUGO.</v>
      </c>
      <c r="C84" s="116" t="str">
        <f>'01_C&amp;P'!C82</f>
        <v>m²</v>
      </c>
      <c r="D84" s="165">
        <f>'01_C&amp;P'!D82</f>
        <v>284</v>
      </c>
      <c r="E84" s="131">
        <f>'01_C&amp;P'!U82</f>
        <v>3803.746944</v>
      </c>
      <c r="F84" s="131">
        <f>'01_C&amp;P'!V82</f>
        <v>57920.8125</v>
      </c>
      <c r="G84" s="131">
        <f>'01_C&amp;P'!W82</f>
        <v>61724.55944</v>
      </c>
      <c r="H84" s="131">
        <f>'01_C&amp;P'!X82</f>
        <v>1080264.132</v>
      </c>
      <c r="I84" s="131">
        <f>'01_C&amp;P'!Y82</f>
        <v>16449510.75</v>
      </c>
      <c r="J84" s="131">
        <f t="shared" si="9"/>
        <v>17529774.88</v>
      </c>
    </row>
    <row r="85" ht="14.25" customHeight="1">
      <c r="A85" s="135" t="str">
        <f>'01_C&amp;P'!A83</f>
        <v>OBRA GRIS - SOBRE QUINTO PISO</v>
      </c>
      <c r="B85" s="135"/>
      <c r="C85" s="135"/>
      <c r="D85" s="166"/>
      <c r="E85" s="125"/>
      <c r="F85" s="125"/>
      <c r="G85" s="125"/>
      <c r="H85" s="125"/>
      <c r="I85" s="125"/>
      <c r="J85" s="125"/>
    </row>
    <row r="86" ht="14.25" customHeight="1">
      <c r="A86" s="167">
        <f>'01_C&amp;P'!A84</f>
        <v>46025</v>
      </c>
      <c r="B86" s="163" t="str">
        <f>'01_C&amp;P'!B84</f>
        <v>COLUMNAS Y TABIQUES</v>
      </c>
      <c r="C86" s="116" t="str">
        <f>'01_C&amp;P'!C84</f>
        <v>m³</v>
      </c>
      <c r="D86" s="165">
        <f>'01_C&amp;P'!D84</f>
        <v>18</v>
      </c>
      <c r="E86" s="131">
        <f>'01_C&amp;P'!U84</f>
        <v>517211.3467</v>
      </c>
      <c r="F86" s="131">
        <f>'01_C&amp;P'!V84</f>
        <v>871343.5415</v>
      </c>
      <c r="G86" s="131">
        <f>'01_C&amp;P'!W84</f>
        <v>1388554.888</v>
      </c>
      <c r="H86" s="131">
        <f>'01_C&amp;P'!X84</f>
        <v>9309804.24</v>
      </c>
      <c r="I86" s="131">
        <f>'01_C&amp;P'!Y84</f>
        <v>15684183.75</v>
      </c>
      <c r="J86" s="131">
        <f t="shared" ref="J86:J93" si="10">H86+I86</f>
        <v>24993987.99</v>
      </c>
    </row>
    <row r="87" ht="14.25" customHeight="1">
      <c r="A87" s="167">
        <f>'01_C&amp;P'!A85</f>
        <v>46056</v>
      </c>
      <c r="B87" s="163" t="str">
        <f>'01_C&amp;P'!B85</f>
        <v>VIGAS </v>
      </c>
      <c r="C87" s="116" t="str">
        <f>'01_C&amp;P'!C85</f>
        <v>m³</v>
      </c>
      <c r="D87" s="165">
        <f>'01_C&amp;P'!D85</f>
        <v>13</v>
      </c>
      <c r="E87" s="131">
        <f>'01_C&amp;P'!U85</f>
        <v>631622.8738</v>
      </c>
      <c r="F87" s="131">
        <f>'01_C&amp;P'!V85</f>
        <v>1206475.673</v>
      </c>
      <c r="G87" s="131">
        <f>'01_C&amp;P'!W85</f>
        <v>1838098.547</v>
      </c>
      <c r="H87" s="131">
        <f>'01_C&amp;P'!X85</f>
        <v>8211097.36</v>
      </c>
      <c r="I87" s="131">
        <f>'01_C&amp;P'!Y85</f>
        <v>15684183.75</v>
      </c>
      <c r="J87" s="131">
        <f t="shared" si="10"/>
        <v>23895281.11</v>
      </c>
    </row>
    <row r="88" ht="14.25" customHeight="1">
      <c r="A88" s="167">
        <f>'01_C&amp;P'!A86</f>
        <v>46084</v>
      </c>
      <c r="B88" s="163" t="str">
        <f>'01_C&amp;P'!B86</f>
        <v>LOSA</v>
      </c>
      <c r="C88" s="116" t="str">
        <f>'01_C&amp;P'!C86</f>
        <v>m³</v>
      </c>
      <c r="D88" s="165">
        <f>'01_C&amp;P'!D86</f>
        <v>24</v>
      </c>
      <c r="E88" s="131">
        <f>'01_C&amp;P'!U86</f>
        <v>381107.0833</v>
      </c>
      <c r="F88" s="131">
        <f>'01_C&amp;P'!V86</f>
        <v>667666.077</v>
      </c>
      <c r="G88" s="131">
        <f>'01_C&amp;P'!W86</f>
        <v>1048773.16</v>
      </c>
      <c r="H88" s="131">
        <f>'01_C&amp;P'!X86</f>
        <v>9146570</v>
      </c>
      <c r="I88" s="131">
        <f>'01_C&amp;P'!Y86</f>
        <v>16023985.85</v>
      </c>
      <c r="J88" s="131">
        <f t="shared" si="10"/>
        <v>25170555.85</v>
      </c>
    </row>
    <row r="89" ht="14.25" customHeight="1">
      <c r="A89" s="167">
        <f>'01_C&amp;P'!A87</f>
        <v>46115</v>
      </c>
      <c r="B89" s="163" t="str">
        <f>'01_C&amp;P'!B87</f>
        <v>MAMPOSTERIA.</v>
      </c>
      <c r="C89" s="116" t="str">
        <f>'01_C&amp;P'!C87</f>
        <v>m²</v>
      </c>
      <c r="D89" s="165">
        <f>'01_C&amp;P'!D87</f>
        <v>320</v>
      </c>
      <c r="E89" s="131">
        <f>'01_C&amp;P'!U87</f>
        <v>29083.52645</v>
      </c>
      <c r="F89" s="131">
        <f>'01_C&amp;P'!V87</f>
        <v>29274.14398</v>
      </c>
      <c r="G89" s="131">
        <f>'01_C&amp;P'!W87</f>
        <v>58357.67043</v>
      </c>
      <c r="H89" s="131">
        <f>'01_C&amp;P'!X87</f>
        <v>9306728.463</v>
      </c>
      <c r="I89" s="131">
        <f>'01_C&amp;P'!Y87</f>
        <v>9367726.075</v>
      </c>
      <c r="J89" s="131">
        <f t="shared" si="10"/>
        <v>18674454.54</v>
      </c>
    </row>
    <row r="90" ht="14.25" customHeight="1">
      <c r="A90" s="167">
        <f>'01_C&amp;P'!A88</f>
        <v>46145</v>
      </c>
      <c r="B90" s="163" t="str">
        <f>'01_C&amp;P'!B88</f>
        <v>CONTRAPISO . e=12cm</v>
      </c>
      <c r="C90" s="116" t="str">
        <f>'01_C&amp;P'!C88</f>
        <v>m²</v>
      </c>
      <c r="D90" s="165">
        <f>'01_C&amp;P'!D88</f>
        <v>270</v>
      </c>
      <c r="E90" s="131">
        <f>'01_C&amp;P'!U88</f>
        <v>18509.52778</v>
      </c>
      <c r="F90" s="131">
        <f>'01_C&amp;P'!V88</f>
        <v>28848.85506</v>
      </c>
      <c r="G90" s="131">
        <f>'01_C&amp;P'!W88</f>
        <v>47358.38283</v>
      </c>
      <c r="H90" s="131">
        <f>'01_C&amp;P'!X88</f>
        <v>4997572.5</v>
      </c>
      <c r="I90" s="131">
        <f>'01_C&amp;P'!Y88</f>
        <v>7789190.865</v>
      </c>
      <c r="J90" s="131">
        <f t="shared" si="10"/>
        <v>12786763.37</v>
      </c>
    </row>
    <row r="91" ht="14.25" customHeight="1">
      <c r="A91" s="167">
        <f>'01_C&amp;P'!A89</f>
        <v>46176</v>
      </c>
      <c r="B91" s="163" t="str">
        <f>'01_C&amp;P'!B89</f>
        <v>CARPETA . e=3cm</v>
      </c>
      <c r="C91" s="116" t="str">
        <f>'01_C&amp;P'!C89</f>
        <v>m²</v>
      </c>
      <c r="D91" s="165">
        <f>'01_C&amp;P'!D89</f>
        <v>270</v>
      </c>
      <c r="E91" s="131">
        <f>'01_C&amp;P'!U89</f>
        <v>4823.074074</v>
      </c>
      <c r="F91" s="131">
        <f>'01_C&amp;P'!V89</f>
        <v>25914.20056</v>
      </c>
      <c r="G91" s="131">
        <f>'01_C&amp;P'!W89</f>
        <v>30737.27463</v>
      </c>
      <c r="H91" s="131">
        <f>'01_C&amp;P'!X89</f>
        <v>1302230</v>
      </c>
      <c r="I91" s="131">
        <f>'01_C&amp;P'!Y89</f>
        <v>6996834.15</v>
      </c>
      <c r="J91" s="131">
        <f t="shared" si="10"/>
        <v>8299064.15</v>
      </c>
    </row>
    <row r="92" ht="14.25" customHeight="1">
      <c r="A92" s="167">
        <f>'01_C&amp;P'!A90</f>
        <v>46206</v>
      </c>
      <c r="B92" s="163" t="str">
        <f>'01_C&amp;P'!B90</f>
        <v>REVOQUE INTERIOR. (GRUESO FRATAZADO)</v>
      </c>
      <c r="C92" s="116" t="str">
        <f>'01_C&amp;P'!C90</f>
        <v>m²</v>
      </c>
      <c r="D92" s="165">
        <f>'01_C&amp;P'!D90</f>
        <v>244</v>
      </c>
      <c r="E92" s="131">
        <f>'01_C&amp;P'!U90</f>
        <v>2908.31493</v>
      </c>
      <c r="F92" s="131">
        <f>'01_C&amp;P'!V90</f>
        <v>39500.09508</v>
      </c>
      <c r="G92" s="131">
        <f>'01_C&amp;P'!W90</f>
        <v>42408.41001</v>
      </c>
      <c r="H92" s="131">
        <f>'01_C&amp;P'!X90</f>
        <v>709628.843</v>
      </c>
      <c r="I92" s="131">
        <f>'01_C&amp;P'!Y90</f>
        <v>9638023.2</v>
      </c>
      <c r="J92" s="131">
        <f t="shared" si="10"/>
        <v>10347652.04</v>
      </c>
    </row>
    <row r="93" ht="14.25" customHeight="1">
      <c r="A93" s="167">
        <f>'01_C&amp;P'!A91</f>
        <v>46237</v>
      </c>
      <c r="B93" s="163" t="str">
        <f>'01_C&amp;P'!B91</f>
        <v>REVOQUE EXTERIOR (GRUESO FRATAZADO) CON HIDROFUGO.</v>
      </c>
      <c r="C93" s="116" t="str">
        <f>'01_C&amp;P'!C91</f>
        <v>m²</v>
      </c>
      <c r="D93" s="165">
        <f>'01_C&amp;P'!D91</f>
        <v>284</v>
      </c>
      <c r="E93" s="131">
        <f>'01_C&amp;P'!U91</f>
        <v>3803.746944</v>
      </c>
      <c r="F93" s="131">
        <f>'01_C&amp;P'!V91</f>
        <v>57920.8125</v>
      </c>
      <c r="G93" s="131">
        <f>'01_C&amp;P'!W91</f>
        <v>61724.55944</v>
      </c>
      <c r="H93" s="131">
        <f>'01_C&amp;P'!X91</f>
        <v>1080264.132</v>
      </c>
      <c r="I93" s="131">
        <f>'01_C&amp;P'!Y91</f>
        <v>16449510.75</v>
      </c>
      <c r="J93" s="131">
        <f t="shared" si="10"/>
        <v>17529774.88</v>
      </c>
    </row>
    <row r="94" ht="14.25" customHeight="1">
      <c r="A94" s="135" t="str">
        <f>'01_C&amp;P'!A92</f>
        <v>OBRA GRIS - SOBRE SEXTO PISO</v>
      </c>
      <c r="B94" s="135"/>
      <c r="C94" s="135"/>
      <c r="D94" s="166"/>
      <c r="E94" s="125"/>
      <c r="F94" s="125"/>
      <c r="G94" s="125"/>
      <c r="H94" s="125"/>
      <c r="I94" s="125"/>
      <c r="J94" s="125"/>
    </row>
    <row r="95" ht="14.25" customHeight="1">
      <c r="A95" s="167">
        <f>'01_C&amp;P'!A93</f>
        <v>46025</v>
      </c>
      <c r="B95" s="163" t="str">
        <f>'01_C&amp;P'!B93</f>
        <v>COLUMNAS Y TABIQUES</v>
      </c>
      <c r="C95" s="116" t="str">
        <f>'01_C&amp;P'!C93</f>
        <v>m³</v>
      </c>
      <c r="D95" s="165">
        <f>'01_C&amp;P'!D93</f>
        <v>18</v>
      </c>
      <c r="E95" s="131">
        <f>'01_C&amp;P'!U93</f>
        <v>517211.3467</v>
      </c>
      <c r="F95" s="131">
        <f>'01_C&amp;P'!V93</f>
        <v>871343.5415</v>
      </c>
      <c r="G95" s="131">
        <f>'01_C&amp;P'!W93</f>
        <v>1388554.888</v>
      </c>
      <c r="H95" s="131">
        <f>'01_C&amp;P'!X93</f>
        <v>9309804.24</v>
      </c>
      <c r="I95" s="131">
        <f>'01_C&amp;P'!Y93</f>
        <v>15684183.75</v>
      </c>
      <c r="J95" s="131">
        <f t="shared" ref="J95:J102" si="11">H95+I95</f>
        <v>24993987.99</v>
      </c>
    </row>
    <row r="96" ht="14.25" customHeight="1">
      <c r="A96" s="167">
        <f>'01_C&amp;P'!A94</f>
        <v>46056</v>
      </c>
      <c r="B96" s="163" t="str">
        <f>'01_C&amp;P'!B94</f>
        <v>VIGAS </v>
      </c>
      <c r="C96" s="116" t="str">
        <f>'01_C&amp;P'!C94</f>
        <v>m³</v>
      </c>
      <c r="D96" s="165">
        <f>'01_C&amp;P'!D94</f>
        <v>13</v>
      </c>
      <c r="E96" s="131">
        <f>'01_C&amp;P'!U94</f>
        <v>631622.8738</v>
      </c>
      <c r="F96" s="131">
        <f>'01_C&amp;P'!V94</f>
        <v>1206475.673</v>
      </c>
      <c r="G96" s="131">
        <f>'01_C&amp;P'!W94</f>
        <v>1838098.547</v>
      </c>
      <c r="H96" s="131">
        <f>'01_C&amp;P'!X94</f>
        <v>8211097.36</v>
      </c>
      <c r="I96" s="131">
        <f>'01_C&amp;P'!Y94</f>
        <v>15684183.75</v>
      </c>
      <c r="J96" s="131">
        <f t="shared" si="11"/>
        <v>23895281.11</v>
      </c>
    </row>
    <row r="97" ht="14.25" customHeight="1">
      <c r="A97" s="167">
        <f>'01_C&amp;P'!A95</f>
        <v>46084</v>
      </c>
      <c r="B97" s="163" t="str">
        <f>'01_C&amp;P'!B95</f>
        <v>LOSA</v>
      </c>
      <c r="C97" s="116" t="str">
        <f>'01_C&amp;P'!C95</f>
        <v>m³</v>
      </c>
      <c r="D97" s="165">
        <f>'01_C&amp;P'!D95</f>
        <v>24</v>
      </c>
      <c r="E97" s="131">
        <f>'01_C&amp;P'!U95</f>
        <v>381107.0833</v>
      </c>
      <c r="F97" s="131">
        <f>'01_C&amp;P'!V95</f>
        <v>667666.077</v>
      </c>
      <c r="G97" s="131">
        <f>'01_C&amp;P'!W95</f>
        <v>1048773.16</v>
      </c>
      <c r="H97" s="131">
        <f>'01_C&amp;P'!X95</f>
        <v>9146570</v>
      </c>
      <c r="I97" s="131">
        <f>'01_C&amp;P'!Y95</f>
        <v>16023985.85</v>
      </c>
      <c r="J97" s="131">
        <f t="shared" si="11"/>
        <v>25170555.85</v>
      </c>
    </row>
    <row r="98" ht="14.25" customHeight="1">
      <c r="A98" s="167">
        <f>'01_C&amp;P'!A96</f>
        <v>46115</v>
      </c>
      <c r="B98" s="163" t="str">
        <f>'01_C&amp;P'!B96</f>
        <v>MAMPOSTERIA.</v>
      </c>
      <c r="C98" s="116" t="str">
        <f>'01_C&amp;P'!C96</f>
        <v>m²</v>
      </c>
      <c r="D98" s="165">
        <f>'01_C&amp;P'!D96</f>
        <v>320</v>
      </c>
      <c r="E98" s="131">
        <f>'01_C&amp;P'!U96</f>
        <v>29083.52645</v>
      </c>
      <c r="F98" s="131">
        <f>'01_C&amp;P'!V96</f>
        <v>29274.14398</v>
      </c>
      <c r="G98" s="131">
        <f>'01_C&amp;P'!W96</f>
        <v>58357.67043</v>
      </c>
      <c r="H98" s="131">
        <f>'01_C&amp;P'!X96</f>
        <v>9306728.463</v>
      </c>
      <c r="I98" s="131">
        <f>'01_C&amp;P'!Y96</f>
        <v>9367726.075</v>
      </c>
      <c r="J98" s="131">
        <f t="shared" si="11"/>
        <v>18674454.54</v>
      </c>
    </row>
    <row r="99" ht="14.25" customHeight="1">
      <c r="A99" s="167">
        <f>'01_C&amp;P'!A97</f>
        <v>46145</v>
      </c>
      <c r="B99" s="163" t="str">
        <f>'01_C&amp;P'!B97</f>
        <v>CONTRAPISO . e=12cm</v>
      </c>
      <c r="C99" s="116" t="str">
        <f>'01_C&amp;P'!C97</f>
        <v>m²</v>
      </c>
      <c r="D99" s="165">
        <f>'01_C&amp;P'!D97</f>
        <v>270</v>
      </c>
      <c r="E99" s="131">
        <f>'01_C&amp;P'!U97</f>
        <v>18509.52778</v>
      </c>
      <c r="F99" s="131">
        <f>'01_C&amp;P'!V97</f>
        <v>28848.85506</v>
      </c>
      <c r="G99" s="131">
        <f>'01_C&amp;P'!W97</f>
        <v>47358.38283</v>
      </c>
      <c r="H99" s="131">
        <f>'01_C&amp;P'!X97</f>
        <v>4997572.5</v>
      </c>
      <c r="I99" s="131">
        <f>'01_C&amp;P'!Y97</f>
        <v>7789190.865</v>
      </c>
      <c r="J99" s="131">
        <f t="shared" si="11"/>
        <v>12786763.37</v>
      </c>
    </row>
    <row r="100" ht="14.25" customHeight="1">
      <c r="A100" s="167">
        <f>'01_C&amp;P'!A98</f>
        <v>46176</v>
      </c>
      <c r="B100" s="163" t="str">
        <f>'01_C&amp;P'!B98</f>
        <v>CARPETA . e=3cm</v>
      </c>
      <c r="C100" s="116" t="str">
        <f>'01_C&amp;P'!C98</f>
        <v>m²</v>
      </c>
      <c r="D100" s="165">
        <f>'01_C&amp;P'!D98</f>
        <v>270</v>
      </c>
      <c r="E100" s="131">
        <f>'01_C&amp;P'!U98</f>
        <v>4823.074074</v>
      </c>
      <c r="F100" s="131">
        <f>'01_C&amp;P'!V98</f>
        <v>25914.20056</v>
      </c>
      <c r="G100" s="131">
        <f>'01_C&amp;P'!W98</f>
        <v>30737.27463</v>
      </c>
      <c r="H100" s="131">
        <f>'01_C&amp;P'!X98</f>
        <v>1302230</v>
      </c>
      <c r="I100" s="131">
        <f>'01_C&amp;P'!Y98</f>
        <v>6996834.15</v>
      </c>
      <c r="J100" s="131">
        <f t="shared" si="11"/>
        <v>8299064.15</v>
      </c>
    </row>
    <row r="101" ht="14.25" customHeight="1">
      <c r="A101" s="167">
        <f>'01_C&amp;P'!A99</f>
        <v>46206</v>
      </c>
      <c r="B101" s="163" t="str">
        <f>'01_C&amp;P'!B99</f>
        <v>REVOQUE INTERIOR. (GRUESO FRATAZADO)</v>
      </c>
      <c r="C101" s="116" t="str">
        <f>'01_C&amp;P'!C99</f>
        <v>m²</v>
      </c>
      <c r="D101" s="165">
        <f>'01_C&amp;P'!D99</f>
        <v>244</v>
      </c>
      <c r="E101" s="131">
        <f>'01_C&amp;P'!U99</f>
        <v>2908.31493</v>
      </c>
      <c r="F101" s="131">
        <f>'01_C&amp;P'!V99</f>
        <v>39500.09508</v>
      </c>
      <c r="G101" s="131">
        <f>'01_C&amp;P'!W99</f>
        <v>42408.41001</v>
      </c>
      <c r="H101" s="131">
        <f>'01_C&amp;P'!X99</f>
        <v>709628.843</v>
      </c>
      <c r="I101" s="131">
        <f>'01_C&amp;P'!Y99</f>
        <v>9638023.2</v>
      </c>
      <c r="J101" s="131">
        <f t="shared" si="11"/>
        <v>10347652.04</v>
      </c>
    </row>
    <row r="102" ht="14.25" customHeight="1">
      <c r="A102" s="167">
        <f>'01_C&amp;P'!A100</f>
        <v>46237</v>
      </c>
      <c r="B102" s="163" t="str">
        <f>'01_C&amp;P'!B100</f>
        <v>REVOQUE EXTERIOR (GRUESO FRATAZADO) CON HIDROFUGO.</v>
      </c>
      <c r="C102" s="116" t="str">
        <f>'01_C&amp;P'!C100</f>
        <v>m²</v>
      </c>
      <c r="D102" s="165">
        <f>'01_C&amp;P'!D100</f>
        <v>284</v>
      </c>
      <c r="E102" s="131">
        <f>'01_C&amp;P'!U100</f>
        <v>3803.746944</v>
      </c>
      <c r="F102" s="131">
        <f>'01_C&amp;P'!V100</f>
        <v>57920.8125</v>
      </c>
      <c r="G102" s="131">
        <f>'01_C&amp;P'!W100</f>
        <v>61724.55944</v>
      </c>
      <c r="H102" s="131">
        <f>'01_C&amp;P'!X100</f>
        <v>1080264.132</v>
      </c>
      <c r="I102" s="131">
        <f>'01_C&amp;P'!Y100</f>
        <v>16449510.75</v>
      </c>
      <c r="J102" s="131">
        <f t="shared" si="11"/>
        <v>17529774.88</v>
      </c>
    </row>
    <row r="103" ht="14.25" customHeight="1">
      <c r="A103" s="135" t="str">
        <f>'01_C&amp;P'!A101</f>
        <v>OBRA GRIS - SOBRE SEPTIMO PISO</v>
      </c>
      <c r="B103" s="135"/>
      <c r="C103" s="135" t="str">
        <f>'01_C&amp;P'!C101</f>
        <v/>
      </c>
      <c r="D103" s="166" t="str">
        <f>'01_C&amp;P'!D101</f>
        <v/>
      </c>
      <c r="E103" s="125"/>
      <c r="F103" s="125"/>
      <c r="G103" s="125"/>
      <c r="H103" s="125"/>
      <c r="I103" s="125"/>
      <c r="J103" s="125"/>
    </row>
    <row r="104" ht="14.25" customHeight="1">
      <c r="A104" s="167">
        <f>'01_C&amp;P'!A102</f>
        <v>46025</v>
      </c>
      <c r="B104" s="163" t="str">
        <f>'01_C&amp;P'!B102</f>
        <v>COLUMNAS Y TABIQUES</v>
      </c>
      <c r="C104" s="116" t="str">
        <f>'01_C&amp;P'!C102</f>
        <v>m³</v>
      </c>
      <c r="D104" s="165">
        <f>'01_C&amp;P'!D102</f>
        <v>18</v>
      </c>
      <c r="E104" s="131">
        <f>'01_C&amp;P'!U102</f>
        <v>517211.3467</v>
      </c>
      <c r="F104" s="131">
        <f>'01_C&amp;P'!V102</f>
        <v>871343.5415</v>
      </c>
      <c r="G104" s="131">
        <f>'01_C&amp;P'!W102</f>
        <v>1388554.888</v>
      </c>
      <c r="H104" s="131">
        <f>'01_C&amp;P'!X102</f>
        <v>9309804.24</v>
      </c>
      <c r="I104" s="131">
        <f>'01_C&amp;P'!Y102</f>
        <v>15684183.75</v>
      </c>
      <c r="J104" s="131">
        <f t="shared" ref="J104:J111" si="12">H104+I104</f>
        <v>24993987.99</v>
      </c>
    </row>
    <row r="105" ht="14.25" customHeight="1">
      <c r="A105" s="167">
        <f>'01_C&amp;P'!A103</f>
        <v>46056</v>
      </c>
      <c r="B105" s="163" t="str">
        <f>'01_C&amp;P'!B103</f>
        <v>VIGAS </v>
      </c>
      <c r="C105" s="116" t="str">
        <f>'01_C&amp;P'!C103</f>
        <v>m³</v>
      </c>
      <c r="D105" s="165">
        <f>'01_C&amp;P'!D103</f>
        <v>13</v>
      </c>
      <c r="E105" s="131">
        <f>'01_C&amp;P'!U103</f>
        <v>631622.8738</v>
      </c>
      <c r="F105" s="131">
        <f>'01_C&amp;P'!V103</f>
        <v>1206475.673</v>
      </c>
      <c r="G105" s="131">
        <f>'01_C&amp;P'!W103</f>
        <v>1838098.547</v>
      </c>
      <c r="H105" s="131">
        <f>'01_C&amp;P'!X103</f>
        <v>8211097.36</v>
      </c>
      <c r="I105" s="131">
        <f>'01_C&amp;P'!Y103</f>
        <v>15684183.75</v>
      </c>
      <c r="J105" s="131">
        <f t="shared" si="12"/>
        <v>23895281.11</v>
      </c>
    </row>
    <row r="106" ht="14.25" customHeight="1">
      <c r="A106" s="167">
        <f>'01_C&amp;P'!A104</f>
        <v>46084</v>
      </c>
      <c r="B106" s="163" t="str">
        <f>'01_C&amp;P'!B104</f>
        <v>LOSA</v>
      </c>
      <c r="C106" s="116" t="str">
        <f>'01_C&amp;P'!C104</f>
        <v>m³</v>
      </c>
      <c r="D106" s="165">
        <f>'01_C&amp;P'!D104</f>
        <v>24</v>
      </c>
      <c r="E106" s="131">
        <f>'01_C&amp;P'!U104</f>
        <v>381107.0833</v>
      </c>
      <c r="F106" s="131">
        <f>'01_C&amp;P'!V104</f>
        <v>667666.077</v>
      </c>
      <c r="G106" s="131">
        <f>'01_C&amp;P'!W104</f>
        <v>1048773.16</v>
      </c>
      <c r="H106" s="131">
        <f>'01_C&amp;P'!X104</f>
        <v>9146570</v>
      </c>
      <c r="I106" s="131">
        <f>'01_C&amp;P'!Y104</f>
        <v>16023985.85</v>
      </c>
      <c r="J106" s="131">
        <f t="shared" si="12"/>
        <v>25170555.85</v>
      </c>
    </row>
    <row r="107" ht="14.25" customHeight="1">
      <c r="A107" s="167">
        <f>'01_C&amp;P'!A105</f>
        <v>46115</v>
      </c>
      <c r="B107" s="163" t="str">
        <f>'01_C&amp;P'!B105</f>
        <v>MAMPOSTERIA.</v>
      </c>
      <c r="C107" s="116" t="str">
        <f>'01_C&amp;P'!C105</f>
        <v>m²</v>
      </c>
      <c r="D107" s="165">
        <f>'01_C&amp;P'!D105</f>
        <v>320</v>
      </c>
      <c r="E107" s="131">
        <f>'01_C&amp;P'!U105</f>
        <v>29083.52645</v>
      </c>
      <c r="F107" s="131">
        <f>'01_C&amp;P'!V105</f>
        <v>29274.14398</v>
      </c>
      <c r="G107" s="131">
        <f>'01_C&amp;P'!W105</f>
        <v>58357.67043</v>
      </c>
      <c r="H107" s="131">
        <f>'01_C&amp;P'!X105</f>
        <v>9306728.463</v>
      </c>
      <c r="I107" s="131">
        <f>'01_C&amp;P'!Y105</f>
        <v>9367726.075</v>
      </c>
      <c r="J107" s="131">
        <f t="shared" si="12"/>
        <v>18674454.54</v>
      </c>
    </row>
    <row r="108" ht="14.25" customHeight="1">
      <c r="A108" s="167">
        <f>'01_C&amp;P'!A106</f>
        <v>46145</v>
      </c>
      <c r="B108" s="163" t="str">
        <f>'01_C&amp;P'!B106</f>
        <v>CONTRAPISO . e=12cm</v>
      </c>
      <c r="C108" s="116" t="str">
        <f>'01_C&amp;P'!C106</f>
        <v>m²</v>
      </c>
      <c r="D108" s="165">
        <f>'01_C&amp;P'!D106</f>
        <v>270</v>
      </c>
      <c r="E108" s="131">
        <f>'01_C&amp;P'!U106</f>
        <v>18509.52778</v>
      </c>
      <c r="F108" s="131">
        <f>'01_C&amp;P'!V106</f>
        <v>28848.85506</v>
      </c>
      <c r="G108" s="131">
        <f>'01_C&amp;P'!W106</f>
        <v>47358.38283</v>
      </c>
      <c r="H108" s="131">
        <f>'01_C&amp;P'!X106</f>
        <v>4997572.5</v>
      </c>
      <c r="I108" s="131">
        <f>'01_C&amp;P'!Y106</f>
        <v>7789190.865</v>
      </c>
      <c r="J108" s="131">
        <f t="shared" si="12"/>
        <v>12786763.37</v>
      </c>
    </row>
    <row r="109" ht="14.25" customHeight="1">
      <c r="A109" s="167">
        <f>'01_C&amp;P'!A107</f>
        <v>46176</v>
      </c>
      <c r="B109" s="163" t="str">
        <f>'01_C&amp;P'!B107</f>
        <v>CARPETA . e=3cm</v>
      </c>
      <c r="C109" s="116" t="str">
        <f>'01_C&amp;P'!C107</f>
        <v>m²</v>
      </c>
      <c r="D109" s="165">
        <f>'01_C&amp;P'!D107</f>
        <v>270</v>
      </c>
      <c r="E109" s="131">
        <f>'01_C&amp;P'!U107</f>
        <v>4823.074074</v>
      </c>
      <c r="F109" s="131">
        <f>'01_C&amp;P'!V107</f>
        <v>25914.20056</v>
      </c>
      <c r="G109" s="131">
        <f>'01_C&amp;P'!W107</f>
        <v>30737.27463</v>
      </c>
      <c r="H109" s="131">
        <f>'01_C&amp;P'!X107</f>
        <v>1302230</v>
      </c>
      <c r="I109" s="131">
        <f>'01_C&amp;P'!Y107</f>
        <v>6996834.15</v>
      </c>
      <c r="J109" s="131">
        <f t="shared" si="12"/>
        <v>8299064.15</v>
      </c>
    </row>
    <row r="110" ht="14.25" customHeight="1">
      <c r="A110" s="167">
        <f>'01_C&amp;P'!A108</f>
        <v>46206</v>
      </c>
      <c r="B110" s="163" t="str">
        <f>'01_C&amp;P'!B108</f>
        <v>REVOQUE INTERIOR. (GRUESO FRATAZADO)</v>
      </c>
      <c r="C110" s="116" t="str">
        <f>'01_C&amp;P'!C108</f>
        <v>m²</v>
      </c>
      <c r="D110" s="165">
        <f>'01_C&amp;P'!D108</f>
        <v>244</v>
      </c>
      <c r="E110" s="131">
        <f>'01_C&amp;P'!U108</f>
        <v>2908.31493</v>
      </c>
      <c r="F110" s="131">
        <f>'01_C&amp;P'!V108</f>
        <v>39500.09508</v>
      </c>
      <c r="G110" s="131">
        <f>'01_C&amp;P'!W108</f>
        <v>42408.41001</v>
      </c>
      <c r="H110" s="131">
        <f>'01_C&amp;P'!X108</f>
        <v>709628.843</v>
      </c>
      <c r="I110" s="131">
        <f>'01_C&amp;P'!Y108</f>
        <v>9638023.2</v>
      </c>
      <c r="J110" s="131">
        <f t="shared" si="12"/>
        <v>10347652.04</v>
      </c>
    </row>
    <row r="111" ht="14.25" customHeight="1">
      <c r="A111" s="167">
        <f>'01_C&amp;P'!A109</f>
        <v>46237</v>
      </c>
      <c r="B111" s="163" t="str">
        <f>'01_C&amp;P'!B109</f>
        <v>REVOQUE EXTERIOR (GRUESO FRATAZADO) CON HIDROFUGO.</v>
      </c>
      <c r="C111" s="116" t="str">
        <f>'01_C&amp;P'!C109</f>
        <v>m²</v>
      </c>
      <c r="D111" s="165">
        <f>'01_C&amp;P'!D109</f>
        <v>284</v>
      </c>
      <c r="E111" s="131">
        <f>'01_C&amp;P'!U109</f>
        <v>3803.746944</v>
      </c>
      <c r="F111" s="131">
        <f>'01_C&amp;P'!V109</f>
        <v>57920.8125</v>
      </c>
      <c r="G111" s="131">
        <f>'01_C&amp;P'!W109</f>
        <v>61724.55944</v>
      </c>
      <c r="H111" s="131">
        <f>'01_C&amp;P'!X109</f>
        <v>1080264.132</v>
      </c>
      <c r="I111" s="131">
        <f>'01_C&amp;P'!Y109</f>
        <v>16449510.75</v>
      </c>
      <c r="J111" s="131">
        <f t="shared" si="12"/>
        <v>17529774.88</v>
      </c>
    </row>
    <row r="112" ht="14.25" customHeight="1">
      <c r="A112" s="135" t="str">
        <f>'01_C&amp;P'!A110</f>
        <v>OBRA GRIS - SOBRE OCTAVO PISO</v>
      </c>
      <c r="B112" s="135"/>
      <c r="C112" s="135" t="str">
        <f>'01_C&amp;P'!C110</f>
        <v/>
      </c>
      <c r="D112" s="166"/>
      <c r="E112" s="125"/>
      <c r="F112" s="125"/>
      <c r="G112" s="125"/>
      <c r="H112" s="125"/>
      <c r="I112" s="125"/>
      <c r="J112" s="125"/>
    </row>
    <row r="113" ht="14.25" customHeight="1">
      <c r="A113" s="167">
        <f>'01_C&amp;P'!A111</f>
        <v>46025</v>
      </c>
      <c r="B113" s="163" t="str">
        <f>'01_C&amp;P'!B111</f>
        <v>COLUMNAS Y TABIQUES</v>
      </c>
      <c r="C113" s="116" t="str">
        <f>'01_C&amp;P'!C111</f>
        <v>m³</v>
      </c>
      <c r="D113" s="165">
        <f>'01_C&amp;P'!D111</f>
        <v>18</v>
      </c>
      <c r="E113" s="131">
        <f>'01_C&amp;P'!U111</f>
        <v>517211.3467</v>
      </c>
      <c r="F113" s="131">
        <f>'01_C&amp;P'!V111</f>
        <v>871343.5415</v>
      </c>
      <c r="G113" s="131">
        <f>'01_C&amp;P'!W111</f>
        <v>1388554.888</v>
      </c>
      <c r="H113" s="131">
        <f>'01_C&amp;P'!X111</f>
        <v>9309804.24</v>
      </c>
      <c r="I113" s="131">
        <f>'01_C&amp;P'!Y111</f>
        <v>15684183.75</v>
      </c>
      <c r="J113" s="131">
        <f t="shared" ref="J113:J120" si="13">H113+I113</f>
        <v>24993987.99</v>
      </c>
    </row>
    <row r="114" ht="14.25" customHeight="1">
      <c r="A114" s="167">
        <f>'01_C&amp;P'!A112</f>
        <v>46056</v>
      </c>
      <c r="B114" s="163" t="str">
        <f>'01_C&amp;P'!B112</f>
        <v>VIGAS </v>
      </c>
      <c r="C114" s="116" t="str">
        <f>'01_C&amp;P'!C112</f>
        <v>m³</v>
      </c>
      <c r="D114" s="165">
        <f>'01_C&amp;P'!D112</f>
        <v>13</v>
      </c>
      <c r="E114" s="131">
        <f>'01_C&amp;P'!U112</f>
        <v>631622.8738</v>
      </c>
      <c r="F114" s="131">
        <f>'01_C&amp;P'!V112</f>
        <v>1206475.673</v>
      </c>
      <c r="G114" s="131">
        <f>'01_C&amp;P'!W112</f>
        <v>1838098.547</v>
      </c>
      <c r="H114" s="131">
        <f>'01_C&amp;P'!X112</f>
        <v>8211097.36</v>
      </c>
      <c r="I114" s="131">
        <f>'01_C&amp;P'!Y112</f>
        <v>15684183.75</v>
      </c>
      <c r="J114" s="131">
        <f t="shared" si="13"/>
        <v>23895281.11</v>
      </c>
    </row>
    <row r="115" ht="14.25" customHeight="1">
      <c r="A115" s="167">
        <f>'01_C&amp;P'!A113</f>
        <v>46084</v>
      </c>
      <c r="B115" s="163" t="str">
        <f>'01_C&amp;P'!B113</f>
        <v>LOSA</v>
      </c>
      <c r="C115" s="116" t="str">
        <f>'01_C&amp;P'!C113</f>
        <v>m³</v>
      </c>
      <c r="D115" s="165">
        <f>'01_C&amp;P'!D113</f>
        <v>24</v>
      </c>
      <c r="E115" s="131">
        <f>'01_C&amp;P'!U113</f>
        <v>381107.0833</v>
      </c>
      <c r="F115" s="131">
        <f>'01_C&amp;P'!V113</f>
        <v>667666.077</v>
      </c>
      <c r="G115" s="131">
        <f>'01_C&amp;P'!W113</f>
        <v>1048773.16</v>
      </c>
      <c r="H115" s="131">
        <f>'01_C&amp;P'!X113</f>
        <v>9146570</v>
      </c>
      <c r="I115" s="131">
        <f>'01_C&amp;P'!Y113</f>
        <v>16023985.85</v>
      </c>
      <c r="J115" s="131">
        <f t="shared" si="13"/>
        <v>25170555.85</v>
      </c>
    </row>
    <row r="116" ht="14.25" customHeight="1">
      <c r="A116" s="167">
        <f>'01_C&amp;P'!A114</f>
        <v>46115</v>
      </c>
      <c r="B116" s="163" t="str">
        <f>'01_C&amp;P'!B114</f>
        <v>MAMPOSTERIA.</v>
      </c>
      <c r="C116" s="116" t="str">
        <f>'01_C&amp;P'!C114</f>
        <v>m²</v>
      </c>
      <c r="D116" s="165">
        <f>'01_C&amp;P'!D114</f>
        <v>320</v>
      </c>
      <c r="E116" s="131">
        <f>'01_C&amp;P'!U114</f>
        <v>29083.52645</v>
      </c>
      <c r="F116" s="131">
        <f>'01_C&amp;P'!V114</f>
        <v>29274.14398</v>
      </c>
      <c r="G116" s="131">
        <f>'01_C&amp;P'!W114</f>
        <v>58357.67043</v>
      </c>
      <c r="H116" s="131">
        <f>'01_C&amp;P'!X114</f>
        <v>9306728.463</v>
      </c>
      <c r="I116" s="131">
        <f>'01_C&amp;P'!Y114</f>
        <v>9367726.075</v>
      </c>
      <c r="J116" s="131">
        <f t="shared" si="13"/>
        <v>18674454.54</v>
      </c>
    </row>
    <row r="117" ht="14.25" customHeight="1">
      <c r="A117" s="167">
        <f>'01_C&amp;P'!A115</f>
        <v>46145</v>
      </c>
      <c r="B117" s="163" t="str">
        <f>'01_C&amp;P'!B115</f>
        <v>CONTRAPISO . e=12cm</v>
      </c>
      <c r="C117" s="116" t="str">
        <f>'01_C&amp;P'!C115</f>
        <v>m²</v>
      </c>
      <c r="D117" s="165">
        <f>'01_C&amp;P'!D115</f>
        <v>270</v>
      </c>
      <c r="E117" s="131">
        <f>'01_C&amp;P'!U115</f>
        <v>18509.52778</v>
      </c>
      <c r="F117" s="131">
        <f>'01_C&amp;P'!V115</f>
        <v>28848.85506</v>
      </c>
      <c r="G117" s="131">
        <f>'01_C&amp;P'!W115</f>
        <v>47358.38283</v>
      </c>
      <c r="H117" s="131">
        <f>'01_C&amp;P'!X115</f>
        <v>4997572.5</v>
      </c>
      <c r="I117" s="131">
        <f>'01_C&amp;P'!Y115</f>
        <v>7789190.865</v>
      </c>
      <c r="J117" s="131">
        <f t="shared" si="13"/>
        <v>12786763.37</v>
      </c>
    </row>
    <row r="118" ht="14.25" customHeight="1">
      <c r="A118" s="167">
        <f>'01_C&amp;P'!A116</f>
        <v>46176</v>
      </c>
      <c r="B118" s="163" t="str">
        <f>'01_C&amp;P'!B116</f>
        <v>CARPETA . e=3cm</v>
      </c>
      <c r="C118" s="116" t="str">
        <f>'01_C&amp;P'!C116</f>
        <v>m²</v>
      </c>
      <c r="D118" s="165">
        <f>'01_C&amp;P'!D116</f>
        <v>270</v>
      </c>
      <c r="E118" s="131">
        <f>'01_C&amp;P'!U116</f>
        <v>4823.074074</v>
      </c>
      <c r="F118" s="131">
        <f>'01_C&amp;P'!V116</f>
        <v>25914.20056</v>
      </c>
      <c r="G118" s="131">
        <f>'01_C&amp;P'!W116</f>
        <v>30737.27463</v>
      </c>
      <c r="H118" s="131">
        <f>'01_C&amp;P'!X116</f>
        <v>1302230</v>
      </c>
      <c r="I118" s="131">
        <f>'01_C&amp;P'!Y116</f>
        <v>6996834.15</v>
      </c>
      <c r="J118" s="131">
        <f t="shared" si="13"/>
        <v>8299064.15</v>
      </c>
    </row>
    <row r="119" ht="14.25" customHeight="1">
      <c r="A119" s="167">
        <f>'01_C&amp;P'!A117</f>
        <v>46206</v>
      </c>
      <c r="B119" s="163" t="str">
        <f>'01_C&amp;P'!B117</f>
        <v>REVOQUE INTERIOR. (GRUESO FRATAZADO)</v>
      </c>
      <c r="C119" s="116" t="str">
        <f>'01_C&amp;P'!C117</f>
        <v>m²</v>
      </c>
      <c r="D119" s="165">
        <f>'01_C&amp;P'!D117</f>
        <v>244</v>
      </c>
      <c r="E119" s="131">
        <f>'01_C&amp;P'!U117</f>
        <v>2908.31493</v>
      </c>
      <c r="F119" s="131">
        <f>'01_C&amp;P'!V117</f>
        <v>39500.09508</v>
      </c>
      <c r="G119" s="131">
        <f>'01_C&amp;P'!W117</f>
        <v>42408.41001</v>
      </c>
      <c r="H119" s="131">
        <f>'01_C&amp;P'!X117</f>
        <v>709628.843</v>
      </c>
      <c r="I119" s="131">
        <f>'01_C&amp;P'!Y117</f>
        <v>9638023.2</v>
      </c>
      <c r="J119" s="131">
        <f t="shared" si="13"/>
        <v>10347652.04</v>
      </c>
    </row>
    <row r="120" ht="14.25" customHeight="1">
      <c r="A120" s="167">
        <f>'01_C&amp;P'!A118</f>
        <v>46237</v>
      </c>
      <c r="B120" s="163" t="str">
        <f>'01_C&amp;P'!B118</f>
        <v>REVOQUE EXTERIOR (GRUESO FRATAZADO) CON HIDROFUGO.</v>
      </c>
      <c r="C120" s="116" t="str">
        <f>'01_C&amp;P'!C118</f>
        <v>m²</v>
      </c>
      <c r="D120" s="165">
        <f>'01_C&amp;P'!D118</f>
        <v>284</v>
      </c>
      <c r="E120" s="131">
        <f>'01_C&amp;P'!U118</f>
        <v>3803.746944</v>
      </c>
      <c r="F120" s="131">
        <f>'01_C&amp;P'!V118</f>
        <v>57920.8125</v>
      </c>
      <c r="G120" s="131">
        <f>'01_C&amp;P'!W118</f>
        <v>61724.55944</v>
      </c>
      <c r="H120" s="131">
        <f>'01_C&amp;P'!X118</f>
        <v>1080264.132</v>
      </c>
      <c r="I120" s="131">
        <f>'01_C&amp;P'!Y118</f>
        <v>16449510.75</v>
      </c>
      <c r="J120" s="131">
        <f t="shared" si="13"/>
        <v>17529774.88</v>
      </c>
    </row>
    <row r="121" ht="14.25" customHeight="1">
      <c r="A121" s="135" t="str">
        <f>'01_C&amp;P'!A119</f>
        <v>OBRA GRIS - SOBRE AZOTEA </v>
      </c>
      <c r="B121" s="135"/>
      <c r="C121" s="135" t="str">
        <f>'01_C&amp;P'!C119</f>
        <v/>
      </c>
      <c r="D121" s="166" t="str">
        <f>'01_C&amp;P'!D119</f>
        <v/>
      </c>
      <c r="E121" s="125"/>
      <c r="F121" s="135"/>
      <c r="G121" s="135"/>
      <c r="H121" s="135"/>
      <c r="I121" s="166"/>
      <c r="J121" s="125"/>
    </row>
    <row r="122" ht="14.25" customHeight="1">
      <c r="A122" s="167">
        <f>'01_C&amp;P'!A120</f>
        <v>46026</v>
      </c>
      <c r="B122" s="163" t="str">
        <f>'01_C&amp;P'!B120</f>
        <v>COLUMNAS Y TABIQUES</v>
      </c>
      <c r="C122" s="116" t="str">
        <f>'01_C&amp;P'!C120</f>
        <v>m³</v>
      </c>
      <c r="D122" s="165">
        <f>'01_C&amp;P'!D120</f>
        <v>7</v>
      </c>
      <c r="E122" s="131">
        <f>'01_C&amp;P'!U120</f>
        <v>698753.5714</v>
      </c>
      <c r="F122" s="131">
        <f>'01_C&amp;P'!V120</f>
        <v>1166911.303</v>
      </c>
      <c r="G122" s="131">
        <f>'01_C&amp;P'!W120</f>
        <v>1865664.874</v>
      </c>
      <c r="H122" s="131">
        <f>'01_C&amp;P'!X120</f>
        <v>4891275</v>
      </c>
      <c r="I122" s="131">
        <f>'01_C&amp;P'!Y120</f>
        <v>8168379.118</v>
      </c>
      <c r="J122" s="131">
        <f t="shared" ref="J122:J131" si="14">H122+I122</f>
        <v>13059654.12</v>
      </c>
    </row>
    <row r="123" ht="14.25" customHeight="1">
      <c r="A123" s="167">
        <f>'01_C&amp;P'!A121</f>
        <v>46057</v>
      </c>
      <c r="B123" s="163" t="str">
        <f>'01_C&amp;P'!B121</f>
        <v>VIGAS </v>
      </c>
      <c r="C123" s="116" t="str">
        <f>'01_C&amp;P'!C121</f>
        <v>m³</v>
      </c>
      <c r="D123" s="165">
        <f>'01_C&amp;P'!D121</f>
        <v>11</v>
      </c>
      <c r="E123" s="131">
        <f>'01_C&amp;P'!U121</f>
        <v>560883.7236</v>
      </c>
      <c r="F123" s="131">
        <f>'01_C&amp;P'!V121</f>
        <v>744475.51</v>
      </c>
      <c r="G123" s="131">
        <f>'01_C&amp;P'!W121</f>
        <v>1305359.234</v>
      </c>
      <c r="H123" s="131">
        <f>'01_C&amp;P'!X121</f>
        <v>6169720.96</v>
      </c>
      <c r="I123" s="131">
        <f>'01_C&amp;P'!Y121</f>
        <v>8189230.61</v>
      </c>
      <c r="J123" s="131">
        <f t="shared" si="14"/>
        <v>14358951.57</v>
      </c>
    </row>
    <row r="124" ht="14.25" customHeight="1">
      <c r="A124" s="167">
        <f>'01_C&amp;P'!A122</f>
        <v>46085</v>
      </c>
      <c r="B124" s="163" t="str">
        <f>'01_C&amp;P'!B122</f>
        <v>LOSA</v>
      </c>
      <c r="C124" s="116" t="str">
        <f>'01_C&amp;P'!C122</f>
        <v>m³</v>
      </c>
      <c r="D124" s="165">
        <f>'01_C&amp;P'!D122</f>
        <v>8</v>
      </c>
      <c r="E124" s="131">
        <f>'01_C&amp;P'!U122</f>
        <v>523644</v>
      </c>
      <c r="F124" s="131">
        <f>'01_C&amp;P'!V122</f>
        <v>1023653.826</v>
      </c>
      <c r="G124" s="131">
        <f>'01_C&amp;P'!W122</f>
        <v>1547297.826</v>
      </c>
      <c r="H124" s="131">
        <f>'01_C&amp;P'!X122</f>
        <v>4189152</v>
      </c>
      <c r="I124" s="131">
        <f>'01_C&amp;P'!Y122</f>
        <v>8189230.61</v>
      </c>
      <c r="J124" s="131">
        <f t="shared" si="14"/>
        <v>12378382.61</v>
      </c>
    </row>
    <row r="125" ht="14.25" customHeight="1">
      <c r="A125" s="167">
        <f>'01_C&amp;P'!A123</f>
        <v>46116</v>
      </c>
      <c r="B125" s="163" t="str">
        <f>'01_C&amp;P'!B123</f>
        <v>MAMPOSTERIA.</v>
      </c>
      <c r="C125" s="116" t="str">
        <f>'01_C&amp;P'!C123</f>
        <v>m²</v>
      </c>
      <c r="D125" s="165">
        <f>'01_C&amp;P'!D123</f>
        <v>104</v>
      </c>
      <c r="E125" s="131">
        <f>'01_C&amp;P'!U123</f>
        <v>28822.0627</v>
      </c>
      <c r="F125" s="131">
        <f>'01_C&amp;P'!V123</f>
        <v>59108.93173</v>
      </c>
      <c r="G125" s="131">
        <f>'01_C&amp;P'!W123</f>
        <v>87930.99443</v>
      </c>
      <c r="H125" s="131">
        <f>'01_C&amp;P'!X123</f>
        <v>2997494.521</v>
      </c>
      <c r="I125" s="131">
        <f>'01_C&amp;P'!Y123</f>
        <v>6147328.9</v>
      </c>
      <c r="J125" s="131">
        <f t="shared" si="14"/>
        <v>9144823.421</v>
      </c>
    </row>
    <row r="126" ht="14.25" customHeight="1">
      <c r="A126" s="167">
        <f>'01_C&amp;P'!A124</f>
        <v>46146</v>
      </c>
      <c r="B126" s="163" t="str">
        <f>'01_C&amp;P'!B124</f>
        <v>CONTRAPISO . e=12cm (Terraza Accesible)</v>
      </c>
      <c r="C126" s="116" t="str">
        <f>'01_C&amp;P'!C124</f>
        <v>m²</v>
      </c>
      <c r="D126" s="165">
        <f>'01_C&amp;P'!D124</f>
        <v>270</v>
      </c>
      <c r="E126" s="131">
        <f>'01_C&amp;P'!U124</f>
        <v>20048.08333</v>
      </c>
      <c r="F126" s="131">
        <f>'01_C&amp;P'!V124</f>
        <v>30702.32106</v>
      </c>
      <c r="G126" s="131">
        <f>'01_C&amp;P'!W124</f>
        <v>50750.40439</v>
      </c>
      <c r="H126" s="131">
        <f>'01_C&amp;P'!X124</f>
        <v>5412982.5</v>
      </c>
      <c r="I126" s="131">
        <f>'01_C&amp;P'!Y124</f>
        <v>8289626.685</v>
      </c>
      <c r="J126" s="131">
        <f t="shared" si="14"/>
        <v>13702609.19</v>
      </c>
    </row>
    <row r="127" ht="14.25" customHeight="1">
      <c r="A127" s="167">
        <f>'01_C&amp;P'!A125</f>
        <v>46177</v>
      </c>
      <c r="B127" s="163" t="str">
        <f>'01_C&amp;P'!B125</f>
        <v>CARPETA . e=3cm (Terraza Accesible)</v>
      </c>
      <c r="C127" s="116" t="str">
        <f>'01_C&amp;P'!C125</f>
        <v>m²</v>
      </c>
      <c r="D127" s="165">
        <f>'01_C&amp;P'!D125</f>
        <v>270</v>
      </c>
      <c r="E127" s="131">
        <f>'01_C&amp;P'!U125</f>
        <v>4823.074074</v>
      </c>
      <c r="F127" s="131">
        <f>'01_C&amp;P'!V125</f>
        <v>26772.28667</v>
      </c>
      <c r="G127" s="131">
        <f>'01_C&amp;P'!W125</f>
        <v>31595.36074</v>
      </c>
      <c r="H127" s="131">
        <f>'01_C&amp;P'!X125</f>
        <v>1302230</v>
      </c>
      <c r="I127" s="131">
        <f>'01_C&amp;P'!Y125</f>
        <v>7228517.4</v>
      </c>
      <c r="J127" s="131">
        <f t="shared" si="14"/>
        <v>8530747.4</v>
      </c>
    </row>
    <row r="128" ht="14.25" customHeight="1">
      <c r="A128" s="167">
        <f>'01_C&amp;P'!A126</f>
        <v>46207</v>
      </c>
      <c r="B128" s="163" t="str">
        <f>'01_C&amp;P'!B126</f>
        <v>REVOQUE INTERIOR. (GRUESO FRATAZADO)</v>
      </c>
      <c r="C128" s="116" t="str">
        <f>'01_C&amp;P'!C126</f>
        <v>m²</v>
      </c>
      <c r="D128" s="165">
        <f>'01_C&amp;P'!D126</f>
        <v>120</v>
      </c>
      <c r="E128" s="131">
        <f>'01_C&amp;P'!U126</f>
        <v>3096.245179</v>
      </c>
      <c r="F128" s="131">
        <f>'01_C&amp;P'!V126</f>
        <v>44985.16438</v>
      </c>
      <c r="G128" s="131">
        <f>'01_C&amp;P'!W126</f>
        <v>48081.40955</v>
      </c>
      <c r="H128" s="131">
        <f>'01_C&amp;P'!X126</f>
        <v>371549.4215</v>
      </c>
      <c r="I128" s="131">
        <f>'01_C&amp;P'!Y126</f>
        <v>5398219.725</v>
      </c>
      <c r="J128" s="131">
        <f t="shared" si="14"/>
        <v>5769769.146</v>
      </c>
    </row>
    <row r="129" ht="14.25" customHeight="1">
      <c r="A129" s="167">
        <f>'01_C&amp;P'!A127</f>
        <v>46238</v>
      </c>
      <c r="B129" s="163" t="str">
        <f>'01_C&amp;P'!B127</f>
        <v>REVOQUE EXTERIOR (GRUESO FRATAZADO) CON HIDROFUGO.</v>
      </c>
      <c r="C129" s="116" t="str">
        <f>'01_C&amp;P'!C127</f>
        <v>m²</v>
      </c>
      <c r="D129" s="165">
        <f>'01_C&amp;P'!D127</f>
        <v>120</v>
      </c>
      <c r="E129" s="131">
        <f>'01_C&amp;P'!U127</f>
        <v>4057.195592</v>
      </c>
      <c r="F129" s="131">
        <f>'01_C&amp;P'!V127</f>
        <v>57920.8125</v>
      </c>
      <c r="G129" s="131">
        <f>'01_C&amp;P'!W127</f>
        <v>61978.00809</v>
      </c>
      <c r="H129" s="131">
        <f>'01_C&amp;P'!X127</f>
        <v>486863.4711</v>
      </c>
      <c r="I129" s="131">
        <f>'01_C&amp;P'!Y127</f>
        <v>6950497.5</v>
      </c>
      <c r="J129" s="131">
        <f t="shared" si="14"/>
        <v>7437360.971</v>
      </c>
    </row>
    <row r="130" ht="14.25" customHeight="1">
      <c r="A130" s="167">
        <f>'01_C&amp;P'!A128</f>
        <v>46146</v>
      </c>
      <c r="B130" s="163" t="str">
        <f>'01_C&amp;P'!B128</f>
        <v>CONTRAPISO . e=12cm (Terraza Inaccesible)</v>
      </c>
      <c r="C130" s="116" t="str">
        <f>'01_C&amp;P'!C128</f>
        <v>m²</v>
      </c>
      <c r="D130" s="165">
        <f>'01_C&amp;P'!D128</f>
        <v>70</v>
      </c>
      <c r="E130" s="131">
        <f>'01_C&amp;P'!U128</f>
        <v>20048.08333</v>
      </c>
      <c r="F130" s="131">
        <f>'01_C&amp;P'!V128</f>
        <v>30702.32106</v>
      </c>
      <c r="G130" s="131">
        <f>'01_C&amp;P'!W128</f>
        <v>50750.40439</v>
      </c>
      <c r="H130" s="131">
        <f>'01_C&amp;P'!X128</f>
        <v>1403365.833</v>
      </c>
      <c r="I130" s="131">
        <f>'01_C&amp;P'!Y128</f>
        <v>2149162.474</v>
      </c>
      <c r="J130" s="131">
        <f t="shared" si="14"/>
        <v>3552528.307</v>
      </c>
    </row>
    <row r="131" ht="14.25" customHeight="1">
      <c r="A131" s="167">
        <f>'01_C&amp;P'!A129</f>
        <v>46177</v>
      </c>
      <c r="B131" s="163" t="str">
        <f>'01_C&amp;P'!B129</f>
        <v>CARPETA . e=3cm (Terraza Inaccesible)</v>
      </c>
      <c r="C131" s="116" t="str">
        <f>'01_C&amp;P'!C129</f>
        <v>m²</v>
      </c>
      <c r="D131" s="165">
        <f>'01_C&amp;P'!D129</f>
        <v>70</v>
      </c>
      <c r="E131" s="131">
        <f>'01_C&amp;P'!U129</f>
        <v>4823.074074</v>
      </c>
      <c r="F131" s="131">
        <f>'01_C&amp;P'!V129</f>
        <v>26772.28667</v>
      </c>
      <c r="G131" s="131">
        <f>'01_C&amp;P'!W129</f>
        <v>31595.36074</v>
      </c>
      <c r="H131" s="131">
        <f>'01_C&amp;P'!X129</f>
        <v>337615.1852</v>
      </c>
      <c r="I131" s="131">
        <f>'01_C&amp;P'!Y129</f>
        <v>1874060.067</v>
      </c>
      <c r="J131" s="131">
        <f t="shared" si="14"/>
        <v>2211675.252</v>
      </c>
    </row>
    <row r="132" ht="39.75" customHeight="1">
      <c r="A132" s="169"/>
      <c r="B132" s="170"/>
      <c r="C132" s="171"/>
      <c r="D132" s="172"/>
      <c r="E132" s="143"/>
      <c r="F132" s="143"/>
      <c r="G132" s="143"/>
      <c r="H132" s="173">
        <f t="shared" ref="H132:J132" si="15">SUM(H11:H131)</f>
        <v>566369893.5</v>
      </c>
      <c r="I132" s="173">
        <f t="shared" si="15"/>
        <v>1537402823</v>
      </c>
      <c r="J132" s="174">
        <f t="shared" si="15"/>
        <v>2103772717</v>
      </c>
    </row>
    <row r="133" ht="14.25" customHeight="1">
      <c r="A133" s="169"/>
      <c r="B133" s="170"/>
      <c r="C133" s="171"/>
      <c r="D133" s="172" t="s">
        <v>962</v>
      </c>
      <c r="E133" s="153" t="s">
        <v>963</v>
      </c>
    </row>
    <row r="134" ht="14.25" customHeight="1">
      <c r="A134" s="92"/>
      <c r="B134" s="175"/>
      <c r="C134" s="92"/>
      <c r="D134" s="92"/>
      <c r="E134" s="176">
        <f>sum(D24:D32)+sum(D40:D42)+(sum(D50:D52)*8)+sum(D122:D124)</f>
        <v>848.15</v>
      </c>
      <c r="H134" s="177" t="s">
        <v>0</v>
      </c>
      <c r="I134" s="177" t="s">
        <v>619</v>
      </c>
      <c r="J134" s="177" t="s">
        <v>846</v>
      </c>
    </row>
    <row r="135" ht="14.25" customHeight="1">
      <c r="B135" s="92"/>
      <c r="E135" s="151">
        <f>E134*158000</f>
        <v>134007700</v>
      </c>
      <c r="H135" s="178">
        <f t="shared" ref="H135:J135" si="16">H132/1450</f>
        <v>390599.9266</v>
      </c>
      <c r="I135" s="178">
        <f t="shared" si="16"/>
        <v>1060277.809</v>
      </c>
      <c r="J135" s="178">
        <f t="shared" si="16"/>
        <v>1450877.736</v>
      </c>
    </row>
    <row r="136">
      <c r="B136" s="92"/>
    </row>
    <row r="137">
      <c r="B137" s="92"/>
    </row>
    <row r="138" ht="14.25" customHeight="1">
      <c r="A138" s="179" t="s">
        <v>964</v>
      </c>
      <c r="B138" s="180"/>
      <c r="C138" s="180"/>
      <c r="D138" s="180"/>
      <c r="E138" s="180"/>
      <c r="F138" s="180"/>
      <c r="G138" s="180"/>
      <c r="H138" s="180"/>
      <c r="I138" s="180"/>
      <c r="J138" s="181"/>
    </row>
    <row r="139" ht="14.25" customHeight="1">
      <c r="A139" s="182"/>
      <c r="B139" s="3" t="s">
        <v>965</v>
      </c>
      <c r="C139" s="3"/>
      <c r="D139" s="3"/>
      <c r="E139" s="3"/>
      <c r="F139" s="3"/>
      <c r="G139" s="3"/>
      <c r="H139" s="3"/>
      <c r="I139" s="3"/>
      <c r="J139" s="87"/>
    </row>
    <row r="140" ht="14.25" customHeight="1">
      <c r="A140" s="182"/>
      <c r="B140" s="20" t="s">
        <v>966</v>
      </c>
      <c r="C140" s="3"/>
      <c r="D140" s="3"/>
      <c r="E140" s="3"/>
      <c r="F140" s="3"/>
      <c r="G140" s="3"/>
      <c r="H140" s="3"/>
      <c r="I140" s="3"/>
      <c r="J140" s="87"/>
    </row>
    <row r="141" ht="14.25" customHeight="1">
      <c r="A141" s="182"/>
      <c r="B141" s="3" t="s">
        <v>967</v>
      </c>
      <c r="C141" s="3"/>
      <c r="D141" s="3"/>
      <c r="E141" s="3"/>
      <c r="F141" s="3"/>
      <c r="G141" s="3"/>
      <c r="H141" s="3"/>
      <c r="I141" s="3"/>
      <c r="J141" s="87"/>
    </row>
    <row r="142" ht="14.25" customHeight="1">
      <c r="A142" s="182"/>
      <c r="B142" s="20" t="s">
        <v>968</v>
      </c>
      <c r="C142" s="3"/>
      <c r="D142" s="3"/>
      <c r="E142" s="3"/>
      <c r="F142" s="3"/>
      <c r="G142" s="3"/>
      <c r="H142" s="3"/>
      <c r="I142" s="3"/>
      <c r="J142" s="87"/>
    </row>
    <row r="143" ht="14.25" customHeight="1">
      <c r="A143" s="182"/>
      <c r="B143" s="20" t="s">
        <v>969</v>
      </c>
      <c r="C143" s="3"/>
      <c r="D143" s="3"/>
      <c r="E143" s="3"/>
      <c r="F143" s="3"/>
      <c r="G143" s="3"/>
      <c r="H143" s="3"/>
      <c r="I143" s="3"/>
      <c r="J143" s="87"/>
    </row>
    <row r="144" ht="14.25" customHeight="1">
      <c r="A144" s="183"/>
      <c r="B144" s="76"/>
      <c r="C144" s="76"/>
      <c r="D144" s="76"/>
      <c r="E144" s="76"/>
      <c r="F144" s="76"/>
      <c r="G144" s="76"/>
      <c r="H144" s="76"/>
      <c r="I144" s="76"/>
      <c r="J144" s="184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51" t="s">
        <v>970</v>
      </c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185" t="s">
        <v>971</v>
      </c>
    </row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</sheetData>
  <mergeCells count="7">
    <mergeCell ref="A7:A9"/>
    <mergeCell ref="B7:B9"/>
    <mergeCell ref="C7:C9"/>
    <mergeCell ref="D7:D9"/>
    <mergeCell ref="E7:J7"/>
    <mergeCell ref="E8:G8"/>
    <mergeCell ref="H8:J8"/>
  </mergeCells>
  <printOptions/>
  <pageMargins bottom="0.7480314960629921" footer="0.0" header="0.0" left="0.7086614173228347" right="0.7086614173228347" top="0.7480314960629921"/>
  <pageSetup fitToWidth="0" paperSize="8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7" max="7" width="16.71"/>
    <col customWidth="1" min="8" max="9" width="18.29"/>
  </cols>
  <sheetData>
    <row r="4">
      <c r="B4" s="186" t="s">
        <v>972</v>
      </c>
      <c r="C4" s="106"/>
      <c r="D4" s="107"/>
      <c r="F4" s="187"/>
      <c r="G4" s="188" t="s">
        <v>973</v>
      </c>
      <c r="H4" s="188" t="s">
        <v>974</v>
      </c>
      <c r="I4" s="188" t="s">
        <v>975</v>
      </c>
    </row>
    <row r="5">
      <c r="A5" s="189"/>
      <c r="B5" s="156" t="s">
        <v>976</v>
      </c>
      <c r="C5" s="156" t="s">
        <v>977</v>
      </c>
      <c r="D5" s="156" t="s">
        <v>978</v>
      </c>
      <c r="F5" s="190" t="s">
        <v>979</v>
      </c>
      <c r="G5" s="191">
        <f>'01_VENTA'!H132</f>
        <v>566369893.5</v>
      </c>
      <c r="H5" s="191">
        <f>'01_VENTA'!I132</f>
        <v>1537402823</v>
      </c>
      <c r="I5" s="191">
        <f>'01_VENTA'!J132</f>
        <v>2103772717</v>
      </c>
    </row>
    <row r="6">
      <c r="A6" s="155"/>
      <c r="B6" s="192">
        <v>1.0</v>
      </c>
      <c r="C6" s="192">
        <v>0.5</v>
      </c>
      <c r="D6" s="192">
        <v>0.25</v>
      </c>
      <c r="F6" s="190" t="s">
        <v>980</v>
      </c>
      <c r="G6" s="191">
        <f t="shared" ref="G6:I6" si="1">G5/1450</f>
        <v>390599.9266</v>
      </c>
      <c r="H6" s="191">
        <f t="shared" si="1"/>
        <v>1060277.809</v>
      </c>
      <c r="I6" s="191">
        <f t="shared" si="1"/>
        <v>1450877.736</v>
      </c>
    </row>
    <row r="7">
      <c r="A7" s="156" t="s">
        <v>981</v>
      </c>
      <c r="B7" s="156">
        <v>410.0</v>
      </c>
      <c r="C7" s="156" t="s">
        <v>145</v>
      </c>
      <c r="D7" s="156" t="s">
        <v>145</v>
      </c>
      <c r="F7" s="190" t="s">
        <v>982</v>
      </c>
      <c r="G7" s="193">
        <f>G6/B23</f>
        <v>146.6628843</v>
      </c>
      <c r="H7" s="193">
        <f>H6/B23</f>
        <v>398.1142624</v>
      </c>
      <c r="I7" s="193">
        <f>I6/B23</f>
        <v>544.7771467</v>
      </c>
    </row>
    <row r="8">
      <c r="A8" s="156" t="s">
        <v>983</v>
      </c>
      <c r="B8" s="156">
        <v>144.0</v>
      </c>
      <c r="C8" s="156" t="s">
        <v>145</v>
      </c>
      <c r="D8" s="156">
        <v>247.0</v>
      </c>
    </row>
    <row r="9">
      <c r="A9" s="156" t="s">
        <v>933</v>
      </c>
      <c r="B9" s="156">
        <v>231.0</v>
      </c>
      <c r="C9" s="156">
        <v>34.0</v>
      </c>
      <c r="D9" s="156" t="s">
        <v>145</v>
      </c>
    </row>
    <row r="10">
      <c r="A10" s="156" t="s">
        <v>934</v>
      </c>
      <c r="B10" s="156">
        <v>231.0</v>
      </c>
      <c r="C10" s="156">
        <v>22.0</v>
      </c>
      <c r="D10" s="156" t="s">
        <v>145</v>
      </c>
    </row>
    <row r="11">
      <c r="A11" s="156" t="s">
        <v>935</v>
      </c>
      <c r="B11" s="156">
        <v>231.0</v>
      </c>
      <c r="C11" s="156">
        <v>22.0</v>
      </c>
      <c r="D11" s="156" t="s">
        <v>145</v>
      </c>
    </row>
    <row r="12">
      <c r="A12" s="156" t="s">
        <v>936</v>
      </c>
      <c r="B12" s="156">
        <v>231.0</v>
      </c>
      <c r="C12" s="156">
        <v>19.0</v>
      </c>
      <c r="D12" s="156" t="s">
        <v>145</v>
      </c>
    </row>
    <row r="13">
      <c r="A13" s="156" t="s">
        <v>937</v>
      </c>
      <c r="B13" s="156">
        <v>231.0</v>
      </c>
      <c r="C13" s="156">
        <v>19.0</v>
      </c>
      <c r="D13" s="156" t="s">
        <v>145</v>
      </c>
    </row>
    <row r="14">
      <c r="A14" s="156" t="s">
        <v>938</v>
      </c>
      <c r="B14" s="156">
        <v>231.0</v>
      </c>
      <c r="C14" s="156">
        <v>22.0</v>
      </c>
      <c r="D14" s="156" t="s">
        <v>145</v>
      </c>
    </row>
    <row r="15">
      <c r="A15" s="156" t="s">
        <v>939</v>
      </c>
      <c r="B15" s="156">
        <v>231.0</v>
      </c>
      <c r="C15" s="156">
        <v>19.0</v>
      </c>
      <c r="D15" s="156" t="s">
        <v>145</v>
      </c>
    </row>
    <row r="16">
      <c r="A16" s="156" t="s">
        <v>940</v>
      </c>
      <c r="B16" s="156">
        <v>231.0</v>
      </c>
      <c r="C16" s="156">
        <v>19.0</v>
      </c>
      <c r="D16" s="156" t="s">
        <v>145</v>
      </c>
    </row>
    <row r="17">
      <c r="A17" s="156" t="s">
        <v>984</v>
      </c>
      <c r="B17" s="156">
        <v>43.0</v>
      </c>
      <c r="C17" s="156">
        <v>30.0</v>
      </c>
      <c r="D17" s="155">
        <f>178-C17</f>
        <v>148</v>
      </c>
    </row>
    <row r="18">
      <c r="A18" s="156" t="s">
        <v>985</v>
      </c>
      <c r="B18" s="156" t="s">
        <v>145</v>
      </c>
      <c r="C18" s="156" t="s">
        <v>145</v>
      </c>
      <c r="D18" s="156">
        <v>66.0</v>
      </c>
    </row>
    <row r="20">
      <c r="A20" s="153" t="s">
        <v>986</v>
      </c>
      <c r="B20" s="194">
        <f t="shared" ref="B20:D20" si="2">SUM(B7:B18)</f>
        <v>2445</v>
      </c>
      <c r="C20" s="194">
        <f t="shared" si="2"/>
        <v>206</v>
      </c>
      <c r="D20" s="194">
        <f t="shared" si="2"/>
        <v>461</v>
      </c>
    </row>
    <row r="21">
      <c r="B21" s="194">
        <f t="shared" ref="B21:D21" si="3">B20*B6</f>
        <v>2445</v>
      </c>
      <c r="C21" s="194">
        <f t="shared" si="3"/>
        <v>103</v>
      </c>
      <c r="D21" s="194">
        <f t="shared" si="3"/>
        <v>115.25</v>
      </c>
    </row>
    <row r="23">
      <c r="A23" s="153" t="s">
        <v>987</v>
      </c>
      <c r="B23" s="189">
        <f>B21+C21+D21</f>
        <v>2663.25</v>
      </c>
    </row>
  </sheetData>
  <mergeCells count="2">
    <mergeCell ref="B4:D4"/>
    <mergeCell ref="B23:D23"/>
  </mergeCells>
  <printOptions/>
  <pageMargins bottom="0.7480314960629921" footer="0.0" header="0.0" left="0.7086614173228347" right="0.7086614173228347" top="0.7480314960629921"/>
  <pageSetup fitToWidth="0"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91" t="str">
        <f>'01_C&amp;P'!A1</f>
        <v>EDIFICIO LAS HERAS</v>
      </c>
      <c r="B1" s="91"/>
      <c r="C1" s="91"/>
      <c r="G1" s="3"/>
    </row>
    <row r="2" ht="14.25" customHeight="1">
      <c r="G2" s="3"/>
    </row>
    <row r="3" ht="23.25" customHeight="1">
      <c r="A3" s="195">
        <f>'2.1.'!A3</f>
        <v>45293</v>
      </c>
      <c r="B3" s="196" t="str">
        <f>'2.1.'!B3</f>
        <v>COLUMNAS Y TABIQUES</v>
      </c>
      <c r="C3" s="197"/>
      <c r="D3" s="197"/>
      <c r="E3" s="197"/>
      <c r="F3" s="197"/>
      <c r="G3" s="198"/>
      <c r="H3" s="199">
        <f>'2.1.'!H3</f>
        <v>31</v>
      </c>
      <c r="I3" s="200" t="str">
        <f>'2.1.'!I3</f>
        <v>m³</v>
      </c>
    </row>
    <row r="4" ht="14.25" customHeight="1">
      <c r="G4" s="3"/>
    </row>
    <row r="5" ht="14.25" customHeight="1">
      <c r="A5" s="201" t="s">
        <v>0</v>
      </c>
      <c r="B5" s="94"/>
      <c r="C5" s="94"/>
      <c r="D5" s="94"/>
      <c r="E5" s="94"/>
      <c r="F5" s="94"/>
      <c r="G5" s="2"/>
      <c r="H5" s="94"/>
      <c r="I5" s="94"/>
    </row>
    <row r="6" ht="14.25" customHeight="1">
      <c r="A6" s="202" t="s">
        <v>988</v>
      </c>
      <c r="B6" s="202" t="s">
        <v>989</v>
      </c>
      <c r="C6" s="202" t="s">
        <v>990</v>
      </c>
      <c r="D6" s="203" t="s">
        <v>991</v>
      </c>
      <c r="E6" s="197"/>
      <c r="F6" s="202" t="s">
        <v>992</v>
      </c>
      <c r="G6" s="4" t="s">
        <v>993</v>
      </c>
      <c r="H6" s="202" t="s">
        <v>994</v>
      </c>
      <c r="I6" s="202" t="s">
        <v>995</v>
      </c>
    </row>
    <row r="7" ht="14.25" customHeight="1">
      <c r="A7" s="204" t="str">
        <f>'2.1.'!A7</f>
        <v>H30</v>
      </c>
      <c r="B7" s="92" t="str">
        <f>'2.1.'!B7</f>
        <v>Hormigon H30</v>
      </c>
      <c r="C7" s="92" t="str">
        <f>'2.1.'!C7</f>
        <v>m3</v>
      </c>
      <c r="D7" s="205">
        <f>'2.1.'!D7</f>
        <v>31</v>
      </c>
      <c r="E7" s="204" t="str">
        <f>'2.1.'!E7</f>
        <v/>
      </c>
      <c r="F7" s="206">
        <f>'2.1.'!F7</f>
        <v>0.1</v>
      </c>
      <c r="G7" s="207">
        <f>'2.1.'!G7</f>
        <v>35</v>
      </c>
      <c r="H7" s="143">
        <f>'2.1.'!H7</f>
        <v>158000</v>
      </c>
      <c r="I7" s="143">
        <f>'2.1.'!I7</f>
        <v>5530000</v>
      </c>
    </row>
    <row r="8" ht="14.25" customHeight="1">
      <c r="A8" s="204" t="str">
        <f>'2.1.'!A8</f>
        <v>HADN6</v>
      </c>
      <c r="B8" s="92" t="str">
        <f>'2.1.'!B8</f>
        <v>Hierros ADN 420 Φ 6 </v>
      </c>
      <c r="C8" s="92" t="str">
        <f>'2.1.'!C8</f>
        <v>u</v>
      </c>
      <c r="D8" s="205">
        <f>'2.1.'!D8</f>
        <v>266</v>
      </c>
      <c r="E8" s="204" t="str">
        <f>'2.1.'!E8</f>
        <v/>
      </c>
      <c r="F8" s="206">
        <f>'2.1.'!F8</f>
        <v>0.1</v>
      </c>
      <c r="G8" s="207">
        <f>'2.1.'!G8</f>
        <v>293</v>
      </c>
      <c r="H8" s="143">
        <f>'2.1.'!H8</f>
        <v>5250</v>
      </c>
      <c r="I8" s="143">
        <f>'2.1.'!I8</f>
        <v>1538250</v>
      </c>
      <c r="M8" s="154">
        <f>SUM(I8:I13)</f>
        <v>6634136.14</v>
      </c>
    </row>
    <row r="9" ht="14.25" customHeight="1">
      <c r="A9" s="204" t="str">
        <f>'2.1.'!A9</f>
        <v>HADN8</v>
      </c>
      <c r="B9" s="92" t="str">
        <f>'2.1.'!B9</f>
        <v>Hierros ADN 420 Φ 8</v>
      </c>
      <c r="C9" s="92" t="str">
        <f>'2.1.'!C9</f>
        <v>u</v>
      </c>
      <c r="D9" s="204">
        <f>'2.1.'!D9</f>
        <v>50</v>
      </c>
      <c r="E9" s="204" t="str">
        <f>'2.1.'!E9</f>
        <v/>
      </c>
      <c r="F9" s="206">
        <f>'2.1.'!F9</f>
        <v>0.1</v>
      </c>
      <c r="G9" s="207">
        <f>'2.1.'!G9</f>
        <v>55</v>
      </c>
      <c r="H9" s="143">
        <f>'2.1.'!H9</f>
        <v>9050</v>
      </c>
      <c r="I9" s="143">
        <f>'2.1.'!I9</f>
        <v>497750</v>
      </c>
    </row>
    <row r="10" ht="14.25" customHeight="1">
      <c r="A10" s="204" t="str">
        <f>'2.1.'!A10</f>
        <v>HADN10</v>
      </c>
      <c r="B10" s="92" t="str">
        <f>'2.1.'!B10</f>
        <v>Hierros ADN 420Φ 10</v>
      </c>
      <c r="C10" s="92" t="str">
        <f>'2.1.'!C10</f>
        <v>u</v>
      </c>
      <c r="D10" s="204">
        <f>'2.1.'!D10</f>
        <v>15</v>
      </c>
      <c r="E10" s="204" t="str">
        <f>'2.1.'!E10</f>
        <v/>
      </c>
      <c r="F10" s="206">
        <f>'2.1.'!F10</f>
        <v>0.1</v>
      </c>
      <c r="G10" s="207">
        <f>'2.1.'!G10</f>
        <v>17</v>
      </c>
      <c r="H10" s="143">
        <f>'2.1.'!H10</f>
        <v>11237</v>
      </c>
      <c r="I10" s="143">
        <f>'2.1.'!I10</f>
        <v>191029</v>
      </c>
    </row>
    <row r="11" ht="14.25" customHeight="1">
      <c r="A11" s="204" t="str">
        <f>'2.1.'!A11</f>
        <v>HADN12</v>
      </c>
      <c r="B11" s="92" t="str">
        <f>'2.1.'!B11</f>
        <v>Hierros ADN 420 Φ 12</v>
      </c>
      <c r="C11" s="92" t="str">
        <f>'2.1.'!C11</f>
        <v>u</v>
      </c>
      <c r="D11" s="204">
        <f>'2.1.'!D11</f>
        <v>44</v>
      </c>
      <c r="E11" s="204" t="str">
        <f>'2.1.'!E11</f>
        <v/>
      </c>
      <c r="F11" s="206">
        <f>'2.1.'!F11</f>
        <v>0.1</v>
      </c>
      <c r="G11" s="207">
        <f>'2.1.'!G11</f>
        <v>49</v>
      </c>
      <c r="H11" s="143">
        <f>'2.1.'!H11</f>
        <v>20442.5</v>
      </c>
      <c r="I11" s="143">
        <f>'2.1.'!I11</f>
        <v>1001682.5</v>
      </c>
    </row>
    <row r="12" ht="14.25" customHeight="1">
      <c r="A12" s="204" t="str">
        <f>'2.1.'!A12</f>
        <v>HADN16</v>
      </c>
      <c r="B12" s="92" t="str">
        <f>'2.1.'!B12</f>
        <v>Hierros ADN 420 Φ 16</v>
      </c>
      <c r="C12" s="92" t="str">
        <f>'2.1.'!C12</f>
        <v>u</v>
      </c>
      <c r="D12" s="204">
        <f>'2.1.'!D12</f>
        <v>65</v>
      </c>
      <c r="E12" s="204" t="str">
        <f>'2.1.'!E12</f>
        <v/>
      </c>
      <c r="F12" s="206">
        <f>'2.1.'!F12</f>
        <v>0.1</v>
      </c>
      <c r="G12" s="207">
        <f>'2.1.'!G12</f>
        <v>72</v>
      </c>
      <c r="H12" s="143">
        <f>'2.1.'!H12</f>
        <v>36603.12</v>
      </c>
      <c r="I12" s="143">
        <f>'2.1.'!I12</f>
        <v>2635424.64</v>
      </c>
    </row>
    <row r="13" ht="14.25" customHeight="1">
      <c r="A13" s="204" t="str">
        <f>'2.1.'!A13</f>
        <v>HADN20</v>
      </c>
      <c r="B13" s="92" t="str">
        <f>'2.1.'!B13</f>
        <v>Hierros ADN 420 Φ 20</v>
      </c>
      <c r="C13" s="92" t="str">
        <f>'2.1.'!C13</f>
        <v>U</v>
      </c>
      <c r="D13" s="204">
        <f>'2.1.'!D13</f>
        <v>12</v>
      </c>
      <c r="E13" s="204" t="str">
        <f>'2.1.'!E13</f>
        <v/>
      </c>
      <c r="F13" s="206">
        <f>'2.1.'!F13</f>
        <v>0.1</v>
      </c>
      <c r="G13" s="207">
        <f>'2.1.'!G13</f>
        <v>14</v>
      </c>
      <c r="H13" s="143">
        <f>'2.1.'!H13</f>
        <v>55000</v>
      </c>
      <c r="I13" s="143">
        <f>'2.1.'!I13</f>
        <v>770000</v>
      </c>
    </row>
    <row r="14" ht="14.25" customHeight="1">
      <c r="A14" s="204" t="str">
        <f>'2.1.'!A14</f>
        <v>F-MIR</v>
      </c>
      <c r="B14" s="92" t="str">
        <f>'2.1.'!B14</f>
        <v>Fenolico 18mm Miraluz 125 GR con film</v>
      </c>
      <c r="C14" s="92" t="str">
        <f>'2.1.'!C14</f>
        <v>u</v>
      </c>
      <c r="D14" s="204">
        <f>'2.1.'!D14</f>
        <v>15.5</v>
      </c>
      <c r="E14" s="204" t="str">
        <f>'2.1.'!E14</f>
        <v/>
      </c>
      <c r="F14" s="206">
        <f>'2.1.'!F14</f>
        <v>0.25</v>
      </c>
      <c r="G14" s="207">
        <f>'2.1.'!G14</f>
        <v>20</v>
      </c>
      <c r="H14" s="143">
        <f>'2.1.'!H14</f>
        <v>55260</v>
      </c>
      <c r="I14" s="143">
        <f>'2.1.'!I14</f>
        <v>1105200</v>
      </c>
    </row>
    <row r="15" ht="14.25" customHeight="1">
      <c r="A15" s="204" t="str">
        <f>'2.1.'!A15</f>
        <v>F-GR2</v>
      </c>
      <c r="B15" s="92" t="str">
        <f>'2.1.'!B15</f>
        <v>Fenolico 18mm Grandis 2 Buenas cal 3/3</v>
      </c>
      <c r="C15" s="92" t="str">
        <f>'2.1.'!C15</f>
        <v>u</v>
      </c>
      <c r="D15" s="204">
        <f>'2.1.'!D15</f>
        <v>45.5</v>
      </c>
      <c r="E15" s="204" t="str">
        <f>'2.1.'!E15</f>
        <v/>
      </c>
      <c r="F15" s="206">
        <f>'2.1.'!F15</f>
        <v>0.25</v>
      </c>
      <c r="G15" s="207">
        <f>'2.1.'!G15</f>
        <v>57</v>
      </c>
      <c r="H15" s="143">
        <f>'2.1.'!H15</f>
        <v>45454</v>
      </c>
      <c r="I15" s="143">
        <f>'2.1.'!I15</f>
        <v>2590878</v>
      </c>
    </row>
    <row r="16" ht="14.25" customHeight="1">
      <c r="A16" s="204" t="str">
        <f>'2.1.'!A16</f>
        <v>H-PL-TI</v>
      </c>
      <c r="B16" s="92" t="str">
        <f>'2.1.'!B16</f>
        <v>Bomba Pluma Traslado e Instalacion</v>
      </c>
      <c r="C16" s="92" t="str">
        <f>'2.1.'!C16</f>
        <v>u</v>
      </c>
      <c r="D16" s="204">
        <f>'2.1.'!D16</f>
        <v>1</v>
      </c>
      <c r="E16" s="204" t="str">
        <f>'2.1.'!E16</f>
        <v/>
      </c>
      <c r="F16" s="206" t="str">
        <f>'2.1.'!F16</f>
        <v/>
      </c>
      <c r="G16" s="207">
        <f>'2.1.'!G16</f>
        <v>1</v>
      </c>
      <c r="H16" s="143">
        <f>'2.1.'!H16</f>
        <v>600000</v>
      </c>
      <c r="I16" s="143">
        <f>'2.1.'!I16</f>
        <v>600000</v>
      </c>
    </row>
    <row r="17" ht="14.25" customHeight="1">
      <c r="A17" s="204" t="str">
        <f>'2.1.'!A17</f>
        <v>H-PL-m</v>
      </c>
      <c r="B17" s="92" t="str">
        <f>'2.1.'!B17</f>
        <v>Bomba Pluma m3 bombeable</v>
      </c>
      <c r="C17" s="92" t="str">
        <f>'2.1.'!C17</f>
        <v>m3</v>
      </c>
      <c r="D17" s="205">
        <f>'2.1.'!D17</f>
        <v>31</v>
      </c>
      <c r="E17" s="204" t="str">
        <f>'2.1.'!E17</f>
        <v/>
      </c>
      <c r="F17" s="206">
        <f>'2.1.'!F17</f>
        <v>0.1</v>
      </c>
      <c r="G17" s="207">
        <f>'2.1.'!G17</f>
        <v>35</v>
      </c>
      <c r="H17" s="143">
        <f>'2.1.'!H17</f>
        <v>6000</v>
      </c>
      <c r="I17" s="143">
        <f>'2.1.'!I17</f>
        <v>210000</v>
      </c>
    </row>
    <row r="18" ht="14.25" customHeight="1">
      <c r="A18" s="204" t="str">
        <f>'2.1.'!A18</f>
        <v/>
      </c>
      <c r="B18" s="92" t="str">
        <f>'2.1.'!B18</f>
        <v/>
      </c>
      <c r="C18" s="92" t="str">
        <f>'2.1.'!C18</f>
        <v/>
      </c>
      <c r="D18" s="204" t="str">
        <f>'2.1.'!D18</f>
        <v/>
      </c>
      <c r="E18" s="204" t="str">
        <f>'2.1.'!E18</f>
        <v/>
      </c>
      <c r="F18" s="206">
        <f>'2.1.'!F18</f>
        <v>0.1</v>
      </c>
      <c r="G18" s="207">
        <f>'2.1.'!G18</f>
        <v>0</v>
      </c>
      <c r="H18" s="143" t="str">
        <f>'2.1.'!H18</f>
        <v/>
      </c>
      <c r="I18" s="143">
        <f>'2.1.'!I18</f>
        <v>0</v>
      </c>
    </row>
    <row r="19" ht="14.25" customHeight="1">
      <c r="F19" s="208"/>
      <c r="G19" s="3"/>
      <c r="H19" s="143"/>
      <c r="I19" s="143"/>
    </row>
    <row r="20" ht="14.25" customHeight="1">
      <c r="A20" s="209" t="s">
        <v>996</v>
      </c>
      <c r="B20" s="210"/>
      <c r="C20" s="210"/>
      <c r="D20" s="210"/>
      <c r="E20" s="210"/>
      <c r="F20" s="210"/>
      <c r="G20" s="211"/>
      <c r="H20" s="210"/>
      <c r="I20" s="212">
        <f>SUM(I7:I18)</f>
        <v>16670214.14</v>
      </c>
      <c r="J20" s="92"/>
      <c r="K20" s="92"/>
      <c r="L20" s="92"/>
    </row>
    <row r="21" ht="14.25" customHeight="1">
      <c r="A21" s="213"/>
      <c r="B21" s="92"/>
      <c r="C21" s="92"/>
      <c r="D21" s="92"/>
      <c r="E21" s="92"/>
      <c r="F21" s="92"/>
      <c r="G21" s="3"/>
      <c r="H21" s="92"/>
      <c r="I21" s="207"/>
      <c r="J21" s="92"/>
      <c r="K21" s="92"/>
      <c r="L21" s="92"/>
    </row>
    <row r="22" ht="14.25" customHeight="1">
      <c r="A22" s="214"/>
      <c r="B22" s="213"/>
      <c r="C22" s="92"/>
      <c r="D22" s="92"/>
      <c r="E22" s="92"/>
      <c r="F22" s="92"/>
      <c r="G22" s="3"/>
      <c r="H22" s="92"/>
      <c r="I22" s="215"/>
      <c r="J22" s="92"/>
      <c r="K22" s="92"/>
      <c r="L22" s="92"/>
    </row>
    <row r="23">
      <c r="A23" s="195" t="str">
        <f>'2.2.'!A3</f>
        <v>n</v>
      </c>
      <c r="B23" s="196" t="str">
        <f>'2.2.'!B3</f>
        <v>VIGAS </v>
      </c>
      <c r="C23" s="197"/>
      <c r="D23" s="197"/>
      <c r="E23" s="197"/>
      <c r="F23" s="197"/>
      <c r="G23" s="198" t="str">
        <f>'2.2.'!G3</f>
        <v/>
      </c>
      <c r="H23" s="199">
        <f>'2.2.'!H3</f>
        <v>14</v>
      </c>
      <c r="I23" s="200" t="str">
        <f>'2.2.'!I3</f>
        <v>m³</v>
      </c>
    </row>
    <row r="24" ht="14.25" customHeight="1">
      <c r="G24" s="3"/>
    </row>
    <row r="25" ht="14.25" customHeight="1">
      <c r="A25" s="201" t="str">
        <f>'2.2.'!A5</f>
        <v>MATERIALES</v>
      </c>
      <c r="B25" s="94" t="str">
        <f>'2.2.'!B5</f>
        <v/>
      </c>
      <c r="C25" s="94" t="str">
        <f>'2.2.'!C5</f>
        <v/>
      </c>
      <c r="D25" s="94" t="str">
        <f>'2.2.'!D5</f>
        <v/>
      </c>
      <c r="E25" s="94" t="str">
        <f>'2.2.'!E5</f>
        <v/>
      </c>
      <c r="F25" s="94" t="str">
        <f>'2.2.'!F5</f>
        <v/>
      </c>
      <c r="G25" s="2" t="str">
        <f>'2.2.'!G5</f>
        <v/>
      </c>
      <c r="H25" s="94" t="str">
        <f>'2.2.'!H5</f>
        <v/>
      </c>
      <c r="I25" s="94" t="str">
        <f>'2.2.'!I5</f>
        <v/>
      </c>
    </row>
    <row r="26" ht="14.25" customHeight="1">
      <c r="A26" s="202" t="str">
        <f>'2.2.'!A6</f>
        <v>Código</v>
      </c>
      <c r="B26" s="202" t="str">
        <f>'2.2.'!B6</f>
        <v>Descripción</v>
      </c>
      <c r="C26" s="202" t="str">
        <f>'2.2.'!C6</f>
        <v>Unidad</v>
      </c>
      <c r="D26" s="203" t="str">
        <f>'2.2.'!D6</f>
        <v>Cantidad</v>
      </c>
      <c r="E26" s="197"/>
      <c r="F26" s="202" t="str">
        <f>'2.2.'!F6</f>
        <v>Desperdicio</v>
      </c>
      <c r="G26" s="4" t="str">
        <f>'2.2.'!G6</f>
        <v>Cantidad + Desperdicio</v>
      </c>
      <c r="H26" s="202" t="str">
        <f>'2.2.'!H6</f>
        <v>Precio Unitario</v>
      </c>
      <c r="I26" s="202" t="str">
        <f>'2.2.'!I6</f>
        <v>Subtotal</v>
      </c>
    </row>
    <row r="27" ht="14.25" customHeight="1">
      <c r="A27" s="204" t="str">
        <f>'2.2.'!A7</f>
        <v>H30</v>
      </c>
      <c r="B27" s="92" t="str">
        <f>'2.2.'!B7</f>
        <v>Hormigon H30</v>
      </c>
      <c r="C27" s="92" t="str">
        <f>'2.2.'!C7</f>
        <v>m3</v>
      </c>
      <c r="D27" s="205">
        <f>'2.2.'!D7</f>
        <v>14</v>
      </c>
      <c r="E27" s="204" t="str">
        <f>'2.2.'!E7</f>
        <v/>
      </c>
      <c r="F27" s="206">
        <f>'2.2.'!F7</f>
        <v>0.1</v>
      </c>
      <c r="G27" s="207">
        <f>'2.2.'!G7</f>
        <v>16</v>
      </c>
      <c r="H27" s="143">
        <f>'2.2.'!H7</f>
        <v>158000</v>
      </c>
      <c r="I27" s="143">
        <f>'2.2.'!I7</f>
        <v>2528000</v>
      </c>
    </row>
    <row r="28" ht="14.25" customHeight="1">
      <c r="A28" s="204" t="str">
        <f>'2.2.'!A8</f>
        <v>HADN6</v>
      </c>
      <c r="B28" s="92" t="str">
        <f>'2.2.'!B8</f>
        <v>Hierros ADN 420 Φ 6 </v>
      </c>
      <c r="C28" s="92" t="str">
        <f>'2.2.'!C8</f>
        <v>u</v>
      </c>
      <c r="D28" s="205">
        <f>'2.2.'!D8</f>
        <v>123</v>
      </c>
      <c r="E28" s="204" t="str">
        <f>'2.2.'!E8</f>
        <v/>
      </c>
      <c r="F28" s="206">
        <f>'2.2.'!F8</f>
        <v>0.1</v>
      </c>
      <c r="G28" s="207">
        <f>'2.2.'!G8</f>
        <v>136</v>
      </c>
      <c r="H28" s="143">
        <f>'2.2.'!H8</f>
        <v>5250</v>
      </c>
      <c r="I28" s="143">
        <f>'2.2.'!I8</f>
        <v>714000</v>
      </c>
      <c r="M28" s="154">
        <f>SUM(I28:I33)</f>
        <v>3492397.2</v>
      </c>
    </row>
    <row r="29" ht="14.25" customHeight="1">
      <c r="A29" s="204" t="str">
        <f>'2.2.'!A9</f>
        <v>HADN8</v>
      </c>
      <c r="B29" s="92" t="str">
        <f>'2.2.'!B9</f>
        <v>Hierros ADN 420 Φ 8</v>
      </c>
      <c r="C29" s="92" t="str">
        <f>'2.2.'!C9</f>
        <v>u</v>
      </c>
      <c r="D29" s="204">
        <f>'2.2.'!D9</f>
        <v>4</v>
      </c>
      <c r="E29" s="204" t="str">
        <f>'2.2.'!E9</f>
        <v/>
      </c>
      <c r="F29" s="206">
        <f>'2.2.'!F9</f>
        <v>0.1</v>
      </c>
      <c r="G29" s="207">
        <f>'2.2.'!G9</f>
        <v>5</v>
      </c>
      <c r="H29" s="143">
        <f>'2.2.'!H9</f>
        <v>9050</v>
      </c>
      <c r="I29" s="143">
        <f>'2.2.'!I9</f>
        <v>45250</v>
      </c>
    </row>
    <row r="30" ht="14.25" customHeight="1">
      <c r="A30" s="204" t="str">
        <f>'2.2.'!A10</f>
        <v>HADN10</v>
      </c>
      <c r="B30" s="92" t="str">
        <f>'2.2.'!B10</f>
        <v>Hierros ADN 420Φ 10</v>
      </c>
      <c r="C30" s="92" t="str">
        <f>'2.2.'!C10</f>
        <v>u</v>
      </c>
      <c r="D30" s="204">
        <f>'2.2.'!D10</f>
        <v>66</v>
      </c>
      <c r="E30" s="204" t="str">
        <f>'2.2.'!E10</f>
        <v/>
      </c>
      <c r="F30" s="206">
        <f>'2.2.'!F10</f>
        <v>0.1</v>
      </c>
      <c r="G30" s="207">
        <f>'2.2.'!G10</f>
        <v>73</v>
      </c>
      <c r="H30" s="143">
        <f>'2.2.'!H10</f>
        <v>11237</v>
      </c>
      <c r="I30" s="143">
        <f>'2.2.'!I10</f>
        <v>820301</v>
      </c>
    </row>
    <row r="31" ht="14.25" customHeight="1">
      <c r="A31" s="204" t="str">
        <f>'2.2.'!A11</f>
        <v>HADN12</v>
      </c>
      <c r="B31" s="92" t="str">
        <f>'2.2.'!B11</f>
        <v>Hierros ADN 420 Φ 12</v>
      </c>
      <c r="C31" s="92" t="str">
        <f>'2.2.'!C11</f>
        <v>u</v>
      </c>
      <c r="D31" s="204">
        <f>'2.2.'!D11</f>
        <v>34</v>
      </c>
      <c r="E31" s="204" t="str">
        <f>'2.2.'!E11</f>
        <v/>
      </c>
      <c r="F31" s="206">
        <f>'2.2.'!F11</f>
        <v>0.1</v>
      </c>
      <c r="G31" s="207">
        <f>'2.2.'!G11</f>
        <v>38</v>
      </c>
      <c r="H31" s="143">
        <f>'2.2.'!H11</f>
        <v>20442.5</v>
      </c>
      <c r="I31" s="143">
        <f>'2.2.'!I11</f>
        <v>776815</v>
      </c>
    </row>
    <row r="32" ht="14.25" customHeight="1">
      <c r="A32" s="204" t="str">
        <f>'2.2.'!A12</f>
        <v>HADN16</v>
      </c>
      <c r="B32" s="92" t="str">
        <f>'2.2.'!B12</f>
        <v>Hierros ADN 420 Φ 16</v>
      </c>
      <c r="C32" s="92" t="str">
        <f>'2.2.'!C12</f>
        <v>u</v>
      </c>
      <c r="D32" s="204">
        <f>'2.2.'!D12</f>
        <v>9</v>
      </c>
      <c r="E32" s="204" t="str">
        <f>'2.2.'!E12</f>
        <v/>
      </c>
      <c r="F32" s="206">
        <f>'2.2.'!F12</f>
        <v>0.1</v>
      </c>
      <c r="G32" s="207">
        <f>'2.2.'!G12</f>
        <v>10</v>
      </c>
      <c r="H32" s="143">
        <f>'2.2.'!H12</f>
        <v>36603.12</v>
      </c>
      <c r="I32" s="143">
        <f>'2.2.'!I12</f>
        <v>366031.2</v>
      </c>
    </row>
    <row r="33" ht="14.25" customHeight="1">
      <c r="A33" s="204" t="str">
        <f>'2.2.'!A13</f>
        <v>HADN20</v>
      </c>
      <c r="B33" s="92" t="str">
        <f>'2.2.'!B13</f>
        <v>Hierros ADN 420 Φ 20</v>
      </c>
      <c r="C33" s="92" t="str">
        <f>'2.2.'!C13</f>
        <v>U</v>
      </c>
      <c r="D33" s="204">
        <f>'2.2.'!D13</f>
        <v>12</v>
      </c>
      <c r="E33" s="204" t="str">
        <f>'2.2.'!E13</f>
        <v/>
      </c>
      <c r="F33" s="206">
        <f>'2.2.'!F13</f>
        <v>0.1</v>
      </c>
      <c r="G33" s="207">
        <f>'2.2.'!G13</f>
        <v>14</v>
      </c>
      <c r="H33" s="143">
        <f>'2.2.'!H13</f>
        <v>55000</v>
      </c>
      <c r="I33" s="143">
        <f>'2.2.'!I13</f>
        <v>770000</v>
      </c>
    </row>
    <row r="34" ht="14.25" customHeight="1">
      <c r="A34" s="204" t="str">
        <f>'2.2.'!A14</f>
        <v>F-MIR</v>
      </c>
      <c r="B34" s="92" t="str">
        <f>'2.2.'!B14</f>
        <v>Fenolico 18mm Miraluz 125 GR con film</v>
      </c>
      <c r="C34" s="92" t="str">
        <f>'2.2.'!C14</f>
        <v>u</v>
      </c>
      <c r="D34" s="204">
        <f>'2.2.'!D14</f>
        <v>0</v>
      </c>
      <c r="E34" s="204" t="str">
        <f>'2.2.'!E14</f>
        <v/>
      </c>
      <c r="F34" s="206">
        <f>'2.2.'!F14</f>
        <v>0.25</v>
      </c>
      <c r="G34" s="207">
        <f>'2.2.'!G14</f>
        <v>0</v>
      </c>
      <c r="H34" s="143">
        <f>'2.2.'!H14</f>
        <v>55260</v>
      </c>
      <c r="I34" s="143">
        <f>'2.2.'!I14</f>
        <v>0</v>
      </c>
    </row>
    <row r="35" ht="14.25" customHeight="1">
      <c r="A35" s="204" t="str">
        <f>'2.2.'!A15</f>
        <v>F-GR2</v>
      </c>
      <c r="B35" s="92" t="str">
        <f>'2.2.'!B15</f>
        <v>Fenolico 18mm Grandis 2 Buenas cal 3/3</v>
      </c>
      <c r="C35" s="92" t="str">
        <f>'2.2.'!C15</f>
        <v>u</v>
      </c>
      <c r="D35" s="204">
        <f>'2.2.'!D15</f>
        <v>31.5</v>
      </c>
      <c r="E35" s="204" t="str">
        <f>'2.2.'!E15</f>
        <v/>
      </c>
      <c r="F35" s="206">
        <f>'2.2.'!F15</f>
        <v>0.25</v>
      </c>
      <c r="G35" s="207">
        <f>'2.2.'!G15</f>
        <v>40</v>
      </c>
      <c r="H35" s="143">
        <f>'2.2.'!H15</f>
        <v>45454</v>
      </c>
      <c r="I35" s="143">
        <f>'2.2.'!I15</f>
        <v>1818160</v>
      </c>
      <c r="J35" s="92"/>
      <c r="K35" s="92"/>
      <c r="L35" s="92"/>
    </row>
    <row r="36" ht="14.25" customHeight="1">
      <c r="A36" s="204" t="str">
        <f>'2.2.'!A16</f>
        <v/>
      </c>
      <c r="B36" s="92" t="str">
        <f>'2.2.'!B16</f>
        <v/>
      </c>
      <c r="C36" s="92" t="str">
        <f>'2.2.'!C16</f>
        <v/>
      </c>
      <c r="D36" s="204" t="str">
        <f>'2.2.'!D16</f>
        <v/>
      </c>
      <c r="E36" s="204" t="str">
        <f>'2.2.'!E16</f>
        <v/>
      </c>
      <c r="F36" s="206" t="str">
        <f>'2.2.'!F16</f>
        <v/>
      </c>
      <c r="G36" s="207">
        <f>'2.2.'!G16</f>
        <v>0</v>
      </c>
      <c r="H36" s="143" t="str">
        <f>'2.2.'!H16</f>
        <v/>
      </c>
      <c r="I36" s="143" t="str">
        <f>'2.2.'!I16</f>
        <v/>
      </c>
      <c r="J36" s="92"/>
      <c r="K36" s="92"/>
      <c r="L36" s="92"/>
    </row>
    <row r="37" ht="14.25" customHeight="1">
      <c r="A37" s="204" t="str">
        <f>'2.2.'!A17</f>
        <v/>
      </c>
      <c r="B37" s="92" t="str">
        <f>'2.2.'!B17</f>
        <v/>
      </c>
      <c r="C37" s="92" t="str">
        <f>'2.2.'!C17</f>
        <v/>
      </c>
      <c r="D37" s="204" t="str">
        <f>'2.2.'!D17</f>
        <v/>
      </c>
      <c r="E37" s="204" t="str">
        <f>'2.2.'!E17</f>
        <v/>
      </c>
      <c r="F37" s="206" t="str">
        <f>'2.2.'!F17</f>
        <v/>
      </c>
      <c r="G37" s="207">
        <f>'2.2.'!G17</f>
        <v>0</v>
      </c>
      <c r="H37" s="143" t="str">
        <f>'2.2.'!H17</f>
        <v/>
      </c>
      <c r="I37" s="143" t="str">
        <f>'2.2.'!I17</f>
        <v/>
      </c>
    </row>
    <row r="38" ht="14.25" customHeight="1">
      <c r="A38" s="204" t="str">
        <f>'2.2.'!A18</f>
        <v/>
      </c>
      <c r="B38" s="92" t="str">
        <f>'2.2.'!B18</f>
        <v/>
      </c>
      <c r="C38" s="92" t="str">
        <f>'2.2.'!C18</f>
        <v/>
      </c>
      <c r="D38" s="204" t="str">
        <f>'2.2.'!D18</f>
        <v/>
      </c>
      <c r="E38" s="204" t="str">
        <f>'2.2.'!E18</f>
        <v/>
      </c>
      <c r="F38" s="206" t="str">
        <f>'2.2.'!F18</f>
        <v/>
      </c>
      <c r="G38" s="207">
        <f>'2.2.'!G18</f>
        <v>0</v>
      </c>
      <c r="H38" s="143" t="str">
        <f>'2.2.'!H18</f>
        <v/>
      </c>
      <c r="I38" s="143" t="str">
        <f>'2.2.'!I18</f>
        <v/>
      </c>
    </row>
    <row r="39" ht="14.25" customHeight="1">
      <c r="A39" s="216" t="str">
        <f>'2.2.'!A19</f>
        <v/>
      </c>
      <c r="B39" s="216" t="str">
        <f>'2.2.'!B19</f>
        <v/>
      </c>
      <c r="C39" s="216" t="str">
        <f>'2.2.'!C19</f>
        <v/>
      </c>
      <c r="D39" s="216" t="str">
        <f>'2.2.'!D19</f>
        <v/>
      </c>
      <c r="E39" s="216" t="str">
        <f>'2.2.'!E19</f>
        <v/>
      </c>
      <c r="F39" s="208" t="str">
        <f>'2.2.'!F19</f>
        <v/>
      </c>
      <c r="G39" s="3" t="str">
        <f>'2.2.'!G19</f>
        <v/>
      </c>
      <c r="H39" s="143" t="str">
        <f>'2.2.'!H19</f>
        <v/>
      </c>
      <c r="I39" s="143" t="str">
        <f>'2.2.'!I19</f>
        <v/>
      </c>
    </row>
    <row r="40" ht="14.25" customHeight="1">
      <c r="A40" s="209" t="str">
        <f>'2.2.'!A20</f>
        <v>TOTAL MATERIALES</v>
      </c>
      <c r="B40" s="210" t="str">
        <f>'2.2.'!B20</f>
        <v/>
      </c>
      <c r="C40" s="210" t="str">
        <f>'2.2.'!C20</f>
        <v/>
      </c>
      <c r="D40" s="210" t="str">
        <f>'2.2.'!D20</f>
        <v/>
      </c>
      <c r="E40" s="210" t="str">
        <f>'2.2.'!E20</f>
        <v/>
      </c>
      <c r="F40" s="210" t="str">
        <f>'2.2.'!F20</f>
        <v/>
      </c>
      <c r="G40" s="211" t="str">
        <f>'2.2.'!G20</f>
        <v/>
      </c>
      <c r="H40" s="210" t="str">
        <f>'2.2.'!H20</f>
        <v/>
      </c>
      <c r="I40" s="212">
        <f>'2.2.'!I20</f>
        <v>7838557.2</v>
      </c>
    </row>
    <row r="41" ht="14.25" customHeight="1">
      <c r="A41" s="92"/>
      <c r="B41" s="92"/>
      <c r="C41" s="92"/>
      <c r="D41" s="92"/>
      <c r="E41" s="92"/>
      <c r="F41" s="208"/>
      <c r="G41" s="217"/>
      <c r="H41" s="143"/>
      <c r="I41" s="143"/>
    </row>
    <row r="42" ht="14.25" customHeight="1">
      <c r="A42" s="92"/>
      <c r="B42" s="92"/>
      <c r="C42" s="92"/>
      <c r="D42" s="92"/>
      <c r="E42" s="92"/>
      <c r="F42" s="208"/>
      <c r="G42" s="217"/>
      <c r="H42" s="143"/>
      <c r="I42" s="143"/>
    </row>
    <row r="43">
      <c r="A43" s="195" t="str">
        <f t="shared" ref="A43:B43" si="1">'2.3.'!A3</f>
        <v>#REF!</v>
      </c>
      <c r="B43" s="196" t="str">
        <f t="shared" si="1"/>
        <v>#REF!</v>
      </c>
      <c r="C43" s="197"/>
      <c r="D43" s="197"/>
      <c r="E43" s="197"/>
      <c r="F43" s="197"/>
      <c r="G43" s="198" t="str">
        <f t="shared" ref="G43:I43" si="2">'2.3.'!G3</f>
        <v>#REF!</v>
      </c>
      <c r="H43" s="199" t="str">
        <f t="shared" si="2"/>
        <v>#REF!</v>
      </c>
      <c r="I43" s="200" t="str">
        <f t="shared" si="2"/>
        <v>#REF!</v>
      </c>
    </row>
    <row r="44" ht="14.25" customHeight="1">
      <c r="G44" s="3"/>
    </row>
    <row r="45" ht="14.25" customHeight="1">
      <c r="A45" s="201" t="str">
        <f t="shared" ref="A45:I45" si="3">'2.3.'!A5</f>
        <v>#REF!</v>
      </c>
      <c r="B45" s="94" t="str">
        <f t="shared" si="3"/>
        <v>#REF!</v>
      </c>
      <c r="C45" s="94" t="str">
        <f t="shared" si="3"/>
        <v>#REF!</v>
      </c>
      <c r="D45" s="94" t="str">
        <f t="shared" si="3"/>
        <v>#REF!</v>
      </c>
      <c r="E45" s="94" t="str">
        <f t="shared" si="3"/>
        <v>#REF!</v>
      </c>
      <c r="F45" s="94" t="str">
        <f t="shared" si="3"/>
        <v>#REF!</v>
      </c>
      <c r="G45" s="2" t="str">
        <f t="shared" si="3"/>
        <v>#REF!</v>
      </c>
      <c r="H45" s="94" t="str">
        <f t="shared" si="3"/>
        <v>#REF!</v>
      </c>
      <c r="I45" s="94" t="str">
        <f t="shared" si="3"/>
        <v>#REF!</v>
      </c>
    </row>
    <row r="46" ht="14.25" customHeight="1">
      <c r="A46" s="202" t="str">
        <f t="shared" ref="A46:D46" si="4">'2.3.'!A6</f>
        <v>#REF!</v>
      </c>
      <c r="B46" s="202" t="str">
        <f t="shared" si="4"/>
        <v>#REF!</v>
      </c>
      <c r="C46" s="202" t="str">
        <f t="shared" si="4"/>
        <v>#REF!</v>
      </c>
      <c r="D46" s="203" t="str">
        <f t="shared" si="4"/>
        <v>#REF!</v>
      </c>
      <c r="E46" s="197"/>
      <c r="F46" s="202" t="str">
        <f t="shared" ref="F46:I46" si="5">'2.3.'!F6</f>
        <v>#REF!</v>
      </c>
      <c r="G46" s="4" t="str">
        <f t="shared" si="5"/>
        <v>#REF!</v>
      </c>
      <c r="H46" s="202" t="str">
        <f t="shared" si="5"/>
        <v>#REF!</v>
      </c>
      <c r="I46" s="202" t="str">
        <f t="shared" si="5"/>
        <v>#REF!</v>
      </c>
    </row>
    <row r="47" ht="14.25" customHeight="1">
      <c r="A47" s="204" t="str">
        <f t="shared" ref="A47:I47" si="6">'2.3.'!A7</f>
        <v>#REF!</v>
      </c>
      <c r="B47" s="92" t="str">
        <f t="shared" si="6"/>
        <v>#REF!</v>
      </c>
      <c r="C47" s="92" t="str">
        <f t="shared" si="6"/>
        <v>#REF!</v>
      </c>
      <c r="D47" s="205" t="str">
        <f t="shared" si="6"/>
        <v>#REF!</v>
      </c>
      <c r="E47" s="204" t="str">
        <f t="shared" si="6"/>
        <v>#REF!</v>
      </c>
      <c r="F47" s="206" t="str">
        <f t="shared" si="6"/>
        <v>#REF!</v>
      </c>
      <c r="G47" s="207" t="str">
        <f t="shared" si="6"/>
        <v>#REF!</v>
      </c>
      <c r="H47" s="143" t="str">
        <f t="shared" si="6"/>
        <v>#REF!</v>
      </c>
      <c r="I47" s="143" t="str">
        <f t="shared" si="6"/>
        <v>#REF!</v>
      </c>
    </row>
    <row r="48" ht="14.25" customHeight="1">
      <c r="A48" s="204" t="str">
        <f t="shared" ref="A48:I48" si="7">'2.3.'!A8</f>
        <v>#REF!</v>
      </c>
      <c r="B48" s="92" t="str">
        <f t="shared" si="7"/>
        <v>#REF!</v>
      </c>
      <c r="C48" s="92" t="str">
        <f t="shared" si="7"/>
        <v>#REF!</v>
      </c>
      <c r="D48" s="204" t="str">
        <f t="shared" si="7"/>
        <v>#REF!</v>
      </c>
      <c r="E48" s="204" t="str">
        <f t="shared" si="7"/>
        <v>#REF!</v>
      </c>
      <c r="F48" s="206" t="str">
        <f t="shared" si="7"/>
        <v>#REF!</v>
      </c>
      <c r="G48" s="207" t="str">
        <f t="shared" si="7"/>
        <v>#REF!</v>
      </c>
      <c r="H48" s="143" t="str">
        <f t="shared" si="7"/>
        <v>#REF!</v>
      </c>
      <c r="I48" s="143" t="str">
        <f t="shared" si="7"/>
        <v>#REF!</v>
      </c>
    </row>
    <row r="49" ht="14.25" customHeight="1">
      <c r="A49" s="204" t="str">
        <f t="shared" ref="A49:I49" si="8">'2.3.'!A9</f>
        <v>#REF!</v>
      </c>
      <c r="B49" s="92" t="str">
        <f t="shared" si="8"/>
        <v>#REF!</v>
      </c>
      <c r="C49" s="92" t="str">
        <f t="shared" si="8"/>
        <v>#REF!</v>
      </c>
      <c r="D49" s="204" t="str">
        <f t="shared" si="8"/>
        <v>#REF!</v>
      </c>
      <c r="E49" s="204" t="str">
        <f t="shared" si="8"/>
        <v>#REF!</v>
      </c>
      <c r="F49" s="206" t="str">
        <f t="shared" si="8"/>
        <v>#REF!</v>
      </c>
      <c r="G49" s="207" t="str">
        <f t="shared" si="8"/>
        <v>#REF!</v>
      </c>
      <c r="H49" s="143" t="str">
        <f t="shared" si="8"/>
        <v>#REF!</v>
      </c>
      <c r="I49" s="143" t="str">
        <f t="shared" si="8"/>
        <v>#REF!</v>
      </c>
      <c r="J49" s="92"/>
      <c r="K49" s="92"/>
      <c r="L49" s="92"/>
    </row>
    <row r="50" ht="14.25" customHeight="1">
      <c r="A50" s="204" t="str">
        <f t="shared" ref="A50:I50" si="9">'2.3.'!A10</f>
        <v>#REF!</v>
      </c>
      <c r="B50" s="92" t="str">
        <f t="shared" si="9"/>
        <v>#REF!</v>
      </c>
      <c r="C50" s="92" t="str">
        <f t="shared" si="9"/>
        <v>#REF!</v>
      </c>
      <c r="D50" s="204" t="str">
        <f t="shared" si="9"/>
        <v>#REF!</v>
      </c>
      <c r="E50" s="204" t="str">
        <f t="shared" si="9"/>
        <v>#REF!</v>
      </c>
      <c r="F50" s="206" t="str">
        <f t="shared" si="9"/>
        <v>#REF!</v>
      </c>
      <c r="G50" s="207" t="str">
        <f t="shared" si="9"/>
        <v>#REF!</v>
      </c>
      <c r="H50" s="143" t="str">
        <f t="shared" si="9"/>
        <v>#REF!</v>
      </c>
      <c r="I50" s="143" t="str">
        <f t="shared" si="9"/>
        <v>#REF!</v>
      </c>
      <c r="J50" s="92"/>
      <c r="K50" s="92"/>
      <c r="L50" s="92"/>
    </row>
    <row r="51" ht="14.25" customHeight="1">
      <c r="A51" s="204" t="str">
        <f t="shared" ref="A51:I51" si="10">'2.3.'!A11</f>
        <v>#REF!</v>
      </c>
      <c r="B51" s="92" t="str">
        <f t="shared" si="10"/>
        <v>#REF!</v>
      </c>
      <c r="C51" s="92" t="str">
        <f t="shared" si="10"/>
        <v>#REF!</v>
      </c>
      <c r="D51" s="204" t="str">
        <f t="shared" si="10"/>
        <v>#REF!</v>
      </c>
      <c r="E51" s="204" t="str">
        <f t="shared" si="10"/>
        <v>#REF!</v>
      </c>
      <c r="F51" s="206" t="str">
        <f t="shared" si="10"/>
        <v>#REF!</v>
      </c>
      <c r="G51" s="207" t="str">
        <f t="shared" si="10"/>
        <v>#REF!</v>
      </c>
      <c r="H51" s="143" t="str">
        <f t="shared" si="10"/>
        <v>#REF!</v>
      </c>
      <c r="I51" s="143" t="str">
        <f t="shared" si="10"/>
        <v>#REF!</v>
      </c>
    </row>
    <row r="52" ht="14.25" customHeight="1">
      <c r="A52" s="204" t="str">
        <f t="shared" ref="A52:I52" si="11">'2.3.'!A12</f>
        <v>#REF!</v>
      </c>
      <c r="B52" s="92" t="str">
        <f t="shared" si="11"/>
        <v>#REF!</v>
      </c>
      <c r="C52" s="92" t="str">
        <f t="shared" si="11"/>
        <v>#REF!</v>
      </c>
      <c r="D52" s="204" t="str">
        <f t="shared" si="11"/>
        <v>#REF!</v>
      </c>
      <c r="E52" s="204" t="str">
        <f t="shared" si="11"/>
        <v>#REF!</v>
      </c>
      <c r="F52" s="206" t="str">
        <f t="shared" si="11"/>
        <v>#REF!</v>
      </c>
      <c r="G52" s="207" t="str">
        <f t="shared" si="11"/>
        <v>#REF!</v>
      </c>
      <c r="H52" s="143" t="str">
        <f t="shared" si="11"/>
        <v>#REF!</v>
      </c>
      <c r="I52" s="143" t="str">
        <f t="shared" si="11"/>
        <v>#REF!</v>
      </c>
    </row>
    <row r="53" ht="14.25" customHeight="1">
      <c r="A53" s="204" t="str">
        <f t="shared" ref="A53:I53" si="12">'2.3.'!A13</f>
        <v>#REF!</v>
      </c>
      <c r="B53" s="92" t="str">
        <f t="shared" si="12"/>
        <v>#REF!</v>
      </c>
      <c r="C53" s="92" t="str">
        <f t="shared" si="12"/>
        <v>#REF!</v>
      </c>
      <c r="D53" s="204" t="str">
        <f t="shared" si="12"/>
        <v>#REF!</v>
      </c>
      <c r="E53" s="204" t="str">
        <f t="shared" si="12"/>
        <v>#REF!</v>
      </c>
      <c r="F53" s="206" t="str">
        <f t="shared" si="12"/>
        <v>#REF!</v>
      </c>
      <c r="G53" s="207" t="str">
        <f t="shared" si="12"/>
        <v>#REF!</v>
      </c>
      <c r="H53" s="143" t="str">
        <f t="shared" si="12"/>
        <v>#REF!</v>
      </c>
      <c r="I53" s="143" t="str">
        <f t="shared" si="12"/>
        <v>#REF!</v>
      </c>
    </row>
    <row r="54" ht="14.25" customHeight="1">
      <c r="A54" s="204" t="str">
        <f t="shared" ref="A54:I54" si="13">'2.3.'!A14</f>
        <v>#REF!</v>
      </c>
      <c r="B54" s="92" t="str">
        <f t="shared" si="13"/>
        <v>#REF!</v>
      </c>
      <c r="C54" s="92" t="str">
        <f t="shared" si="13"/>
        <v>#REF!</v>
      </c>
      <c r="D54" s="204" t="str">
        <f t="shared" si="13"/>
        <v>#REF!</v>
      </c>
      <c r="E54" s="204" t="str">
        <f t="shared" si="13"/>
        <v>#REF!</v>
      </c>
      <c r="F54" s="206" t="str">
        <f t="shared" si="13"/>
        <v>#REF!</v>
      </c>
      <c r="G54" s="207" t="str">
        <f t="shared" si="13"/>
        <v>#REF!</v>
      </c>
      <c r="H54" s="143" t="str">
        <f t="shared" si="13"/>
        <v>#REF!</v>
      </c>
      <c r="I54" s="143" t="str">
        <f t="shared" si="13"/>
        <v>#REF!</v>
      </c>
    </row>
    <row r="55" ht="14.25" customHeight="1">
      <c r="A55" s="204" t="str">
        <f t="shared" ref="A55:I55" si="14">'2.3.'!A15</f>
        <v>#REF!</v>
      </c>
      <c r="B55" s="92" t="str">
        <f t="shared" si="14"/>
        <v>#REF!</v>
      </c>
      <c r="C55" s="92" t="str">
        <f t="shared" si="14"/>
        <v>#REF!</v>
      </c>
      <c r="D55" s="204" t="str">
        <f t="shared" si="14"/>
        <v>#REF!</v>
      </c>
      <c r="E55" s="204" t="str">
        <f t="shared" si="14"/>
        <v>#REF!</v>
      </c>
      <c r="F55" s="206" t="str">
        <f t="shared" si="14"/>
        <v>#REF!</v>
      </c>
      <c r="G55" s="207" t="str">
        <f t="shared" si="14"/>
        <v>#REF!</v>
      </c>
      <c r="H55" s="143" t="str">
        <f t="shared" si="14"/>
        <v>#REF!</v>
      </c>
      <c r="I55" s="143" t="str">
        <f t="shared" si="14"/>
        <v>#REF!</v>
      </c>
    </row>
    <row r="56" ht="14.25" customHeight="1">
      <c r="A56" s="204" t="str">
        <f t="shared" ref="A56:I56" si="15">'2.3.'!A16</f>
        <v>#REF!</v>
      </c>
      <c r="B56" s="92" t="str">
        <f t="shared" si="15"/>
        <v>#REF!</v>
      </c>
      <c r="C56" s="92" t="str">
        <f t="shared" si="15"/>
        <v>#REF!</v>
      </c>
      <c r="D56" s="204" t="str">
        <f t="shared" si="15"/>
        <v>#REF!</v>
      </c>
      <c r="E56" s="204" t="str">
        <f t="shared" si="15"/>
        <v>#REF!</v>
      </c>
      <c r="F56" s="206" t="str">
        <f t="shared" si="15"/>
        <v>#REF!</v>
      </c>
      <c r="G56" s="207" t="str">
        <f t="shared" si="15"/>
        <v>#REF!</v>
      </c>
      <c r="H56" s="143" t="str">
        <f t="shared" si="15"/>
        <v>#REF!</v>
      </c>
      <c r="I56" s="143" t="str">
        <f t="shared" si="15"/>
        <v>#REF!</v>
      </c>
    </row>
    <row r="57" ht="14.25" customHeight="1">
      <c r="A57" s="204" t="str">
        <f t="shared" ref="A57:I57" si="16">'2.3.'!A17</f>
        <v>#REF!</v>
      </c>
      <c r="B57" s="92" t="str">
        <f t="shared" si="16"/>
        <v>#REF!</v>
      </c>
      <c r="C57" s="92" t="str">
        <f t="shared" si="16"/>
        <v>#REF!</v>
      </c>
      <c r="D57" s="204" t="str">
        <f t="shared" si="16"/>
        <v>#REF!</v>
      </c>
      <c r="E57" s="204" t="str">
        <f t="shared" si="16"/>
        <v>#REF!</v>
      </c>
      <c r="F57" s="206" t="str">
        <f t="shared" si="16"/>
        <v>#REF!</v>
      </c>
      <c r="G57" s="207" t="str">
        <f t="shared" si="16"/>
        <v>#REF!</v>
      </c>
      <c r="H57" s="143" t="str">
        <f t="shared" si="16"/>
        <v>#REF!</v>
      </c>
      <c r="I57" s="143" t="str">
        <f t="shared" si="16"/>
        <v>#REF!</v>
      </c>
    </row>
    <row r="58" ht="14.25" customHeight="1">
      <c r="A58" s="204" t="str">
        <f t="shared" ref="A58:I58" si="17">'2.3.'!A18</f>
        <v>#REF!</v>
      </c>
      <c r="B58" s="92" t="str">
        <f t="shared" si="17"/>
        <v>#REF!</v>
      </c>
      <c r="C58" s="92" t="str">
        <f t="shared" si="17"/>
        <v>#REF!</v>
      </c>
      <c r="D58" s="204" t="str">
        <f t="shared" si="17"/>
        <v>#REF!</v>
      </c>
      <c r="E58" s="204" t="str">
        <f t="shared" si="17"/>
        <v>#REF!</v>
      </c>
      <c r="F58" s="206" t="str">
        <f t="shared" si="17"/>
        <v>#REF!</v>
      </c>
      <c r="G58" s="207" t="str">
        <f t="shared" si="17"/>
        <v>#REF!</v>
      </c>
      <c r="H58" s="143" t="str">
        <f t="shared" si="17"/>
        <v>#REF!</v>
      </c>
      <c r="I58" s="143" t="str">
        <f t="shared" si="17"/>
        <v>#REF!</v>
      </c>
    </row>
    <row r="59" ht="14.25" customHeight="1">
      <c r="A59" s="216" t="str">
        <f t="shared" ref="A59:I59" si="18">'2.3.'!A19</f>
        <v>#REF!</v>
      </c>
      <c r="B59" s="216" t="str">
        <f t="shared" si="18"/>
        <v>#REF!</v>
      </c>
      <c r="C59" s="216" t="str">
        <f t="shared" si="18"/>
        <v>#REF!</v>
      </c>
      <c r="D59" s="216" t="str">
        <f t="shared" si="18"/>
        <v>#REF!</v>
      </c>
      <c r="E59" s="216" t="str">
        <f t="shared" si="18"/>
        <v>#REF!</v>
      </c>
      <c r="F59" s="208" t="str">
        <f t="shared" si="18"/>
        <v>#REF!</v>
      </c>
      <c r="G59" s="3" t="str">
        <f t="shared" si="18"/>
        <v>#REF!</v>
      </c>
      <c r="H59" s="143" t="str">
        <f t="shared" si="18"/>
        <v>#REF!</v>
      </c>
      <c r="I59" s="143" t="str">
        <f t="shared" si="18"/>
        <v>#REF!</v>
      </c>
    </row>
    <row r="60" ht="14.25" customHeight="1">
      <c r="A60" s="209" t="str">
        <f t="shared" ref="A60:I60" si="19">'2.3.'!A20</f>
        <v>#REF!</v>
      </c>
      <c r="B60" s="210" t="str">
        <f t="shared" si="19"/>
        <v>#REF!</v>
      </c>
      <c r="C60" s="210" t="str">
        <f t="shared" si="19"/>
        <v>#REF!</v>
      </c>
      <c r="D60" s="210" t="str">
        <f t="shared" si="19"/>
        <v>#REF!</v>
      </c>
      <c r="E60" s="210" t="str">
        <f t="shared" si="19"/>
        <v>#REF!</v>
      </c>
      <c r="F60" s="210" t="str">
        <f t="shared" si="19"/>
        <v>#REF!</v>
      </c>
      <c r="G60" s="211" t="str">
        <f t="shared" si="19"/>
        <v>#REF!</v>
      </c>
      <c r="H60" s="210" t="str">
        <f t="shared" si="19"/>
        <v>#REF!</v>
      </c>
      <c r="I60" s="212" t="str">
        <f t="shared" si="19"/>
        <v>#REF!</v>
      </c>
    </row>
    <row r="61" ht="14.25" customHeight="1">
      <c r="F61" s="208"/>
      <c r="G61" s="3"/>
      <c r="H61" s="143"/>
      <c r="I61" s="143"/>
    </row>
    <row r="62" ht="14.25" customHeight="1">
      <c r="A62" s="213"/>
      <c r="B62" s="92"/>
      <c r="C62" s="92"/>
      <c r="D62" s="92"/>
      <c r="E62" s="92"/>
      <c r="F62" s="92"/>
      <c r="G62" s="3"/>
      <c r="H62" s="92"/>
      <c r="I62" s="215"/>
    </row>
    <row r="63">
      <c r="A63" s="195" t="str">
        <f t="shared" ref="A63:B63" si="20">'2.4.'!A3</f>
        <v>#REF!</v>
      </c>
      <c r="B63" s="196" t="str">
        <f t="shared" si="20"/>
        <v>#REF!</v>
      </c>
      <c r="C63" s="197"/>
      <c r="D63" s="197"/>
      <c r="E63" s="197"/>
      <c r="F63" s="197"/>
      <c r="G63" s="198" t="str">
        <f t="shared" ref="G63:I63" si="21">'2.4.'!G3</f>
        <v>#REF!</v>
      </c>
      <c r="H63" s="199" t="str">
        <f t="shared" si="21"/>
        <v>#REF!</v>
      </c>
      <c r="I63" s="200" t="str">
        <f t="shared" si="21"/>
        <v>#REF!</v>
      </c>
      <c r="J63" s="92"/>
      <c r="K63" s="92"/>
      <c r="L63" s="92"/>
    </row>
    <row r="64" ht="14.25" customHeight="1">
      <c r="A64" s="216" t="str">
        <f t="shared" ref="A64:I64" si="22">'2.4.'!A4</f>
        <v>#REF!</v>
      </c>
      <c r="B64" s="216" t="str">
        <f t="shared" si="22"/>
        <v>#REF!</v>
      </c>
      <c r="C64" s="216" t="str">
        <f t="shared" si="22"/>
        <v>#REF!</v>
      </c>
      <c r="D64" s="216" t="str">
        <f t="shared" si="22"/>
        <v>#REF!</v>
      </c>
      <c r="E64" s="216" t="str">
        <f t="shared" si="22"/>
        <v>#REF!</v>
      </c>
      <c r="F64" s="216" t="str">
        <f t="shared" si="22"/>
        <v>#REF!</v>
      </c>
      <c r="G64" s="3" t="str">
        <f t="shared" si="22"/>
        <v>#REF!</v>
      </c>
      <c r="H64" s="216" t="str">
        <f t="shared" si="22"/>
        <v>#REF!</v>
      </c>
      <c r="I64" s="216" t="str">
        <f t="shared" si="22"/>
        <v>#REF!</v>
      </c>
      <c r="J64" s="92"/>
      <c r="K64" s="92"/>
      <c r="L64" s="92"/>
    </row>
    <row r="65" ht="14.25" customHeight="1">
      <c r="A65" s="201" t="str">
        <f t="shared" ref="A65:I65" si="23">'2.4.'!A5</f>
        <v>#REF!</v>
      </c>
      <c r="B65" s="94" t="str">
        <f t="shared" si="23"/>
        <v>#REF!</v>
      </c>
      <c r="C65" s="94" t="str">
        <f t="shared" si="23"/>
        <v>#REF!</v>
      </c>
      <c r="D65" s="94" t="str">
        <f t="shared" si="23"/>
        <v>#REF!</v>
      </c>
      <c r="E65" s="94" t="str">
        <f t="shared" si="23"/>
        <v>#REF!</v>
      </c>
      <c r="F65" s="94" t="str">
        <f t="shared" si="23"/>
        <v>#REF!</v>
      </c>
      <c r="G65" s="2" t="str">
        <f t="shared" si="23"/>
        <v>#REF!</v>
      </c>
      <c r="H65" s="94" t="str">
        <f t="shared" si="23"/>
        <v>#REF!</v>
      </c>
      <c r="I65" s="94" t="str">
        <f t="shared" si="23"/>
        <v>#REF!</v>
      </c>
    </row>
    <row r="66" ht="14.25" customHeight="1">
      <c r="A66" s="202" t="str">
        <f t="shared" ref="A66:D66" si="24">'2.4.'!A6</f>
        <v>#REF!</v>
      </c>
      <c r="B66" s="202" t="str">
        <f t="shared" si="24"/>
        <v>#REF!</v>
      </c>
      <c r="C66" s="202" t="str">
        <f t="shared" si="24"/>
        <v>#REF!</v>
      </c>
      <c r="D66" s="203" t="str">
        <f t="shared" si="24"/>
        <v>#REF!</v>
      </c>
      <c r="E66" s="197"/>
      <c r="F66" s="202" t="str">
        <f t="shared" ref="F66:I66" si="25">'2.4.'!F6</f>
        <v>#REF!</v>
      </c>
      <c r="G66" s="4" t="str">
        <f t="shared" si="25"/>
        <v>#REF!</v>
      </c>
      <c r="H66" s="202" t="str">
        <f t="shared" si="25"/>
        <v>#REF!</v>
      </c>
      <c r="I66" s="202" t="str">
        <f t="shared" si="25"/>
        <v>#REF!</v>
      </c>
    </row>
    <row r="67" ht="14.25" customHeight="1">
      <c r="A67" s="204" t="str">
        <f t="shared" ref="A67:I67" si="26">'2.4.'!A7</f>
        <v>#REF!</v>
      </c>
      <c r="B67" s="92" t="str">
        <f t="shared" si="26"/>
        <v>#REF!</v>
      </c>
      <c r="C67" s="92" t="str">
        <f t="shared" si="26"/>
        <v>#REF!</v>
      </c>
      <c r="D67" s="204" t="str">
        <f t="shared" si="26"/>
        <v>#REF!</v>
      </c>
      <c r="E67" s="204" t="str">
        <f t="shared" si="26"/>
        <v>#REF!</v>
      </c>
      <c r="F67" s="206" t="str">
        <f t="shared" si="26"/>
        <v>#REF!</v>
      </c>
      <c r="G67" s="207" t="str">
        <f t="shared" si="26"/>
        <v>#REF!</v>
      </c>
      <c r="H67" s="143" t="str">
        <f t="shared" si="26"/>
        <v>#REF!</v>
      </c>
      <c r="I67" s="143" t="str">
        <f t="shared" si="26"/>
        <v>#REF!</v>
      </c>
    </row>
    <row r="68" ht="14.25" customHeight="1">
      <c r="A68" s="204" t="str">
        <f t="shared" ref="A68:I68" si="27">'2.4.'!A8</f>
        <v>#REF!</v>
      </c>
      <c r="B68" s="92" t="str">
        <f t="shared" si="27"/>
        <v>#REF!</v>
      </c>
      <c r="C68" s="92" t="str">
        <f t="shared" si="27"/>
        <v>#REF!</v>
      </c>
      <c r="D68" s="204" t="str">
        <f t="shared" si="27"/>
        <v>#REF!</v>
      </c>
      <c r="E68" s="204" t="str">
        <f t="shared" si="27"/>
        <v>#REF!</v>
      </c>
      <c r="F68" s="206" t="str">
        <f t="shared" si="27"/>
        <v>#REF!</v>
      </c>
      <c r="G68" s="207" t="str">
        <f t="shared" si="27"/>
        <v>#REF!</v>
      </c>
      <c r="H68" s="143" t="str">
        <f t="shared" si="27"/>
        <v>#REF!</v>
      </c>
      <c r="I68" s="143" t="str">
        <f t="shared" si="27"/>
        <v>#REF!</v>
      </c>
    </row>
    <row r="69" ht="14.25" customHeight="1">
      <c r="A69" s="204" t="str">
        <f t="shared" ref="A69:I69" si="28">'2.4.'!A9</f>
        <v>#REF!</v>
      </c>
      <c r="B69" s="92" t="str">
        <f t="shared" si="28"/>
        <v>#REF!</v>
      </c>
      <c r="C69" s="92" t="str">
        <f t="shared" si="28"/>
        <v>#REF!</v>
      </c>
      <c r="D69" s="204" t="str">
        <f t="shared" si="28"/>
        <v>#REF!</v>
      </c>
      <c r="E69" s="204" t="str">
        <f t="shared" si="28"/>
        <v>#REF!</v>
      </c>
      <c r="F69" s="206" t="str">
        <f t="shared" si="28"/>
        <v>#REF!</v>
      </c>
      <c r="G69" s="207" t="str">
        <f t="shared" si="28"/>
        <v>#REF!</v>
      </c>
      <c r="H69" s="143" t="str">
        <f t="shared" si="28"/>
        <v>#REF!</v>
      </c>
      <c r="I69" s="143" t="str">
        <f t="shared" si="28"/>
        <v>#REF!</v>
      </c>
    </row>
    <row r="70" ht="14.25" customHeight="1">
      <c r="A70" s="204" t="str">
        <f t="shared" ref="A70:I70" si="29">'2.4.'!A10</f>
        <v>#REF!</v>
      </c>
      <c r="B70" s="92" t="str">
        <f t="shared" si="29"/>
        <v>#REF!</v>
      </c>
      <c r="C70" s="92" t="str">
        <f t="shared" si="29"/>
        <v>#REF!</v>
      </c>
      <c r="D70" s="204" t="str">
        <f t="shared" si="29"/>
        <v>#REF!</v>
      </c>
      <c r="E70" s="204" t="str">
        <f t="shared" si="29"/>
        <v>#REF!</v>
      </c>
      <c r="F70" s="206" t="str">
        <f t="shared" si="29"/>
        <v>#REF!</v>
      </c>
      <c r="G70" s="207" t="str">
        <f t="shared" si="29"/>
        <v>#REF!</v>
      </c>
      <c r="H70" s="143" t="str">
        <f t="shared" si="29"/>
        <v>#REF!</v>
      </c>
      <c r="I70" s="143" t="str">
        <f t="shared" si="29"/>
        <v>#REF!</v>
      </c>
    </row>
    <row r="71" ht="14.25" customHeight="1">
      <c r="A71" s="204" t="str">
        <f t="shared" ref="A71:I71" si="30">'2.4.'!A11</f>
        <v>#REF!</v>
      </c>
      <c r="B71" s="92" t="str">
        <f t="shared" si="30"/>
        <v>#REF!</v>
      </c>
      <c r="C71" s="92" t="str">
        <f t="shared" si="30"/>
        <v>#REF!</v>
      </c>
      <c r="D71" s="204" t="str">
        <f t="shared" si="30"/>
        <v>#REF!</v>
      </c>
      <c r="E71" s="204" t="str">
        <f t="shared" si="30"/>
        <v>#REF!</v>
      </c>
      <c r="F71" s="206" t="str">
        <f t="shared" si="30"/>
        <v>#REF!</v>
      </c>
      <c r="G71" s="207" t="str">
        <f t="shared" si="30"/>
        <v>#REF!</v>
      </c>
      <c r="H71" s="143" t="str">
        <f t="shared" si="30"/>
        <v>#REF!</v>
      </c>
      <c r="I71" s="143" t="str">
        <f t="shared" si="30"/>
        <v>#REF!</v>
      </c>
    </row>
    <row r="72" ht="14.25" customHeight="1">
      <c r="A72" s="204" t="str">
        <f t="shared" ref="A72:I72" si="31">'2.4.'!A12</f>
        <v>#REF!</v>
      </c>
      <c r="B72" s="92" t="str">
        <f t="shared" si="31"/>
        <v>#REF!</v>
      </c>
      <c r="C72" s="92" t="str">
        <f t="shared" si="31"/>
        <v>#REF!</v>
      </c>
      <c r="D72" s="204" t="str">
        <f t="shared" si="31"/>
        <v>#REF!</v>
      </c>
      <c r="E72" s="204" t="str">
        <f t="shared" si="31"/>
        <v>#REF!</v>
      </c>
      <c r="F72" s="206" t="str">
        <f t="shared" si="31"/>
        <v>#REF!</v>
      </c>
      <c r="G72" s="207" t="str">
        <f t="shared" si="31"/>
        <v>#REF!</v>
      </c>
      <c r="H72" s="143" t="str">
        <f t="shared" si="31"/>
        <v>#REF!</v>
      </c>
      <c r="I72" s="143" t="str">
        <f t="shared" si="31"/>
        <v>#REF!</v>
      </c>
    </row>
    <row r="73" ht="14.25" customHeight="1">
      <c r="A73" s="204" t="str">
        <f t="shared" ref="A73:I73" si="32">'2.4.'!A13</f>
        <v>#REF!</v>
      </c>
      <c r="B73" s="92" t="str">
        <f t="shared" si="32"/>
        <v>#REF!</v>
      </c>
      <c r="C73" s="92" t="str">
        <f t="shared" si="32"/>
        <v>#REF!</v>
      </c>
      <c r="D73" s="204" t="str">
        <f t="shared" si="32"/>
        <v>#REF!</v>
      </c>
      <c r="E73" s="204" t="str">
        <f t="shared" si="32"/>
        <v>#REF!</v>
      </c>
      <c r="F73" s="206" t="str">
        <f t="shared" si="32"/>
        <v>#REF!</v>
      </c>
      <c r="G73" s="207" t="str">
        <f t="shared" si="32"/>
        <v>#REF!</v>
      </c>
      <c r="H73" s="143" t="str">
        <f t="shared" si="32"/>
        <v>#REF!</v>
      </c>
      <c r="I73" s="143" t="str">
        <f t="shared" si="32"/>
        <v>#REF!</v>
      </c>
    </row>
    <row r="74" ht="14.25" customHeight="1">
      <c r="A74" s="204" t="str">
        <f t="shared" ref="A74:I74" si="33">'2.4.'!A14</f>
        <v>#REF!</v>
      </c>
      <c r="B74" s="92" t="str">
        <f t="shared" si="33"/>
        <v>#REF!</v>
      </c>
      <c r="C74" s="92" t="str">
        <f t="shared" si="33"/>
        <v>#REF!</v>
      </c>
      <c r="D74" s="204" t="str">
        <f t="shared" si="33"/>
        <v>#REF!</v>
      </c>
      <c r="E74" s="204" t="str">
        <f t="shared" si="33"/>
        <v>#REF!</v>
      </c>
      <c r="F74" s="206" t="str">
        <f t="shared" si="33"/>
        <v>#REF!</v>
      </c>
      <c r="G74" s="207" t="str">
        <f t="shared" si="33"/>
        <v>#REF!</v>
      </c>
      <c r="H74" s="143" t="str">
        <f t="shared" si="33"/>
        <v>#REF!</v>
      </c>
      <c r="I74" s="143" t="str">
        <f t="shared" si="33"/>
        <v>#REF!</v>
      </c>
    </row>
    <row r="75" ht="14.25" customHeight="1">
      <c r="A75" s="204" t="str">
        <f t="shared" ref="A75:I75" si="34">'2.4.'!A15</f>
        <v>#REF!</v>
      </c>
      <c r="B75" s="92" t="str">
        <f t="shared" si="34"/>
        <v>#REF!</v>
      </c>
      <c r="C75" s="92" t="str">
        <f t="shared" si="34"/>
        <v>#REF!</v>
      </c>
      <c r="D75" s="204" t="str">
        <f t="shared" si="34"/>
        <v>#REF!</v>
      </c>
      <c r="E75" s="204" t="str">
        <f t="shared" si="34"/>
        <v>#REF!</v>
      </c>
      <c r="F75" s="206" t="str">
        <f t="shared" si="34"/>
        <v>#REF!</v>
      </c>
      <c r="G75" s="207" t="str">
        <f t="shared" si="34"/>
        <v>#REF!</v>
      </c>
      <c r="H75" s="143" t="str">
        <f t="shared" si="34"/>
        <v>#REF!</v>
      </c>
      <c r="I75" s="143" t="str">
        <f t="shared" si="34"/>
        <v>#REF!</v>
      </c>
    </row>
    <row r="76" ht="14.25" customHeight="1">
      <c r="A76" s="204" t="str">
        <f t="shared" ref="A76:I76" si="35">'2.4.'!A16</f>
        <v>#REF!</v>
      </c>
      <c r="B76" s="92" t="str">
        <f t="shared" si="35"/>
        <v>#REF!</v>
      </c>
      <c r="C76" s="92" t="str">
        <f t="shared" si="35"/>
        <v>#REF!</v>
      </c>
      <c r="D76" s="204" t="str">
        <f t="shared" si="35"/>
        <v>#REF!</v>
      </c>
      <c r="E76" s="204" t="str">
        <f t="shared" si="35"/>
        <v>#REF!</v>
      </c>
      <c r="F76" s="206" t="str">
        <f t="shared" si="35"/>
        <v>#REF!</v>
      </c>
      <c r="G76" s="207" t="str">
        <f t="shared" si="35"/>
        <v>#REF!</v>
      </c>
      <c r="H76" s="143" t="str">
        <f t="shared" si="35"/>
        <v>#REF!</v>
      </c>
      <c r="I76" s="143" t="str">
        <f t="shared" si="35"/>
        <v>#REF!</v>
      </c>
    </row>
    <row r="77" ht="14.25" customHeight="1">
      <c r="A77" s="204" t="str">
        <f t="shared" ref="A77:I77" si="36">'2.4.'!A17</f>
        <v>#REF!</v>
      </c>
      <c r="B77" s="92" t="str">
        <f t="shared" si="36"/>
        <v>#REF!</v>
      </c>
      <c r="C77" s="92" t="str">
        <f t="shared" si="36"/>
        <v>#REF!</v>
      </c>
      <c r="D77" s="204" t="str">
        <f t="shared" si="36"/>
        <v>#REF!</v>
      </c>
      <c r="E77" s="204" t="str">
        <f t="shared" si="36"/>
        <v>#REF!</v>
      </c>
      <c r="F77" s="206" t="str">
        <f t="shared" si="36"/>
        <v>#REF!</v>
      </c>
      <c r="G77" s="207" t="str">
        <f t="shared" si="36"/>
        <v>#REF!</v>
      </c>
      <c r="H77" s="143" t="str">
        <f t="shared" si="36"/>
        <v>#REF!</v>
      </c>
      <c r="I77" s="143" t="str">
        <f t="shared" si="36"/>
        <v>#REF!</v>
      </c>
      <c r="J77" s="92"/>
      <c r="K77" s="92"/>
      <c r="L77" s="92"/>
    </row>
    <row r="78" ht="14.25" customHeight="1">
      <c r="A78" s="204" t="str">
        <f t="shared" ref="A78:I78" si="37">'2.4.'!A18</f>
        <v>#REF!</v>
      </c>
      <c r="B78" s="92" t="str">
        <f t="shared" si="37"/>
        <v>#REF!</v>
      </c>
      <c r="C78" s="92" t="str">
        <f t="shared" si="37"/>
        <v>#REF!</v>
      </c>
      <c r="D78" s="204" t="str">
        <f t="shared" si="37"/>
        <v>#REF!</v>
      </c>
      <c r="E78" s="204" t="str">
        <f t="shared" si="37"/>
        <v>#REF!</v>
      </c>
      <c r="F78" s="206" t="str">
        <f t="shared" si="37"/>
        <v>#REF!</v>
      </c>
      <c r="G78" s="207" t="str">
        <f t="shared" si="37"/>
        <v>#REF!</v>
      </c>
      <c r="H78" s="143" t="str">
        <f t="shared" si="37"/>
        <v>#REF!</v>
      </c>
      <c r="I78" s="143" t="str">
        <f t="shared" si="37"/>
        <v>#REF!</v>
      </c>
      <c r="J78" s="92"/>
      <c r="K78" s="92"/>
      <c r="L78" s="92"/>
    </row>
    <row r="79" ht="14.25" customHeight="1">
      <c r="A79" s="216" t="str">
        <f t="shared" ref="A79:I79" si="38">'2.4.'!A19</f>
        <v>#REF!</v>
      </c>
      <c r="B79" s="216" t="str">
        <f t="shared" si="38"/>
        <v>#REF!</v>
      </c>
      <c r="C79" s="216" t="str">
        <f t="shared" si="38"/>
        <v>#REF!</v>
      </c>
      <c r="D79" s="216" t="str">
        <f t="shared" si="38"/>
        <v>#REF!</v>
      </c>
      <c r="E79" s="216" t="str">
        <f t="shared" si="38"/>
        <v>#REF!</v>
      </c>
      <c r="F79" s="208" t="str">
        <f t="shared" si="38"/>
        <v>#REF!</v>
      </c>
      <c r="G79" s="3" t="str">
        <f t="shared" si="38"/>
        <v>#REF!</v>
      </c>
      <c r="H79" s="143" t="str">
        <f t="shared" si="38"/>
        <v>#REF!</v>
      </c>
      <c r="I79" s="143" t="str">
        <f t="shared" si="38"/>
        <v>#REF!</v>
      </c>
    </row>
    <row r="80" ht="14.25" customHeight="1">
      <c r="A80" s="209" t="str">
        <f t="shared" ref="A80:I80" si="39">'2.4.'!A20</f>
        <v>#REF!</v>
      </c>
      <c r="B80" s="210" t="str">
        <f t="shared" si="39"/>
        <v>#REF!</v>
      </c>
      <c r="C80" s="210" t="str">
        <f t="shared" si="39"/>
        <v>#REF!</v>
      </c>
      <c r="D80" s="210" t="str">
        <f t="shared" si="39"/>
        <v>#REF!</v>
      </c>
      <c r="E80" s="210" t="str">
        <f t="shared" si="39"/>
        <v>#REF!</v>
      </c>
      <c r="F80" s="210" t="str">
        <f t="shared" si="39"/>
        <v>#REF!</v>
      </c>
      <c r="G80" s="211" t="str">
        <f t="shared" si="39"/>
        <v>#REF!</v>
      </c>
      <c r="H80" s="210" t="str">
        <f t="shared" si="39"/>
        <v>#REF!</v>
      </c>
      <c r="I80" s="212" t="str">
        <f t="shared" si="39"/>
        <v>#REF!</v>
      </c>
    </row>
    <row r="81" ht="14.25" customHeight="1">
      <c r="G81" s="3"/>
    </row>
    <row r="82" ht="14.25" customHeight="1">
      <c r="A82" s="218"/>
      <c r="B82" s="219"/>
      <c r="C82" s="219"/>
      <c r="D82" s="219"/>
      <c r="E82" s="219"/>
      <c r="F82" s="219"/>
      <c r="G82" s="3"/>
      <c r="H82" s="219"/>
      <c r="I82" s="219"/>
    </row>
    <row r="83">
      <c r="A83" s="195" t="str">
        <f t="shared" ref="A83:B83" si="40">'2.5.'!A3</f>
        <v>#REF!</v>
      </c>
      <c r="B83" s="196" t="str">
        <f t="shared" si="40"/>
        <v>#REF!</v>
      </c>
      <c r="C83" s="197"/>
      <c r="D83" s="197"/>
      <c r="E83" s="197"/>
      <c r="F83" s="197"/>
      <c r="G83" s="198" t="str">
        <f t="shared" ref="G83:I83" si="41">'2.5.'!G3</f>
        <v>#REF!</v>
      </c>
      <c r="H83" s="199" t="str">
        <f t="shared" si="41"/>
        <v>#REF!</v>
      </c>
      <c r="I83" s="200" t="str">
        <f t="shared" si="41"/>
        <v>#REF!</v>
      </c>
    </row>
    <row r="84" ht="14.25" customHeight="1">
      <c r="A84" s="216" t="str">
        <f t="shared" ref="A84:I84" si="42">'2.5.'!A4</f>
        <v>#REF!</v>
      </c>
      <c r="B84" s="216" t="str">
        <f t="shared" si="42"/>
        <v>#REF!</v>
      </c>
      <c r="C84" s="216" t="str">
        <f t="shared" si="42"/>
        <v>#REF!</v>
      </c>
      <c r="D84" s="216" t="str">
        <f t="shared" si="42"/>
        <v>#REF!</v>
      </c>
      <c r="E84" s="216" t="str">
        <f t="shared" si="42"/>
        <v>#REF!</v>
      </c>
      <c r="F84" s="216" t="str">
        <f t="shared" si="42"/>
        <v>#REF!</v>
      </c>
      <c r="G84" s="3" t="str">
        <f t="shared" si="42"/>
        <v>#REF!</v>
      </c>
      <c r="H84" s="216" t="str">
        <f t="shared" si="42"/>
        <v>#REF!</v>
      </c>
      <c r="I84" s="216" t="str">
        <f t="shared" si="42"/>
        <v>#REF!</v>
      </c>
    </row>
    <row r="85" ht="14.25" customHeight="1">
      <c r="A85" s="201" t="str">
        <f t="shared" ref="A85:I85" si="43">'2.5.'!A5</f>
        <v>#REF!</v>
      </c>
      <c r="B85" s="94" t="str">
        <f t="shared" si="43"/>
        <v>#REF!</v>
      </c>
      <c r="C85" s="94" t="str">
        <f t="shared" si="43"/>
        <v>#REF!</v>
      </c>
      <c r="D85" s="94" t="str">
        <f t="shared" si="43"/>
        <v>#REF!</v>
      </c>
      <c r="E85" s="94" t="str">
        <f t="shared" si="43"/>
        <v>#REF!</v>
      </c>
      <c r="F85" s="94" t="str">
        <f t="shared" si="43"/>
        <v>#REF!</v>
      </c>
      <c r="G85" s="2" t="str">
        <f t="shared" si="43"/>
        <v>#REF!</v>
      </c>
      <c r="H85" s="94" t="str">
        <f t="shared" si="43"/>
        <v>#REF!</v>
      </c>
      <c r="I85" s="94" t="str">
        <f t="shared" si="43"/>
        <v>#REF!</v>
      </c>
    </row>
    <row r="86" ht="14.25" customHeight="1">
      <c r="A86" s="202" t="str">
        <f t="shared" ref="A86:D86" si="44">'2.5.'!A6</f>
        <v>#REF!</v>
      </c>
      <c r="B86" s="202" t="str">
        <f t="shared" si="44"/>
        <v>#REF!</v>
      </c>
      <c r="C86" s="202" t="str">
        <f t="shared" si="44"/>
        <v>#REF!</v>
      </c>
      <c r="D86" s="203" t="str">
        <f t="shared" si="44"/>
        <v>#REF!</v>
      </c>
      <c r="E86" s="197"/>
      <c r="F86" s="202" t="str">
        <f t="shared" ref="F86:I86" si="45">'2.5.'!F6</f>
        <v>#REF!</v>
      </c>
      <c r="G86" s="4" t="str">
        <f t="shared" si="45"/>
        <v>#REF!</v>
      </c>
      <c r="H86" s="202" t="str">
        <f t="shared" si="45"/>
        <v>#REF!</v>
      </c>
      <c r="I86" s="202" t="str">
        <f t="shared" si="45"/>
        <v>#REF!</v>
      </c>
    </row>
    <row r="87" ht="14.25" customHeight="1">
      <c r="A87" s="204" t="str">
        <f t="shared" ref="A87:I87" si="46">'2.5.'!A7</f>
        <v>#REF!</v>
      </c>
      <c r="B87" s="92" t="str">
        <f t="shared" si="46"/>
        <v>#REF!</v>
      </c>
      <c r="C87" s="92" t="str">
        <f t="shared" si="46"/>
        <v>#REF!</v>
      </c>
      <c r="D87" s="204" t="str">
        <f t="shared" si="46"/>
        <v>#REF!</v>
      </c>
      <c r="E87" s="204" t="str">
        <f t="shared" si="46"/>
        <v>#REF!</v>
      </c>
      <c r="F87" s="206" t="str">
        <f t="shared" si="46"/>
        <v>#REF!</v>
      </c>
      <c r="G87" s="207" t="str">
        <f t="shared" si="46"/>
        <v>#REF!</v>
      </c>
      <c r="H87" s="143" t="str">
        <f t="shared" si="46"/>
        <v>#REF!</v>
      </c>
      <c r="I87" s="143" t="str">
        <f t="shared" si="46"/>
        <v>#REF!</v>
      </c>
    </row>
    <row r="88" ht="14.25" customHeight="1">
      <c r="A88" s="204" t="str">
        <f t="shared" ref="A88:I88" si="47">'2.5.'!A8</f>
        <v>#REF!</v>
      </c>
      <c r="B88" s="92" t="str">
        <f t="shared" si="47"/>
        <v>#REF!</v>
      </c>
      <c r="C88" s="92" t="str">
        <f t="shared" si="47"/>
        <v>#REF!</v>
      </c>
      <c r="D88" s="204" t="str">
        <f t="shared" si="47"/>
        <v>#REF!</v>
      </c>
      <c r="E88" s="204" t="str">
        <f t="shared" si="47"/>
        <v>#REF!</v>
      </c>
      <c r="F88" s="206" t="str">
        <f t="shared" si="47"/>
        <v>#REF!</v>
      </c>
      <c r="G88" s="207" t="str">
        <f t="shared" si="47"/>
        <v>#REF!</v>
      </c>
      <c r="H88" s="143" t="str">
        <f t="shared" si="47"/>
        <v>#REF!</v>
      </c>
      <c r="I88" s="143" t="str">
        <f t="shared" si="47"/>
        <v>#REF!</v>
      </c>
    </row>
    <row r="89" ht="14.25" customHeight="1">
      <c r="A89" s="204" t="str">
        <f t="shared" ref="A89:I89" si="48">'2.5.'!A9</f>
        <v>#REF!</v>
      </c>
      <c r="B89" s="92" t="str">
        <f t="shared" si="48"/>
        <v>#REF!</v>
      </c>
      <c r="C89" s="92" t="str">
        <f t="shared" si="48"/>
        <v>#REF!</v>
      </c>
      <c r="D89" s="204" t="str">
        <f t="shared" si="48"/>
        <v>#REF!</v>
      </c>
      <c r="E89" s="204" t="str">
        <f t="shared" si="48"/>
        <v>#REF!</v>
      </c>
      <c r="F89" s="206" t="str">
        <f t="shared" si="48"/>
        <v>#REF!</v>
      </c>
      <c r="G89" s="207" t="str">
        <f t="shared" si="48"/>
        <v>#REF!</v>
      </c>
      <c r="H89" s="143" t="str">
        <f t="shared" si="48"/>
        <v>#REF!</v>
      </c>
      <c r="I89" s="143" t="str">
        <f t="shared" si="48"/>
        <v>#REF!</v>
      </c>
    </row>
    <row r="90" ht="14.25" customHeight="1">
      <c r="A90" s="204" t="str">
        <f t="shared" ref="A90:I90" si="49">'2.5.'!A10</f>
        <v>#REF!</v>
      </c>
      <c r="B90" s="92" t="str">
        <f t="shared" si="49"/>
        <v>#REF!</v>
      </c>
      <c r="C90" s="92" t="str">
        <f t="shared" si="49"/>
        <v>#REF!</v>
      </c>
      <c r="D90" s="204" t="str">
        <f t="shared" si="49"/>
        <v>#REF!</v>
      </c>
      <c r="E90" s="204" t="str">
        <f t="shared" si="49"/>
        <v>#REF!</v>
      </c>
      <c r="F90" s="206" t="str">
        <f t="shared" si="49"/>
        <v>#REF!</v>
      </c>
      <c r="G90" s="207" t="str">
        <f t="shared" si="49"/>
        <v>#REF!</v>
      </c>
      <c r="H90" s="143" t="str">
        <f t="shared" si="49"/>
        <v>#REF!</v>
      </c>
      <c r="I90" s="143" t="str">
        <f t="shared" si="49"/>
        <v>#REF!</v>
      </c>
    </row>
    <row r="91" ht="14.25" customHeight="1">
      <c r="A91" s="204" t="str">
        <f t="shared" ref="A91:I91" si="50">'2.5.'!A11</f>
        <v>#REF!</v>
      </c>
      <c r="B91" s="92" t="str">
        <f t="shared" si="50"/>
        <v>#REF!</v>
      </c>
      <c r="C91" s="92" t="str">
        <f t="shared" si="50"/>
        <v>#REF!</v>
      </c>
      <c r="D91" s="204" t="str">
        <f t="shared" si="50"/>
        <v>#REF!</v>
      </c>
      <c r="E91" s="204" t="str">
        <f t="shared" si="50"/>
        <v>#REF!</v>
      </c>
      <c r="F91" s="206" t="str">
        <f t="shared" si="50"/>
        <v>#REF!</v>
      </c>
      <c r="G91" s="207" t="str">
        <f t="shared" si="50"/>
        <v>#REF!</v>
      </c>
      <c r="H91" s="143" t="str">
        <f t="shared" si="50"/>
        <v>#REF!</v>
      </c>
      <c r="I91" s="143" t="str">
        <f t="shared" si="50"/>
        <v>#REF!</v>
      </c>
    </row>
    <row r="92" ht="14.25" customHeight="1">
      <c r="A92" s="204" t="str">
        <f t="shared" ref="A92:I92" si="51">'2.5.'!A12</f>
        <v>#REF!</v>
      </c>
      <c r="B92" s="92" t="str">
        <f t="shared" si="51"/>
        <v>#REF!</v>
      </c>
      <c r="C92" s="92" t="str">
        <f t="shared" si="51"/>
        <v>#REF!</v>
      </c>
      <c r="D92" s="204" t="str">
        <f t="shared" si="51"/>
        <v>#REF!</v>
      </c>
      <c r="E92" s="204" t="str">
        <f t="shared" si="51"/>
        <v>#REF!</v>
      </c>
      <c r="F92" s="206" t="str">
        <f t="shared" si="51"/>
        <v>#REF!</v>
      </c>
      <c r="G92" s="207" t="str">
        <f t="shared" si="51"/>
        <v>#REF!</v>
      </c>
      <c r="H92" s="143" t="str">
        <f t="shared" si="51"/>
        <v>#REF!</v>
      </c>
      <c r="I92" s="143" t="str">
        <f t="shared" si="51"/>
        <v>#REF!</v>
      </c>
    </row>
    <row r="93" ht="14.25" customHeight="1">
      <c r="A93" s="204" t="str">
        <f t="shared" ref="A93:I93" si="52">'2.5.'!A13</f>
        <v>#REF!</v>
      </c>
      <c r="B93" s="92" t="str">
        <f t="shared" si="52"/>
        <v>#REF!</v>
      </c>
      <c r="C93" s="92" t="str">
        <f t="shared" si="52"/>
        <v>#REF!</v>
      </c>
      <c r="D93" s="204" t="str">
        <f t="shared" si="52"/>
        <v>#REF!</v>
      </c>
      <c r="E93" s="204" t="str">
        <f t="shared" si="52"/>
        <v>#REF!</v>
      </c>
      <c r="F93" s="206" t="str">
        <f t="shared" si="52"/>
        <v>#REF!</v>
      </c>
      <c r="G93" s="207" t="str">
        <f t="shared" si="52"/>
        <v>#REF!</v>
      </c>
      <c r="H93" s="143" t="str">
        <f t="shared" si="52"/>
        <v>#REF!</v>
      </c>
      <c r="I93" s="143" t="str">
        <f t="shared" si="52"/>
        <v>#REF!</v>
      </c>
    </row>
    <row r="94" ht="14.25" customHeight="1">
      <c r="A94" s="204" t="str">
        <f t="shared" ref="A94:I94" si="53">'2.5.'!A14</f>
        <v>#REF!</v>
      </c>
      <c r="B94" s="92" t="str">
        <f t="shared" si="53"/>
        <v>#REF!</v>
      </c>
      <c r="C94" s="92" t="str">
        <f t="shared" si="53"/>
        <v>#REF!</v>
      </c>
      <c r="D94" s="204" t="str">
        <f t="shared" si="53"/>
        <v>#REF!</v>
      </c>
      <c r="E94" s="204" t="str">
        <f t="shared" si="53"/>
        <v>#REF!</v>
      </c>
      <c r="F94" s="206" t="str">
        <f t="shared" si="53"/>
        <v>#REF!</v>
      </c>
      <c r="G94" s="207" t="str">
        <f t="shared" si="53"/>
        <v>#REF!</v>
      </c>
      <c r="H94" s="143" t="str">
        <f t="shared" si="53"/>
        <v>#REF!</v>
      </c>
      <c r="I94" s="143" t="str">
        <f t="shared" si="53"/>
        <v>#REF!</v>
      </c>
    </row>
    <row r="95" ht="14.25" customHeight="1">
      <c r="A95" s="204" t="str">
        <f t="shared" ref="A95:I95" si="54">'2.5.'!A15</f>
        <v>#REF!</v>
      </c>
      <c r="B95" s="92" t="str">
        <f t="shared" si="54"/>
        <v>#REF!</v>
      </c>
      <c r="C95" s="92" t="str">
        <f t="shared" si="54"/>
        <v>#REF!</v>
      </c>
      <c r="D95" s="204" t="str">
        <f t="shared" si="54"/>
        <v>#REF!</v>
      </c>
      <c r="E95" s="204" t="str">
        <f t="shared" si="54"/>
        <v>#REF!</v>
      </c>
      <c r="F95" s="206" t="str">
        <f t="shared" si="54"/>
        <v>#REF!</v>
      </c>
      <c r="G95" s="207" t="str">
        <f t="shared" si="54"/>
        <v>#REF!</v>
      </c>
      <c r="H95" s="143" t="str">
        <f t="shared" si="54"/>
        <v>#REF!</v>
      </c>
      <c r="I95" s="143" t="str">
        <f t="shared" si="54"/>
        <v>#REF!</v>
      </c>
    </row>
    <row r="96" ht="14.25" customHeight="1">
      <c r="A96" s="204" t="str">
        <f t="shared" ref="A96:I96" si="55">'2.5.'!A16</f>
        <v>#REF!</v>
      </c>
      <c r="B96" s="92" t="str">
        <f t="shared" si="55"/>
        <v>#REF!</v>
      </c>
      <c r="C96" s="92" t="str">
        <f t="shared" si="55"/>
        <v>#REF!</v>
      </c>
      <c r="D96" s="204" t="str">
        <f t="shared" si="55"/>
        <v>#REF!</v>
      </c>
      <c r="E96" s="204" t="str">
        <f t="shared" si="55"/>
        <v>#REF!</v>
      </c>
      <c r="F96" s="206" t="str">
        <f t="shared" si="55"/>
        <v>#REF!</v>
      </c>
      <c r="G96" s="207" t="str">
        <f t="shared" si="55"/>
        <v>#REF!</v>
      </c>
      <c r="H96" s="143" t="str">
        <f t="shared" si="55"/>
        <v>#REF!</v>
      </c>
      <c r="I96" s="143" t="str">
        <f t="shared" si="55"/>
        <v>#REF!</v>
      </c>
    </row>
    <row r="97" ht="14.25" customHeight="1">
      <c r="A97" s="204" t="str">
        <f t="shared" ref="A97:I97" si="56">'2.5.'!A17</f>
        <v>#REF!</v>
      </c>
      <c r="B97" s="92" t="str">
        <f t="shared" si="56"/>
        <v>#REF!</v>
      </c>
      <c r="C97" s="92" t="str">
        <f t="shared" si="56"/>
        <v>#REF!</v>
      </c>
      <c r="D97" s="204" t="str">
        <f t="shared" si="56"/>
        <v>#REF!</v>
      </c>
      <c r="E97" s="204" t="str">
        <f t="shared" si="56"/>
        <v>#REF!</v>
      </c>
      <c r="F97" s="206" t="str">
        <f t="shared" si="56"/>
        <v>#REF!</v>
      </c>
      <c r="G97" s="207" t="str">
        <f t="shared" si="56"/>
        <v>#REF!</v>
      </c>
      <c r="H97" s="143" t="str">
        <f t="shared" si="56"/>
        <v>#REF!</v>
      </c>
      <c r="I97" s="143" t="str">
        <f t="shared" si="56"/>
        <v>#REF!</v>
      </c>
    </row>
    <row r="98" ht="14.25" customHeight="1">
      <c r="A98" s="204" t="str">
        <f t="shared" ref="A98:I98" si="57">'2.5.'!A18</f>
        <v>#REF!</v>
      </c>
      <c r="B98" s="92" t="str">
        <f t="shared" si="57"/>
        <v>#REF!</v>
      </c>
      <c r="C98" s="92" t="str">
        <f t="shared" si="57"/>
        <v>#REF!</v>
      </c>
      <c r="D98" s="204" t="str">
        <f t="shared" si="57"/>
        <v>#REF!</v>
      </c>
      <c r="E98" s="204" t="str">
        <f t="shared" si="57"/>
        <v>#REF!</v>
      </c>
      <c r="F98" s="206" t="str">
        <f t="shared" si="57"/>
        <v>#REF!</v>
      </c>
      <c r="G98" s="207" t="str">
        <f t="shared" si="57"/>
        <v>#REF!</v>
      </c>
      <c r="H98" s="143" t="str">
        <f t="shared" si="57"/>
        <v>#REF!</v>
      </c>
      <c r="I98" s="143" t="str">
        <f t="shared" si="57"/>
        <v>#REF!</v>
      </c>
    </row>
    <row r="99" ht="14.25" customHeight="1">
      <c r="A99" s="216" t="str">
        <f t="shared" ref="A99:I99" si="58">'2.5.'!A19</f>
        <v>#REF!</v>
      </c>
      <c r="B99" s="216" t="str">
        <f t="shared" si="58"/>
        <v>#REF!</v>
      </c>
      <c r="C99" s="216" t="str">
        <f t="shared" si="58"/>
        <v>#REF!</v>
      </c>
      <c r="D99" s="216" t="str">
        <f t="shared" si="58"/>
        <v>#REF!</v>
      </c>
      <c r="E99" s="216" t="str">
        <f t="shared" si="58"/>
        <v>#REF!</v>
      </c>
      <c r="F99" s="208" t="str">
        <f t="shared" si="58"/>
        <v>#REF!</v>
      </c>
      <c r="G99" s="3" t="str">
        <f t="shared" si="58"/>
        <v>#REF!</v>
      </c>
      <c r="H99" s="143" t="str">
        <f t="shared" si="58"/>
        <v>#REF!</v>
      </c>
      <c r="I99" s="143" t="str">
        <f t="shared" si="58"/>
        <v>#REF!</v>
      </c>
    </row>
    <row r="100" ht="14.25" customHeight="1">
      <c r="A100" s="209" t="str">
        <f t="shared" ref="A100:I100" si="59">'2.5.'!A20</f>
        <v>#REF!</v>
      </c>
      <c r="B100" s="210" t="str">
        <f t="shared" si="59"/>
        <v>#REF!</v>
      </c>
      <c r="C100" s="210" t="str">
        <f t="shared" si="59"/>
        <v>#REF!</v>
      </c>
      <c r="D100" s="210" t="str">
        <f t="shared" si="59"/>
        <v>#REF!</v>
      </c>
      <c r="E100" s="210" t="str">
        <f t="shared" si="59"/>
        <v>#REF!</v>
      </c>
      <c r="F100" s="210" t="str">
        <f t="shared" si="59"/>
        <v>#REF!</v>
      </c>
      <c r="G100" s="211" t="str">
        <f t="shared" si="59"/>
        <v>#REF!</v>
      </c>
      <c r="H100" s="210" t="str">
        <f t="shared" si="59"/>
        <v>#REF!</v>
      </c>
      <c r="I100" s="212" t="str">
        <f t="shared" si="59"/>
        <v>#REF!</v>
      </c>
    </row>
    <row r="101" ht="14.25" customHeight="1">
      <c r="G101" s="3"/>
    </row>
    <row r="102" ht="14.25" customHeight="1">
      <c r="G102" s="3"/>
    </row>
    <row r="103">
      <c r="A103" s="195" t="str">
        <f t="shared" ref="A103:B103" si="60">'2.6.'!A3</f>
        <v>#REF!</v>
      </c>
      <c r="B103" s="196" t="str">
        <f t="shared" si="60"/>
        <v>#REF!</v>
      </c>
      <c r="C103" s="197"/>
      <c r="D103" s="197"/>
      <c r="E103" s="197"/>
      <c r="F103" s="197"/>
      <c r="G103" s="198" t="str">
        <f t="shared" ref="G103:I103" si="61">'2.6.'!G3</f>
        <v>#REF!</v>
      </c>
      <c r="H103" s="199" t="str">
        <f t="shared" si="61"/>
        <v>#REF!</v>
      </c>
      <c r="I103" s="200" t="str">
        <f t="shared" si="61"/>
        <v>#REF!</v>
      </c>
    </row>
    <row r="104" ht="14.25" customHeight="1">
      <c r="A104" s="216" t="str">
        <f t="shared" ref="A104:I104" si="62">'2.6.'!A4</f>
        <v>#REF!</v>
      </c>
      <c r="B104" s="216" t="str">
        <f t="shared" si="62"/>
        <v>#REF!</v>
      </c>
      <c r="C104" s="216" t="str">
        <f t="shared" si="62"/>
        <v>#REF!</v>
      </c>
      <c r="D104" s="216" t="str">
        <f t="shared" si="62"/>
        <v>#REF!</v>
      </c>
      <c r="E104" s="216" t="str">
        <f t="shared" si="62"/>
        <v>#REF!</v>
      </c>
      <c r="F104" s="216" t="str">
        <f t="shared" si="62"/>
        <v>#REF!</v>
      </c>
      <c r="G104" s="3" t="str">
        <f t="shared" si="62"/>
        <v>#REF!</v>
      </c>
      <c r="H104" s="216" t="str">
        <f t="shared" si="62"/>
        <v>#REF!</v>
      </c>
      <c r="I104" s="216" t="str">
        <f t="shared" si="62"/>
        <v>#REF!</v>
      </c>
    </row>
    <row r="105" ht="14.25" customHeight="1">
      <c r="A105" s="201" t="str">
        <f t="shared" ref="A105:I105" si="63">'2.6.'!A5</f>
        <v>#REF!</v>
      </c>
      <c r="B105" s="94" t="str">
        <f t="shared" si="63"/>
        <v>#REF!</v>
      </c>
      <c r="C105" s="94" t="str">
        <f t="shared" si="63"/>
        <v>#REF!</v>
      </c>
      <c r="D105" s="94" t="str">
        <f t="shared" si="63"/>
        <v>#REF!</v>
      </c>
      <c r="E105" s="94" t="str">
        <f t="shared" si="63"/>
        <v>#REF!</v>
      </c>
      <c r="F105" s="94" t="str">
        <f t="shared" si="63"/>
        <v>#REF!</v>
      </c>
      <c r="G105" s="2" t="str">
        <f t="shared" si="63"/>
        <v>#REF!</v>
      </c>
      <c r="H105" s="94" t="str">
        <f t="shared" si="63"/>
        <v>#REF!</v>
      </c>
      <c r="I105" s="94" t="str">
        <f t="shared" si="63"/>
        <v>#REF!</v>
      </c>
    </row>
    <row r="106" ht="14.25" customHeight="1">
      <c r="A106" s="202" t="str">
        <f t="shared" ref="A106:D106" si="64">'2.6.'!A6</f>
        <v>#REF!</v>
      </c>
      <c r="B106" s="202" t="str">
        <f t="shared" si="64"/>
        <v>#REF!</v>
      </c>
      <c r="C106" s="202" t="str">
        <f t="shared" si="64"/>
        <v>#REF!</v>
      </c>
      <c r="D106" s="203" t="str">
        <f t="shared" si="64"/>
        <v>#REF!</v>
      </c>
      <c r="E106" s="197"/>
      <c r="F106" s="202" t="str">
        <f t="shared" ref="F106:I106" si="65">'2.6.'!F6</f>
        <v>#REF!</v>
      </c>
      <c r="G106" s="4" t="str">
        <f t="shared" si="65"/>
        <v>#REF!</v>
      </c>
      <c r="H106" s="202" t="str">
        <f t="shared" si="65"/>
        <v>#REF!</v>
      </c>
      <c r="I106" s="202" t="str">
        <f t="shared" si="65"/>
        <v>#REF!</v>
      </c>
    </row>
    <row r="107" ht="14.25" customHeight="1">
      <c r="A107" s="204" t="str">
        <f t="shared" ref="A107:I107" si="66">'2.6.'!A7</f>
        <v>#REF!</v>
      </c>
      <c r="B107" s="92" t="str">
        <f t="shared" si="66"/>
        <v>#REF!</v>
      </c>
      <c r="C107" s="92" t="str">
        <f t="shared" si="66"/>
        <v>#REF!</v>
      </c>
      <c r="D107" s="204" t="str">
        <f t="shared" si="66"/>
        <v>#REF!</v>
      </c>
      <c r="E107" s="204" t="str">
        <f t="shared" si="66"/>
        <v>#REF!</v>
      </c>
      <c r="F107" s="206" t="str">
        <f t="shared" si="66"/>
        <v>#REF!</v>
      </c>
      <c r="G107" s="207" t="str">
        <f t="shared" si="66"/>
        <v>#REF!</v>
      </c>
      <c r="H107" s="143" t="str">
        <f t="shared" si="66"/>
        <v>#REF!</v>
      </c>
      <c r="I107" s="143" t="str">
        <f t="shared" si="66"/>
        <v>#REF!</v>
      </c>
    </row>
    <row r="108" ht="14.25" customHeight="1">
      <c r="A108" s="204" t="str">
        <f t="shared" ref="A108:I108" si="67">'2.6.'!A8</f>
        <v>#REF!</v>
      </c>
      <c r="B108" s="92" t="str">
        <f t="shared" si="67"/>
        <v>#REF!</v>
      </c>
      <c r="C108" s="92" t="str">
        <f t="shared" si="67"/>
        <v>#REF!</v>
      </c>
      <c r="D108" s="204" t="str">
        <f t="shared" si="67"/>
        <v>#REF!</v>
      </c>
      <c r="E108" s="204" t="str">
        <f t="shared" si="67"/>
        <v>#REF!</v>
      </c>
      <c r="F108" s="206" t="str">
        <f t="shared" si="67"/>
        <v>#REF!</v>
      </c>
      <c r="G108" s="207" t="str">
        <f t="shared" si="67"/>
        <v>#REF!</v>
      </c>
      <c r="H108" s="143" t="str">
        <f t="shared" si="67"/>
        <v>#REF!</v>
      </c>
      <c r="I108" s="143" t="str">
        <f t="shared" si="67"/>
        <v>#REF!</v>
      </c>
    </row>
    <row r="109" ht="14.25" customHeight="1">
      <c r="A109" s="204" t="str">
        <f t="shared" ref="A109:I109" si="68">'2.6.'!A9</f>
        <v>#REF!</v>
      </c>
      <c r="B109" s="92" t="str">
        <f t="shared" si="68"/>
        <v>#REF!</v>
      </c>
      <c r="C109" s="92" t="str">
        <f t="shared" si="68"/>
        <v>#REF!</v>
      </c>
      <c r="D109" s="204" t="str">
        <f t="shared" si="68"/>
        <v>#REF!</v>
      </c>
      <c r="E109" s="204" t="str">
        <f t="shared" si="68"/>
        <v>#REF!</v>
      </c>
      <c r="F109" s="206" t="str">
        <f t="shared" si="68"/>
        <v>#REF!</v>
      </c>
      <c r="G109" s="207" t="str">
        <f t="shared" si="68"/>
        <v>#REF!</v>
      </c>
      <c r="H109" s="143" t="str">
        <f t="shared" si="68"/>
        <v>#REF!</v>
      </c>
      <c r="I109" s="143" t="str">
        <f t="shared" si="68"/>
        <v>#REF!</v>
      </c>
    </row>
    <row r="110" ht="14.25" customHeight="1">
      <c r="A110" s="204" t="str">
        <f t="shared" ref="A110:I110" si="69">'2.6.'!A10</f>
        <v>#REF!</v>
      </c>
      <c r="B110" s="92" t="str">
        <f t="shared" si="69"/>
        <v>#REF!</v>
      </c>
      <c r="C110" s="92" t="str">
        <f t="shared" si="69"/>
        <v>#REF!</v>
      </c>
      <c r="D110" s="204" t="str">
        <f t="shared" si="69"/>
        <v>#REF!</v>
      </c>
      <c r="E110" s="204" t="str">
        <f t="shared" si="69"/>
        <v>#REF!</v>
      </c>
      <c r="F110" s="206" t="str">
        <f t="shared" si="69"/>
        <v>#REF!</v>
      </c>
      <c r="G110" s="207" t="str">
        <f t="shared" si="69"/>
        <v>#REF!</v>
      </c>
      <c r="H110" s="143" t="str">
        <f t="shared" si="69"/>
        <v>#REF!</v>
      </c>
      <c r="I110" s="143" t="str">
        <f t="shared" si="69"/>
        <v>#REF!</v>
      </c>
    </row>
    <row r="111" ht="14.25" customHeight="1">
      <c r="A111" s="204" t="str">
        <f t="shared" ref="A111:I111" si="70">'2.6.'!A11</f>
        <v>#REF!</v>
      </c>
      <c r="B111" s="92" t="str">
        <f t="shared" si="70"/>
        <v>#REF!</v>
      </c>
      <c r="C111" s="92" t="str">
        <f t="shared" si="70"/>
        <v>#REF!</v>
      </c>
      <c r="D111" s="204" t="str">
        <f t="shared" si="70"/>
        <v>#REF!</v>
      </c>
      <c r="E111" s="204" t="str">
        <f t="shared" si="70"/>
        <v>#REF!</v>
      </c>
      <c r="F111" s="206" t="str">
        <f t="shared" si="70"/>
        <v>#REF!</v>
      </c>
      <c r="G111" s="207" t="str">
        <f t="shared" si="70"/>
        <v>#REF!</v>
      </c>
      <c r="H111" s="143" t="str">
        <f t="shared" si="70"/>
        <v>#REF!</v>
      </c>
      <c r="I111" s="143" t="str">
        <f t="shared" si="70"/>
        <v>#REF!</v>
      </c>
    </row>
    <row r="112" ht="14.25" customHeight="1">
      <c r="A112" s="204" t="str">
        <f t="shared" ref="A112:I112" si="71">'2.6.'!A12</f>
        <v>#REF!</v>
      </c>
      <c r="B112" s="92" t="str">
        <f t="shared" si="71"/>
        <v>#REF!</v>
      </c>
      <c r="C112" s="92" t="str">
        <f t="shared" si="71"/>
        <v>#REF!</v>
      </c>
      <c r="D112" s="204" t="str">
        <f t="shared" si="71"/>
        <v>#REF!</v>
      </c>
      <c r="E112" s="204" t="str">
        <f t="shared" si="71"/>
        <v>#REF!</v>
      </c>
      <c r="F112" s="206" t="str">
        <f t="shared" si="71"/>
        <v>#REF!</v>
      </c>
      <c r="G112" s="207" t="str">
        <f t="shared" si="71"/>
        <v>#REF!</v>
      </c>
      <c r="H112" s="143" t="str">
        <f t="shared" si="71"/>
        <v>#REF!</v>
      </c>
      <c r="I112" s="143" t="str">
        <f t="shared" si="71"/>
        <v>#REF!</v>
      </c>
    </row>
    <row r="113" ht="14.25" customHeight="1">
      <c r="A113" s="204" t="str">
        <f t="shared" ref="A113:I113" si="72">'2.6.'!A13</f>
        <v>#REF!</v>
      </c>
      <c r="B113" s="92" t="str">
        <f t="shared" si="72"/>
        <v>#REF!</v>
      </c>
      <c r="C113" s="92" t="str">
        <f t="shared" si="72"/>
        <v>#REF!</v>
      </c>
      <c r="D113" s="204" t="str">
        <f t="shared" si="72"/>
        <v>#REF!</v>
      </c>
      <c r="E113" s="204" t="str">
        <f t="shared" si="72"/>
        <v>#REF!</v>
      </c>
      <c r="F113" s="206" t="str">
        <f t="shared" si="72"/>
        <v>#REF!</v>
      </c>
      <c r="G113" s="207" t="str">
        <f t="shared" si="72"/>
        <v>#REF!</v>
      </c>
      <c r="H113" s="143" t="str">
        <f t="shared" si="72"/>
        <v>#REF!</v>
      </c>
      <c r="I113" s="143" t="str">
        <f t="shared" si="72"/>
        <v>#REF!</v>
      </c>
    </row>
    <row r="114" ht="14.25" customHeight="1">
      <c r="A114" s="204" t="str">
        <f t="shared" ref="A114:I114" si="73">'2.6.'!A14</f>
        <v>#REF!</v>
      </c>
      <c r="B114" s="92" t="str">
        <f t="shared" si="73"/>
        <v>#REF!</v>
      </c>
      <c r="C114" s="92" t="str">
        <f t="shared" si="73"/>
        <v>#REF!</v>
      </c>
      <c r="D114" s="204" t="str">
        <f t="shared" si="73"/>
        <v>#REF!</v>
      </c>
      <c r="E114" s="204" t="str">
        <f t="shared" si="73"/>
        <v>#REF!</v>
      </c>
      <c r="F114" s="206" t="str">
        <f t="shared" si="73"/>
        <v>#REF!</v>
      </c>
      <c r="G114" s="207" t="str">
        <f t="shared" si="73"/>
        <v>#REF!</v>
      </c>
      <c r="H114" s="143" t="str">
        <f t="shared" si="73"/>
        <v>#REF!</v>
      </c>
      <c r="I114" s="143" t="str">
        <f t="shared" si="73"/>
        <v>#REF!</v>
      </c>
    </row>
    <row r="115" ht="14.25" customHeight="1">
      <c r="A115" s="204" t="str">
        <f t="shared" ref="A115:I115" si="74">'2.6.'!A15</f>
        <v>#REF!</v>
      </c>
      <c r="B115" s="92" t="str">
        <f t="shared" si="74"/>
        <v>#REF!</v>
      </c>
      <c r="C115" s="92" t="str">
        <f t="shared" si="74"/>
        <v>#REF!</v>
      </c>
      <c r="D115" s="204" t="str">
        <f t="shared" si="74"/>
        <v>#REF!</v>
      </c>
      <c r="E115" s="204" t="str">
        <f t="shared" si="74"/>
        <v>#REF!</v>
      </c>
      <c r="F115" s="206" t="str">
        <f t="shared" si="74"/>
        <v>#REF!</v>
      </c>
      <c r="G115" s="207" t="str">
        <f t="shared" si="74"/>
        <v>#REF!</v>
      </c>
      <c r="H115" s="143" t="str">
        <f t="shared" si="74"/>
        <v>#REF!</v>
      </c>
      <c r="I115" s="143" t="str">
        <f t="shared" si="74"/>
        <v>#REF!</v>
      </c>
    </row>
    <row r="116" ht="14.25" customHeight="1">
      <c r="A116" s="204" t="str">
        <f t="shared" ref="A116:I116" si="75">'2.6.'!A16</f>
        <v>#REF!</v>
      </c>
      <c r="B116" s="92" t="str">
        <f t="shared" si="75"/>
        <v>#REF!</v>
      </c>
      <c r="C116" s="92" t="str">
        <f t="shared" si="75"/>
        <v>#REF!</v>
      </c>
      <c r="D116" s="204" t="str">
        <f t="shared" si="75"/>
        <v>#REF!</v>
      </c>
      <c r="E116" s="204" t="str">
        <f t="shared" si="75"/>
        <v>#REF!</v>
      </c>
      <c r="F116" s="206" t="str">
        <f t="shared" si="75"/>
        <v>#REF!</v>
      </c>
      <c r="G116" s="207" t="str">
        <f t="shared" si="75"/>
        <v>#REF!</v>
      </c>
      <c r="H116" s="143" t="str">
        <f t="shared" si="75"/>
        <v>#REF!</v>
      </c>
      <c r="I116" s="143" t="str">
        <f t="shared" si="75"/>
        <v>#REF!</v>
      </c>
    </row>
    <row r="117" ht="14.25" customHeight="1">
      <c r="A117" s="204" t="str">
        <f t="shared" ref="A117:I117" si="76">'2.6.'!A17</f>
        <v>#REF!</v>
      </c>
      <c r="B117" s="92" t="str">
        <f t="shared" si="76"/>
        <v>#REF!</v>
      </c>
      <c r="C117" s="92" t="str">
        <f t="shared" si="76"/>
        <v>#REF!</v>
      </c>
      <c r="D117" s="204" t="str">
        <f t="shared" si="76"/>
        <v>#REF!</v>
      </c>
      <c r="E117" s="204" t="str">
        <f t="shared" si="76"/>
        <v>#REF!</v>
      </c>
      <c r="F117" s="206" t="str">
        <f t="shared" si="76"/>
        <v>#REF!</v>
      </c>
      <c r="G117" s="207" t="str">
        <f t="shared" si="76"/>
        <v>#REF!</v>
      </c>
      <c r="H117" s="143" t="str">
        <f t="shared" si="76"/>
        <v>#REF!</v>
      </c>
      <c r="I117" s="143" t="str">
        <f t="shared" si="76"/>
        <v>#REF!</v>
      </c>
    </row>
    <row r="118" ht="14.25" customHeight="1">
      <c r="A118" s="204" t="str">
        <f t="shared" ref="A118:I118" si="77">'2.6.'!A18</f>
        <v>#REF!</v>
      </c>
      <c r="B118" s="92" t="str">
        <f t="shared" si="77"/>
        <v>#REF!</v>
      </c>
      <c r="C118" s="92" t="str">
        <f t="shared" si="77"/>
        <v>#REF!</v>
      </c>
      <c r="D118" s="204" t="str">
        <f t="shared" si="77"/>
        <v>#REF!</v>
      </c>
      <c r="E118" s="204" t="str">
        <f t="shared" si="77"/>
        <v>#REF!</v>
      </c>
      <c r="F118" s="206" t="str">
        <f t="shared" si="77"/>
        <v>#REF!</v>
      </c>
      <c r="G118" s="207" t="str">
        <f t="shared" si="77"/>
        <v>#REF!</v>
      </c>
      <c r="H118" s="143" t="str">
        <f t="shared" si="77"/>
        <v>#REF!</v>
      </c>
      <c r="I118" s="143" t="str">
        <f t="shared" si="77"/>
        <v>#REF!</v>
      </c>
    </row>
    <row r="119" ht="14.25" customHeight="1">
      <c r="A119" s="216" t="str">
        <f t="shared" ref="A119:I119" si="78">'2.6.'!A19</f>
        <v>#REF!</v>
      </c>
      <c r="B119" s="216" t="str">
        <f t="shared" si="78"/>
        <v>#REF!</v>
      </c>
      <c r="C119" s="216" t="str">
        <f t="shared" si="78"/>
        <v>#REF!</v>
      </c>
      <c r="D119" s="216" t="str">
        <f t="shared" si="78"/>
        <v>#REF!</v>
      </c>
      <c r="E119" s="216" t="str">
        <f t="shared" si="78"/>
        <v>#REF!</v>
      </c>
      <c r="F119" s="208" t="str">
        <f t="shared" si="78"/>
        <v>#REF!</v>
      </c>
      <c r="G119" s="3" t="str">
        <f t="shared" si="78"/>
        <v>#REF!</v>
      </c>
      <c r="H119" s="143" t="str">
        <f t="shared" si="78"/>
        <v>#REF!</v>
      </c>
      <c r="I119" s="143" t="str">
        <f t="shared" si="78"/>
        <v>#REF!</v>
      </c>
    </row>
    <row r="120" ht="14.25" customHeight="1">
      <c r="A120" s="209" t="str">
        <f t="shared" ref="A120:I120" si="79">'2.6.'!A20</f>
        <v>#REF!</v>
      </c>
      <c r="B120" s="210" t="str">
        <f t="shared" si="79"/>
        <v>#REF!</v>
      </c>
      <c r="C120" s="210" t="str">
        <f t="shared" si="79"/>
        <v>#REF!</v>
      </c>
      <c r="D120" s="210" t="str">
        <f t="shared" si="79"/>
        <v>#REF!</v>
      </c>
      <c r="E120" s="210" t="str">
        <f t="shared" si="79"/>
        <v>#REF!</v>
      </c>
      <c r="F120" s="210" t="str">
        <f t="shared" si="79"/>
        <v>#REF!</v>
      </c>
      <c r="G120" s="211" t="str">
        <f t="shared" si="79"/>
        <v>#REF!</v>
      </c>
      <c r="H120" s="210" t="str">
        <f t="shared" si="79"/>
        <v>#REF!</v>
      </c>
      <c r="I120" s="212" t="str">
        <f t="shared" si="79"/>
        <v>#REF!</v>
      </c>
    </row>
    <row r="121" ht="14.25" customHeight="1">
      <c r="G121" s="3"/>
    </row>
    <row r="122" ht="14.25" customHeight="1">
      <c r="G122" s="3"/>
    </row>
    <row r="123">
      <c r="A123" s="195">
        <f>'2.6'!A3</f>
        <v>46175</v>
      </c>
      <c r="B123" s="196" t="str">
        <f>'2.6'!B3</f>
        <v>CARPETA INTERIOR. e=3cm</v>
      </c>
      <c r="C123" s="197"/>
      <c r="D123" s="197"/>
      <c r="E123" s="197"/>
      <c r="F123" s="197"/>
      <c r="G123" s="198" t="str">
        <f>'2.6'!G3</f>
        <v/>
      </c>
      <c r="H123" s="199">
        <f>'2.6'!H3</f>
        <v>144</v>
      </c>
      <c r="I123" s="200" t="str">
        <f>'2.6'!I3</f>
        <v>m²</v>
      </c>
    </row>
    <row r="124" ht="14.25" customHeight="1">
      <c r="A124" s="216" t="str">
        <f>'2.6'!A4</f>
        <v/>
      </c>
      <c r="B124" s="216" t="str">
        <f>'2.6'!B4</f>
        <v/>
      </c>
      <c r="C124" s="216" t="str">
        <f>'2.6'!C4</f>
        <v/>
      </c>
      <c r="D124" s="216" t="str">
        <f>'2.6'!D4</f>
        <v/>
      </c>
      <c r="E124" s="216" t="str">
        <f>'2.6'!E4</f>
        <v/>
      </c>
      <c r="F124" s="216" t="str">
        <f>'2.6'!F4</f>
        <v/>
      </c>
      <c r="G124" s="3" t="str">
        <f>'2.6'!G4</f>
        <v/>
      </c>
      <c r="H124" s="216" t="str">
        <f>'2.6'!H4</f>
        <v/>
      </c>
      <c r="I124" s="216" t="str">
        <f>'2.6'!I4</f>
        <v/>
      </c>
    </row>
    <row r="125" ht="14.25" customHeight="1">
      <c r="A125" s="201" t="str">
        <f>'2.6'!A5</f>
        <v>MATERIALES</v>
      </c>
      <c r="B125" s="94" t="str">
        <f>'2.6'!B5</f>
        <v/>
      </c>
      <c r="C125" s="94" t="str">
        <f>'2.6'!C5</f>
        <v/>
      </c>
      <c r="D125" s="94" t="str">
        <f>'2.6'!D5</f>
        <v/>
      </c>
      <c r="E125" s="94" t="str">
        <f>'2.6'!E5</f>
        <v/>
      </c>
      <c r="F125" s="94" t="str">
        <f>'2.6'!F5</f>
        <v/>
      </c>
      <c r="G125" s="2" t="str">
        <f>'2.6'!G5</f>
        <v/>
      </c>
      <c r="H125" s="94" t="str">
        <f>'2.6'!H5</f>
        <v/>
      </c>
      <c r="I125" s="94" t="str">
        <f>'2.6'!I5</f>
        <v/>
      </c>
    </row>
    <row r="126" ht="14.25" customHeight="1">
      <c r="A126" s="202" t="str">
        <f>'2.6'!A6</f>
        <v>Código</v>
      </c>
      <c r="B126" s="202" t="str">
        <f>'2.6'!B6</f>
        <v>Descripción</v>
      </c>
      <c r="C126" s="202" t="str">
        <f>'2.6'!C6</f>
        <v>Unidad</v>
      </c>
      <c r="D126" s="203" t="str">
        <f>'2.6'!D6</f>
        <v>Cantidad</v>
      </c>
      <c r="E126" s="197"/>
      <c r="F126" s="202" t="str">
        <f>'2.6'!F6</f>
        <v>Desperdicio</v>
      </c>
      <c r="G126" s="4" t="str">
        <f>'2.6'!G6</f>
        <v>Cantidad + Desperdicio</v>
      </c>
      <c r="H126" s="202" t="str">
        <f>'2.6'!H6</f>
        <v>Precio Unitario</v>
      </c>
      <c r="I126" s="202" t="str">
        <f>'2.6'!I6</f>
        <v>Subtotal</v>
      </c>
    </row>
    <row r="127" ht="14.25" customHeight="1">
      <c r="A127" s="204" t="str">
        <f>'2.6'!A7</f>
        <v>CEM</v>
      </c>
      <c r="B127" s="92" t="str">
        <f>'2.6'!B7</f>
        <v>Bolsa Cemento "Loma Negra" 25 k (u)</v>
      </c>
      <c r="C127" s="92" t="str">
        <f>'2.6'!C7</f>
        <v>u</v>
      </c>
      <c r="D127" s="204">
        <f>'2.6'!D7</f>
        <v>129.6</v>
      </c>
      <c r="E127" s="204" t="str">
        <f>'2.6'!E7</f>
        <v/>
      </c>
      <c r="F127" s="206">
        <f>'2.6'!F7</f>
        <v>0.1</v>
      </c>
      <c r="G127" s="207">
        <f>'2.6'!G7</f>
        <v>143</v>
      </c>
      <c r="H127" s="143">
        <f>'2.6'!H7</f>
        <v>7000</v>
      </c>
      <c r="I127" s="143">
        <f>'2.6'!I7</f>
        <v>1001000</v>
      </c>
    </row>
    <row r="128" ht="14.25" customHeight="1">
      <c r="A128" s="204" t="str">
        <f>'2.6'!A8</f>
        <v>AR</v>
      </c>
      <c r="B128" s="92" t="str">
        <f>'2.6'!B8</f>
        <v>Bolson de Arena (1m3) </v>
      </c>
      <c r="C128" s="92" t="str">
        <f>'2.6'!C8</f>
        <v>m3</v>
      </c>
      <c r="D128" s="204">
        <f>'2.6'!D8</f>
        <v>8.1</v>
      </c>
      <c r="E128" s="204" t="str">
        <f>'2.6'!E8</f>
        <v/>
      </c>
      <c r="F128" s="206">
        <f>'2.6'!F8</f>
        <v>0.1</v>
      </c>
      <c r="G128" s="207">
        <f>'2.6'!G8</f>
        <v>9</v>
      </c>
      <c r="H128" s="143">
        <f>'2.6'!H8</f>
        <v>33470</v>
      </c>
      <c r="I128" s="143">
        <f>'2.6'!I8</f>
        <v>301230</v>
      </c>
    </row>
    <row r="129" ht="14.25" customHeight="1">
      <c r="A129" s="204" t="str">
        <f>'2.6'!A9</f>
        <v/>
      </c>
      <c r="B129" s="92" t="str">
        <f>'2.6'!B9</f>
        <v/>
      </c>
      <c r="C129" s="92" t="str">
        <f>'2.6'!C9</f>
        <v/>
      </c>
      <c r="D129" s="204" t="str">
        <f>'2.6'!D9</f>
        <v/>
      </c>
      <c r="E129" s="204" t="str">
        <f>'2.6'!E9</f>
        <v/>
      </c>
      <c r="F129" s="206" t="str">
        <f>'2.6'!F9</f>
        <v/>
      </c>
      <c r="G129" s="207">
        <f>'2.6'!G9</f>
        <v>0</v>
      </c>
      <c r="H129" s="143" t="str">
        <f>'2.6'!H9</f>
        <v/>
      </c>
      <c r="I129" s="143" t="str">
        <f>'2.6'!I9</f>
        <v/>
      </c>
    </row>
    <row r="130" ht="14.25" customHeight="1">
      <c r="A130" s="204" t="str">
        <f>'2.6'!A10</f>
        <v/>
      </c>
      <c r="B130" s="92" t="str">
        <f>'2.6'!B10</f>
        <v/>
      </c>
      <c r="C130" s="92" t="str">
        <f>'2.6'!C10</f>
        <v/>
      </c>
      <c r="D130" s="204" t="str">
        <f>'2.6'!D10</f>
        <v/>
      </c>
      <c r="E130" s="204" t="str">
        <f>'2.6'!E10</f>
        <v/>
      </c>
      <c r="F130" s="206" t="str">
        <f>'2.6'!F10</f>
        <v/>
      </c>
      <c r="G130" s="207">
        <f>'2.6'!G10</f>
        <v>0</v>
      </c>
      <c r="H130" s="143" t="str">
        <f>'2.6'!H10</f>
        <v/>
      </c>
      <c r="I130" s="143" t="str">
        <f>'2.6'!I10</f>
        <v/>
      </c>
    </row>
    <row r="131" ht="14.25" customHeight="1">
      <c r="A131" s="204" t="str">
        <f>'2.6'!A11</f>
        <v/>
      </c>
      <c r="B131" s="92" t="str">
        <f>'2.6'!B11</f>
        <v/>
      </c>
      <c r="C131" s="92" t="str">
        <f>'2.6'!C11</f>
        <v/>
      </c>
      <c r="D131" s="204" t="str">
        <f>'2.6'!D11</f>
        <v/>
      </c>
      <c r="E131" s="204" t="str">
        <f>'2.6'!E11</f>
        <v/>
      </c>
      <c r="F131" s="206" t="str">
        <f>'2.6'!F11</f>
        <v/>
      </c>
      <c r="G131" s="207">
        <f>'2.6'!G11</f>
        <v>0</v>
      </c>
      <c r="H131" s="143" t="str">
        <f>'2.6'!H11</f>
        <v/>
      </c>
      <c r="I131" s="143" t="str">
        <f>'2.6'!I11</f>
        <v/>
      </c>
    </row>
    <row r="132" ht="14.25" customHeight="1">
      <c r="A132" s="204" t="str">
        <f>'2.6'!A12</f>
        <v/>
      </c>
      <c r="B132" s="92" t="str">
        <f>'2.6'!B12</f>
        <v/>
      </c>
      <c r="C132" s="92" t="str">
        <f>'2.6'!C12</f>
        <v/>
      </c>
      <c r="D132" s="204" t="str">
        <f>'2.6'!D12</f>
        <v/>
      </c>
      <c r="E132" s="204" t="str">
        <f>'2.6'!E12</f>
        <v/>
      </c>
      <c r="F132" s="206" t="str">
        <f>'2.6'!F12</f>
        <v/>
      </c>
      <c r="G132" s="207">
        <f>'2.6'!G12</f>
        <v>0</v>
      </c>
      <c r="H132" s="143" t="str">
        <f>'2.6'!H12</f>
        <v/>
      </c>
      <c r="I132" s="143" t="str">
        <f>'2.6'!I12</f>
        <v/>
      </c>
    </row>
    <row r="133" ht="14.25" customHeight="1">
      <c r="A133" s="204" t="str">
        <f>'2.6'!A13</f>
        <v/>
      </c>
      <c r="B133" s="92" t="str">
        <f>'2.6'!B13</f>
        <v/>
      </c>
      <c r="C133" s="92" t="str">
        <f>'2.6'!C13</f>
        <v/>
      </c>
      <c r="D133" s="204" t="str">
        <f>'2.6'!D13</f>
        <v/>
      </c>
      <c r="E133" s="204" t="str">
        <f>'2.6'!E13</f>
        <v/>
      </c>
      <c r="F133" s="206" t="str">
        <f>'2.6'!F13</f>
        <v/>
      </c>
      <c r="G133" s="207">
        <f>'2.6'!G13</f>
        <v>0</v>
      </c>
      <c r="H133" s="143" t="str">
        <f>'2.6'!H13</f>
        <v/>
      </c>
      <c r="I133" s="143" t="str">
        <f>'2.6'!I13</f>
        <v/>
      </c>
    </row>
    <row r="134" ht="14.25" customHeight="1">
      <c r="A134" s="204" t="str">
        <f>'2.6'!A14</f>
        <v/>
      </c>
      <c r="B134" s="92" t="str">
        <f>'2.6'!B14</f>
        <v/>
      </c>
      <c r="C134" s="92" t="str">
        <f>'2.6'!C14</f>
        <v/>
      </c>
      <c r="D134" s="204" t="str">
        <f>'2.6'!D14</f>
        <v/>
      </c>
      <c r="E134" s="204" t="str">
        <f>'2.6'!E14</f>
        <v/>
      </c>
      <c r="F134" s="206" t="str">
        <f>'2.6'!F14</f>
        <v/>
      </c>
      <c r="G134" s="207">
        <f>'2.6'!G14</f>
        <v>0</v>
      </c>
      <c r="H134" s="143" t="str">
        <f>'2.6'!H14</f>
        <v/>
      </c>
      <c r="I134" s="143" t="str">
        <f>'2.6'!I14</f>
        <v/>
      </c>
    </row>
    <row r="135" ht="14.25" customHeight="1">
      <c r="A135" s="204" t="str">
        <f>'2.6'!A15</f>
        <v/>
      </c>
      <c r="B135" s="92" t="str">
        <f>'2.6'!B15</f>
        <v/>
      </c>
      <c r="C135" s="92" t="str">
        <f>'2.6'!C15</f>
        <v/>
      </c>
      <c r="D135" s="204" t="str">
        <f>'2.6'!D15</f>
        <v/>
      </c>
      <c r="E135" s="204" t="str">
        <f>'2.6'!E15</f>
        <v/>
      </c>
      <c r="F135" s="206" t="str">
        <f>'2.6'!F15</f>
        <v/>
      </c>
      <c r="G135" s="207">
        <f>'2.6'!G15</f>
        <v>0</v>
      </c>
      <c r="H135" s="143" t="str">
        <f>'2.6'!H15</f>
        <v/>
      </c>
      <c r="I135" s="143" t="str">
        <f>'2.6'!I15</f>
        <v/>
      </c>
    </row>
    <row r="136" ht="14.25" customHeight="1">
      <c r="A136" s="204" t="str">
        <f>'2.6'!A16</f>
        <v/>
      </c>
      <c r="B136" s="92" t="str">
        <f>'2.6'!B16</f>
        <v/>
      </c>
      <c r="C136" s="92" t="str">
        <f>'2.6'!C16</f>
        <v/>
      </c>
      <c r="D136" s="204" t="str">
        <f>'2.6'!D16</f>
        <v/>
      </c>
      <c r="E136" s="204" t="str">
        <f>'2.6'!E16</f>
        <v/>
      </c>
      <c r="F136" s="206" t="str">
        <f>'2.6'!F16</f>
        <v/>
      </c>
      <c r="G136" s="207">
        <f>'2.6'!G16</f>
        <v>0</v>
      </c>
      <c r="H136" s="143" t="str">
        <f>'2.6'!H16</f>
        <v/>
      </c>
      <c r="I136" s="143" t="str">
        <f>'2.6'!I16</f>
        <v/>
      </c>
    </row>
    <row r="137" ht="14.25" customHeight="1">
      <c r="A137" s="204" t="str">
        <f>'2.6'!A17</f>
        <v/>
      </c>
      <c r="B137" s="92" t="str">
        <f>'2.6'!B17</f>
        <v/>
      </c>
      <c r="C137" s="92" t="str">
        <f>'2.6'!C17</f>
        <v/>
      </c>
      <c r="D137" s="204" t="str">
        <f>'2.6'!D17</f>
        <v/>
      </c>
      <c r="E137" s="204" t="str">
        <f>'2.6'!E17</f>
        <v/>
      </c>
      <c r="F137" s="206" t="str">
        <f>'2.6'!F17</f>
        <v/>
      </c>
      <c r="G137" s="207">
        <f>'2.6'!G17</f>
        <v>0</v>
      </c>
      <c r="H137" s="143" t="str">
        <f>'2.6'!H17</f>
        <v/>
      </c>
      <c r="I137" s="143" t="str">
        <f>'2.6'!I17</f>
        <v/>
      </c>
    </row>
    <row r="138" ht="14.25" customHeight="1">
      <c r="A138" s="204" t="str">
        <f>'2.6'!A18</f>
        <v/>
      </c>
      <c r="B138" s="92" t="str">
        <f>'2.6'!B18</f>
        <v/>
      </c>
      <c r="C138" s="92" t="str">
        <f>'2.6'!C18</f>
        <v/>
      </c>
      <c r="D138" s="204" t="str">
        <f>'2.6'!D18</f>
        <v/>
      </c>
      <c r="E138" s="204" t="str">
        <f>'2.6'!E18</f>
        <v/>
      </c>
      <c r="F138" s="206" t="str">
        <f>'2.6'!F18</f>
        <v/>
      </c>
      <c r="G138" s="207">
        <f>'2.6'!G18</f>
        <v>0</v>
      </c>
      <c r="H138" s="143" t="str">
        <f>'2.6'!H18</f>
        <v/>
      </c>
      <c r="I138" s="143" t="str">
        <f>'2.6'!I18</f>
        <v/>
      </c>
    </row>
    <row r="139" ht="14.25" customHeight="1">
      <c r="A139" s="216" t="str">
        <f>'2.6'!A19</f>
        <v/>
      </c>
      <c r="B139" s="216" t="str">
        <f>'2.6'!B19</f>
        <v/>
      </c>
      <c r="C139" s="216" t="str">
        <f>'2.6'!C19</f>
        <v/>
      </c>
      <c r="D139" s="216" t="str">
        <f>'2.6'!D19</f>
        <v/>
      </c>
      <c r="E139" s="216" t="str">
        <f>'2.6'!E19</f>
        <v/>
      </c>
      <c r="F139" s="208" t="str">
        <f>'2.6'!F19</f>
        <v/>
      </c>
      <c r="G139" s="3" t="str">
        <f>'2.6'!G19</f>
        <v/>
      </c>
      <c r="H139" s="143" t="str">
        <f>'2.6'!H19</f>
        <v/>
      </c>
      <c r="I139" s="143" t="str">
        <f>'2.6'!I19</f>
        <v/>
      </c>
    </row>
    <row r="140" ht="14.25" customHeight="1">
      <c r="A140" s="209" t="str">
        <f>'2.6'!A20</f>
        <v>TOTAL MATERIALES</v>
      </c>
      <c r="B140" s="210" t="str">
        <f>'2.6'!B20</f>
        <v/>
      </c>
      <c r="C140" s="210" t="str">
        <f>'2.6'!C20</f>
        <v/>
      </c>
      <c r="D140" s="210" t="str">
        <f>'2.6'!D20</f>
        <v/>
      </c>
      <c r="E140" s="210" t="str">
        <f>'2.6'!E20</f>
        <v/>
      </c>
      <c r="F140" s="210" t="str">
        <f>'2.6'!F20</f>
        <v/>
      </c>
      <c r="G140" s="211" t="str">
        <f>'2.6'!G20</f>
        <v/>
      </c>
      <c r="H140" s="210" t="str">
        <f>'2.6'!H20</f>
        <v/>
      </c>
      <c r="I140" s="212">
        <f>'2.6'!I20</f>
        <v>1302230</v>
      </c>
    </row>
    <row r="141" ht="14.25" customHeight="1">
      <c r="G141" s="3"/>
    </row>
    <row r="142" ht="14.25" customHeight="1">
      <c r="G142" s="3"/>
    </row>
    <row r="143">
      <c r="A143" s="195">
        <f>'2.7'!A3</f>
        <v>46205</v>
      </c>
      <c r="B143" s="196" t="str">
        <f>'2.7'!B3</f>
        <v>REVOQUE INTERIOR. (GRUESO FRATAZADO)</v>
      </c>
      <c r="C143" s="197"/>
      <c r="D143" s="197"/>
      <c r="E143" s="197"/>
      <c r="F143" s="197"/>
      <c r="G143" s="198" t="str">
        <f>'2.7'!G3</f>
        <v/>
      </c>
      <c r="H143" s="199">
        <f>'2.7'!H3</f>
        <v>224</v>
      </c>
      <c r="I143" s="200" t="str">
        <f>'2.7'!I3</f>
        <v>m²</v>
      </c>
    </row>
    <row r="144" ht="14.25" customHeight="1">
      <c r="A144" s="216" t="str">
        <f>'2.7'!A4</f>
        <v/>
      </c>
      <c r="B144" s="216" t="str">
        <f>'2.7'!B4</f>
        <v/>
      </c>
      <c r="C144" s="216" t="str">
        <f>'2.7'!C4</f>
        <v/>
      </c>
      <c r="D144" s="216" t="str">
        <f>'2.7'!D4</f>
        <v/>
      </c>
      <c r="E144" s="216" t="str">
        <f>'2.7'!E4</f>
        <v/>
      </c>
      <c r="F144" s="216" t="str">
        <f>'2.7'!F4</f>
        <v/>
      </c>
      <c r="G144" s="3" t="str">
        <f>'2.7'!G4</f>
        <v/>
      </c>
      <c r="H144" s="216" t="str">
        <f>'2.7'!H4</f>
        <v/>
      </c>
      <c r="I144" s="216" t="str">
        <f>'2.7'!I4</f>
        <v/>
      </c>
    </row>
    <row r="145" ht="14.25" customHeight="1">
      <c r="A145" s="201" t="str">
        <f>'2.7'!A5</f>
        <v>MATERIALES</v>
      </c>
      <c r="B145" s="94" t="str">
        <f>'2.7'!B5</f>
        <v/>
      </c>
      <c r="C145" s="94" t="str">
        <f>'2.7'!C5</f>
        <v/>
      </c>
      <c r="D145" s="94" t="str">
        <f>'2.7'!D5</f>
        <v/>
      </c>
      <c r="E145" s="94" t="str">
        <f>'2.7'!E5</f>
        <v/>
      </c>
      <c r="F145" s="94" t="str">
        <f>'2.7'!F5</f>
        <v/>
      </c>
      <c r="G145" s="2" t="str">
        <f>'2.7'!G5</f>
        <v/>
      </c>
      <c r="H145" s="94" t="str">
        <f>'2.7'!H5</f>
        <v/>
      </c>
      <c r="I145" s="94" t="str">
        <f>'2.7'!I5</f>
        <v/>
      </c>
    </row>
    <row r="146" ht="14.25" customHeight="1">
      <c r="A146" s="202" t="str">
        <f>'2.7'!A6</f>
        <v>Código</v>
      </c>
      <c r="B146" s="202" t="str">
        <f>'2.7'!B6</f>
        <v>Descripción</v>
      </c>
      <c r="C146" s="202" t="str">
        <f>'2.7'!C6</f>
        <v>Unidad</v>
      </c>
      <c r="D146" s="203" t="str">
        <f>'2.7'!D6</f>
        <v>Cantidad</v>
      </c>
      <c r="E146" s="197"/>
      <c r="F146" s="202" t="str">
        <f>'2.7'!F6</f>
        <v>Desperdicio</v>
      </c>
      <c r="G146" s="4" t="str">
        <f>'2.7'!G6</f>
        <v>Cantidad + Desperdicio</v>
      </c>
      <c r="H146" s="202" t="str">
        <f>'2.7'!H6</f>
        <v>Precio Unitario</v>
      </c>
      <c r="I146" s="202" t="str">
        <f>'2.7'!I6</f>
        <v>Subtotal</v>
      </c>
    </row>
    <row r="147" ht="14.25" customHeight="1">
      <c r="A147" s="204" t="str">
        <f>'2.7'!A7</f>
        <v>AR</v>
      </c>
      <c r="B147" s="92" t="str">
        <f>'2.7'!B7</f>
        <v>Bolson de Arena (1m3) </v>
      </c>
      <c r="C147" s="92" t="str">
        <f>'2.7'!C7</f>
        <v>m3</v>
      </c>
      <c r="D147" s="205">
        <f>'2.7'!D7</f>
        <v>3.808</v>
      </c>
      <c r="E147" s="204" t="str">
        <f>'2.7'!E7</f>
        <v/>
      </c>
      <c r="F147" s="206">
        <f>'2.7'!F7</f>
        <v>0.5</v>
      </c>
      <c r="G147" s="207">
        <f>'2.7'!G7</f>
        <v>6</v>
      </c>
      <c r="H147" s="143">
        <f>'2.7'!H7</f>
        <v>33470</v>
      </c>
      <c r="I147" s="143">
        <f>'2.7'!I7</f>
        <v>200820</v>
      </c>
    </row>
    <row r="148" ht="14.25" customHeight="1">
      <c r="A148" s="204" t="str">
        <f>'2.7'!A8</f>
        <v>CEM</v>
      </c>
      <c r="B148" s="92" t="str">
        <f>'2.7'!B8</f>
        <v>Bolsa Cemento "Loma Negra" 25 k (u)</v>
      </c>
      <c r="C148" s="92" t="str">
        <f>'2.7'!C8</f>
        <v>u</v>
      </c>
      <c r="D148" s="205">
        <f>'2.7'!D8</f>
        <v>16.576</v>
      </c>
      <c r="E148" s="204" t="str">
        <f>'2.7'!E8</f>
        <v/>
      </c>
      <c r="F148" s="206">
        <f>'2.7'!F8</f>
        <v>0.5</v>
      </c>
      <c r="G148" s="207">
        <f>'2.7'!G8</f>
        <v>25</v>
      </c>
      <c r="H148" s="143">
        <f>'2.7'!H8</f>
        <v>7000</v>
      </c>
      <c r="I148" s="143">
        <f>'2.7'!I8</f>
        <v>175000</v>
      </c>
    </row>
    <row r="149" ht="14.25" customHeight="1">
      <c r="A149" s="204" t="str">
        <f>'2.7'!A9</f>
        <v>CAL</v>
      </c>
      <c r="B149" s="92" t="str">
        <f>'2.7'!B9</f>
        <v>Bolsa Cal "Cacique" 25 k (u)</v>
      </c>
      <c r="C149" s="92" t="str">
        <f>'2.7'!C9</f>
        <v>u</v>
      </c>
      <c r="D149" s="205">
        <f>'2.7'!D9</f>
        <v>31.6288</v>
      </c>
      <c r="E149" s="204" t="str">
        <f>'2.7'!E9</f>
        <v/>
      </c>
      <c r="F149" s="206">
        <f>'2.7'!F9</f>
        <v>0.5</v>
      </c>
      <c r="G149" s="207">
        <f>'2.7'!G9</f>
        <v>48</v>
      </c>
      <c r="H149" s="143">
        <f>'2.7'!H9</f>
        <v>5371.900826</v>
      </c>
      <c r="I149" s="143">
        <f>'2.7'!I9</f>
        <v>257851.2397</v>
      </c>
    </row>
    <row r="150" ht="14.25" customHeight="1">
      <c r="A150" s="204" t="str">
        <f>'2.7'!A10</f>
        <v/>
      </c>
      <c r="B150" s="92" t="str">
        <f>'2.7'!B10</f>
        <v/>
      </c>
      <c r="C150" s="92" t="str">
        <f>'2.7'!C10</f>
        <v/>
      </c>
      <c r="D150" s="205" t="str">
        <f>'2.7'!D10</f>
        <v/>
      </c>
      <c r="E150" s="204" t="str">
        <f>'2.7'!E10</f>
        <v/>
      </c>
      <c r="F150" s="206" t="str">
        <f>'2.7'!F10</f>
        <v/>
      </c>
      <c r="G150" s="207">
        <f>'2.7'!G10</f>
        <v>0</v>
      </c>
      <c r="H150" s="143" t="str">
        <f>'2.7'!H10</f>
        <v/>
      </c>
      <c r="I150" s="143">
        <f>'2.7'!I10</f>
        <v>0</v>
      </c>
    </row>
    <row r="151" ht="14.25" customHeight="1">
      <c r="A151" s="204" t="str">
        <f>'2.7'!A11</f>
        <v/>
      </c>
      <c r="B151" s="92" t="str">
        <f>'2.7'!B11</f>
        <v/>
      </c>
      <c r="C151" s="92" t="str">
        <f>'2.7'!C11</f>
        <v/>
      </c>
      <c r="D151" s="205" t="str">
        <f>'2.7'!D11</f>
        <v/>
      </c>
      <c r="E151" s="204" t="str">
        <f>'2.7'!E11</f>
        <v/>
      </c>
      <c r="F151" s="206" t="str">
        <f>'2.7'!F11</f>
        <v/>
      </c>
      <c r="G151" s="207">
        <f>'2.7'!G11</f>
        <v>0</v>
      </c>
      <c r="H151" s="143" t="str">
        <f>'2.7'!H11</f>
        <v/>
      </c>
      <c r="I151" s="143">
        <f>'2.7'!I11</f>
        <v>0</v>
      </c>
    </row>
    <row r="152" ht="14.25" customHeight="1">
      <c r="A152" s="204" t="str">
        <f>'2.7'!A12</f>
        <v/>
      </c>
      <c r="B152" s="92" t="str">
        <f>'2.7'!B12</f>
        <v/>
      </c>
      <c r="C152" s="92" t="str">
        <f>'2.7'!C12</f>
        <v/>
      </c>
      <c r="D152" s="204" t="str">
        <f>'2.7'!D12</f>
        <v/>
      </c>
      <c r="E152" s="204" t="str">
        <f>'2.7'!E12</f>
        <v/>
      </c>
      <c r="F152" s="206" t="str">
        <f>'2.7'!F12</f>
        <v/>
      </c>
      <c r="G152" s="207">
        <f>'2.7'!G12</f>
        <v>0</v>
      </c>
      <c r="H152" s="143" t="str">
        <f>'2.7'!H12</f>
        <v/>
      </c>
      <c r="I152" s="143" t="str">
        <f>'2.7'!I12</f>
        <v/>
      </c>
    </row>
    <row r="153" ht="14.25" customHeight="1">
      <c r="A153" s="204" t="str">
        <f>'2.7'!A13</f>
        <v/>
      </c>
      <c r="B153" s="92" t="str">
        <f>'2.7'!B13</f>
        <v/>
      </c>
      <c r="C153" s="92" t="str">
        <f>'2.7'!C13</f>
        <v/>
      </c>
      <c r="D153" s="204" t="str">
        <f>'2.7'!D13</f>
        <v/>
      </c>
      <c r="E153" s="204" t="str">
        <f>'2.7'!E13</f>
        <v/>
      </c>
      <c r="F153" s="206" t="str">
        <f>'2.7'!F13</f>
        <v/>
      </c>
      <c r="G153" s="207">
        <f>'2.7'!G13</f>
        <v>0</v>
      </c>
      <c r="H153" s="143" t="str">
        <f>'2.7'!H13</f>
        <v/>
      </c>
      <c r="I153" s="143" t="str">
        <f>'2.7'!I13</f>
        <v/>
      </c>
    </row>
    <row r="154" ht="14.25" customHeight="1">
      <c r="A154" s="204" t="str">
        <f>'2.7'!A14</f>
        <v/>
      </c>
      <c r="B154" s="92" t="str">
        <f>'2.7'!B14</f>
        <v/>
      </c>
      <c r="C154" s="92" t="str">
        <f>'2.7'!C14</f>
        <v/>
      </c>
      <c r="D154" s="204" t="str">
        <f>'2.7'!D14</f>
        <v/>
      </c>
      <c r="E154" s="204" t="str">
        <f>'2.7'!E14</f>
        <v/>
      </c>
      <c r="F154" s="206" t="str">
        <f>'2.7'!F14</f>
        <v/>
      </c>
      <c r="G154" s="207">
        <f>'2.7'!G14</f>
        <v>0</v>
      </c>
      <c r="H154" s="143" t="str">
        <f>'2.7'!H14</f>
        <v/>
      </c>
      <c r="I154" s="143" t="str">
        <f>'2.7'!I14</f>
        <v/>
      </c>
    </row>
    <row r="155" ht="14.25" customHeight="1">
      <c r="A155" s="204" t="str">
        <f>'2.7'!A15</f>
        <v/>
      </c>
      <c r="B155" s="92" t="str">
        <f>'2.7'!B15</f>
        <v/>
      </c>
      <c r="C155" s="92" t="str">
        <f>'2.7'!C15</f>
        <v/>
      </c>
      <c r="D155" s="204" t="str">
        <f>'2.7'!D15</f>
        <v/>
      </c>
      <c r="E155" s="204" t="str">
        <f>'2.7'!E15</f>
        <v/>
      </c>
      <c r="F155" s="206" t="str">
        <f>'2.7'!F15</f>
        <v/>
      </c>
      <c r="G155" s="207">
        <f>'2.7'!G15</f>
        <v>0</v>
      </c>
      <c r="H155" s="143" t="str">
        <f>'2.7'!H15</f>
        <v/>
      </c>
      <c r="I155" s="143" t="str">
        <f>'2.7'!I15</f>
        <v/>
      </c>
    </row>
    <row r="156" ht="14.25" customHeight="1">
      <c r="A156" s="204" t="str">
        <f>'2.7'!A16</f>
        <v/>
      </c>
      <c r="B156" s="92" t="str">
        <f>'2.7'!B16</f>
        <v/>
      </c>
      <c r="C156" s="92" t="str">
        <f>'2.7'!C16</f>
        <v/>
      </c>
      <c r="D156" s="204" t="str">
        <f>'2.7'!D16</f>
        <v/>
      </c>
      <c r="E156" s="204" t="str">
        <f>'2.7'!E16</f>
        <v/>
      </c>
      <c r="F156" s="206" t="str">
        <f>'2.7'!F16</f>
        <v/>
      </c>
      <c r="G156" s="207">
        <f>'2.7'!G16</f>
        <v>0</v>
      </c>
      <c r="H156" s="143" t="str">
        <f>'2.7'!H16</f>
        <v/>
      </c>
      <c r="I156" s="143" t="str">
        <f>'2.7'!I16</f>
        <v/>
      </c>
    </row>
    <row r="157" ht="14.25" customHeight="1">
      <c r="A157" s="204" t="str">
        <f>'2.7'!A17</f>
        <v/>
      </c>
      <c r="B157" s="92" t="str">
        <f>'2.7'!B17</f>
        <v/>
      </c>
      <c r="C157" s="92" t="str">
        <f>'2.7'!C17</f>
        <v/>
      </c>
      <c r="D157" s="204" t="str">
        <f>'2.7'!D17</f>
        <v/>
      </c>
      <c r="E157" s="204" t="str">
        <f>'2.7'!E17</f>
        <v/>
      </c>
      <c r="F157" s="206" t="str">
        <f>'2.7'!F17</f>
        <v/>
      </c>
      <c r="G157" s="207">
        <f>'2.7'!G17</f>
        <v>0</v>
      </c>
      <c r="H157" s="143" t="str">
        <f>'2.7'!H17</f>
        <v/>
      </c>
      <c r="I157" s="143" t="str">
        <f>'2.7'!I17</f>
        <v/>
      </c>
    </row>
    <row r="158" ht="14.25" customHeight="1">
      <c r="A158" s="204" t="str">
        <f>'2.7'!A18</f>
        <v/>
      </c>
      <c r="B158" s="92" t="str">
        <f>'2.7'!B18</f>
        <v/>
      </c>
      <c r="C158" s="92" t="str">
        <f>'2.7'!C18</f>
        <v/>
      </c>
      <c r="D158" s="204" t="str">
        <f>'2.7'!D18</f>
        <v/>
      </c>
      <c r="E158" s="204" t="str">
        <f>'2.7'!E18</f>
        <v/>
      </c>
      <c r="F158" s="206" t="str">
        <f>'2.7'!F18</f>
        <v/>
      </c>
      <c r="G158" s="207">
        <f>'2.7'!G18</f>
        <v>0</v>
      </c>
      <c r="H158" s="143" t="str">
        <f>'2.7'!H18</f>
        <v/>
      </c>
      <c r="I158" s="143" t="str">
        <f>'2.7'!I18</f>
        <v/>
      </c>
    </row>
    <row r="159" ht="14.25" customHeight="1">
      <c r="A159" s="216" t="str">
        <f>'2.7'!A19</f>
        <v/>
      </c>
      <c r="B159" s="216" t="str">
        <f>'2.7'!B19</f>
        <v/>
      </c>
      <c r="C159" s="216" t="str">
        <f>'2.7'!C19</f>
        <v/>
      </c>
      <c r="D159" s="216" t="str">
        <f>'2.7'!D19</f>
        <v/>
      </c>
      <c r="E159" s="216" t="str">
        <f>'2.7'!E19</f>
        <v/>
      </c>
      <c r="F159" s="208" t="str">
        <f>'2.7'!F19</f>
        <v/>
      </c>
      <c r="G159" s="3" t="str">
        <f>'2.7'!G19</f>
        <v/>
      </c>
      <c r="H159" s="143" t="str">
        <f>'2.7'!H19</f>
        <v/>
      </c>
      <c r="I159" s="143" t="str">
        <f>'2.7'!I19</f>
        <v/>
      </c>
    </row>
    <row r="160" ht="14.25" customHeight="1">
      <c r="A160" s="209" t="str">
        <f>'2.7'!A20</f>
        <v>TOTAL MATERIALES</v>
      </c>
      <c r="B160" s="210" t="str">
        <f>'2.7'!B20</f>
        <v/>
      </c>
      <c r="C160" s="210" t="str">
        <f>'2.7'!C20</f>
        <v/>
      </c>
      <c r="D160" s="210" t="str">
        <f>'2.7'!D20</f>
        <v/>
      </c>
      <c r="E160" s="210" t="str">
        <f>'2.7'!E20</f>
        <v/>
      </c>
      <c r="F160" s="210" t="str">
        <f>'2.7'!F20</f>
        <v/>
      </c>
      <c r="G160" s="211" t="str">
        <f>'2.7'!G20</f>
        <v/>
      </c>
      <c r="H160" s="210" t="str">
        <f>'2.7'!H20</f>
        <v/>
      </c>
      <c r="I160" s="212">
        <f>'2.7'!I20</f>
        <v>633671.2397</v>
      </c>
    </row>
    <row r="161" ht="14.25" customHeight="1">
      <c r="G161" s="3"/>
    </row>
    <row r="162" ht="14.25" customHeight="1">
      <c r="G162" s="3"/>
    </row>
    <row r="163">
      <c r="A163" s="195">
        <f>'2.8'!A3</f>
        <v>46236</v>
      </c>
      <c r="B163" s="196" t="str">
        <f>'2.8'!B3</f>
        <v>REVOQUE EXTERIOR (GRUESO FRATAZADO) CON HIDROFUGO.</v>
      </c>
      <c r="C163" s="197"/>
      <c r="D163" s="197"/>
      <c r="E163" s="197"/>
      <c r="F163" s="197"/>
      <c r="G163" s="198" t="str">
        <f>'2.8'!G3</f>
        <v/>
      </c>
      <c r="H163" s="199">
        <f>'2.8'!H3</f>
        <v>456</v>
      </c>
      <c r="I163" s="200" t="str">
        <f>'2.8'!I3</f>
        <v>m²</v>
      </c>
    </row>
    <row r="164" ht="14.25" customHeight="1">
      <c r="A164" s="216" t="str">
        <f>'2.8'!A4</f>
        <v/>
      </c>
      <c r="B164" s="216" t="str">
        <f>'2.8'!B4</f>
        <v/>
      </c>
      <c r="C164" s="216" t="str">
        <f>'2.8'!C4</f>
        <v/>
      </c>
      <c r="D164" s="216" t="str">
        <f>'2.8'!D4</f>
        <v/>
      </c>
      <c r="E164" s="216" t="str">
        <f>'2.8'!E4</f>
        <v/>
      </c>
      <c r="F164" s="216" t="str">
        <f>'2.8'!F4</f>
        <v/>
      </c>
      <c r="G164" s="3" t="str">
        <f>'2.8'!G4</f>
        <v/>
      </c>
      <c r="H164" s="216" t="str">
        <f>'2.8'!H4</f>
        <v/>
      </c>
      <c r="I164" s="216" t="str">
        <f>'2.8'!I4</f>
        <v/>
      </c>
    </row>
    <row r="165" ht="14.25" customHeight="1">
      <c r="A165" s="201" t="str">
        <f>'2.8'!A5</f>
        <v>MATERIALES</v>
      </c>
      <c r="B165" s="94" t="str">
        <f>'2.8'!B5</f>
        <v/>
      </c>
      <c r="C165" s="94" t="str">
        <f>'2.8'!C5</f>
        <v/>
      </c>
      <c r="D165" s="94" t="str">
        <f>'2.8'!D5</f>
        <v/>
      </c>
      <c r="E165" s="94" t="str">
        <f>'2.8'!E5</f>
        <v/>
      </c>
      <c r="F165" s="94" t="str">
        <f>'2.8'!F5</f>
        <v/>
      </c>
      <c r="G165" s="2" t="str">
        <f>'2.8'!G5</f>
        <v/>
      </c>
      <c r="H165" s="94" t="str">
        <f>'2.8'!H5</f>
        <v/>
      </c>
      <c r="I165" s="94" t="str">
        <f>'2.8'!I5</f>
        <v/>
      </c>
    </row>
    <row r="166" ht="14.25" customHeight="1">
      <c r="A166" s="202" t="str">
        <f>'2.8'!A6</f>
        <v>Código</v>
      </c>
      <c r="B166" s="202" t="str">
        <f>'2.8'!B6</f>
        <v>Descripción</v>
      </c>
      <c r="C166" s="202" t="str">
        <f>'2.8'!C6</f>
        <v>Unidad</v>
      </c>
      <c r="D166" s="203" t="str">
        <f>'2.8'!D6</f>
        <v>Cantidad</v>
      </c>
      <c r="E166" s="197"/>
      <c r="F166" s="202" t="str">
        <f>'2.8'!F6</f>
        <v>Desperdicio</v>
      </c>
      <c r="G166" s="4" t="str">
        <f>'2.8'!G6</f>
        <v>Cantidad + Desperdicio</v>
      </c>
      <c r="H166" s="202" t="str">
        <f>'2.8'!H6</f>
        <v>Precio Unitario</v>
      </c>
      <c r="I166" s="202" t="str">
        <f>'2.8'!I6</f>
        <v>Subtotal</v>
      </c>
    </row>
    <row r="167" ht="14.25" customHeight="1">
      <c r="A167" s="204" t="str">
        <f>'2.8'!A7</f>
        <v>AR</v>
      </c>
      <c r="B167" s="92" t="str">
        <f>'2.8'!B7</f>
        <v>Bolson de Arena (1m3) </v>
      </c>
      <c r="C167" s="92" t="str">
        <f>'2.8'!C7</f>
        <v>m3</v>
      </c>
      <c r="D167" s="204">
        <f>'2.8'!D7</f>
        <v>10.488</v>
      </c>
      <c r="E167" s="204" t="str">
        <f>'2.8'!E7</f>
        <v/>
      </c>
      <c r="F167" s="206">
        <f>'2.8'!F7</f>
        <v>0.1</v>
      </c>
      <c r="G167" s="207">
        <f>'2.8'!G7</f>
        <v>12</v>
      </c>
      <c r="H167" s="143">
        <f>'2.8'!H7</f>
        <v>33470</v>
      </c>
      <c r="I167" s="143">
        <f>'2.8'!I7</f>
        <v>401640</v>
      </c>
    </row>
    <row r="168" ht="14.25" customHeight="1">
      <c r="A168" s="204" t="str">
        <f>'2.8'!A8</f>
        <v>CEM</v>
      </c>
      <c r="B168" s="92" t="str">
        <f>'2.8'!B8</f>
        <v>Bolsa Cemento "Loma Negra" 25 k (u)</v>
      </c>
      <c r="C168" s="92" t="str">
        <f>'2.8'!C8</f>
        <v>u</v>
      </c>
      <c r="D168" s="204">
        <f>'2.8'!D8</f>
        <v>41.952</v>
      </c>
      <c r="E168" s="204" t="str">
        <f>'2.8'!E8</f>
        <v/>
      </c>
      <c r="F168" s="206">
        <f>'2.8'!F8</f>
        <v>0.1</v>
      </c>
      <c r="G168" s="207">
        <f>'2.8'!G8</f>
        <v>47</v>
      </c>
      <c r="H168" s="143">
        <f>'2.8'!H8</f>
        <v>7000</v>
      </c>
      <c r="I168" s="143">
        <f>'2.8'!I8</f>
        <v>329000</v>
      </c>
    </row>
    <row r="169" ht="14.25" customHeight="1">
      <c r="A169" s="204" t="str">
        <f>'2.8'!A9</f>
        <v>CAL</v>
      </c>
      <c r="B169" s="92" t="str">
        <f>'2.8'!B9</f>
        <v>Bolsa Cal "Cacique" 25 k (u)</v>
      </c>
      <c r="C169" s="92" t="str">
        <f>'2.8'!C9</f>
        <v>u</v>
      </c>
      <c r="D169" s="204">
        <f>'2.8'!D9</f>
        <v>93.5712</v>
      </c>
      <c r="E169" s="204" t="str">
        <f>'2.8'!E9</f>
        <v/>
      </c>
      <c r="F169" s="206">
        <f>'2.8'!F9</f>
        <v>0.1</v>
      </c>
      <c r="G169" s="207">
        <f>'2.8'!G9</f>
        <v>103</v>
      </c>
      <c r="H169" s="143">
        <f>'2.8'!H9</f>
        <v>5371.900826</v>
      </c>
      <c r="I169" s="143">
        <f>'2.8'!I9</f>
        <v>553305.7851</v>
      </c>
    </row>
    <row r="170" ht="14.25" customHeight="1">
      <c r="A170" s="204" t="str">
        <f>'2.8'!A10</f>
        <v>CER</v>
      </c>
      <c r="B170" s="92" t="str">
        <f>'2.8'!B10</f>
        <v>Ceresita 20 k (u)</v>
      </c>
      <c r="C170" s="92" t="str">
        <f>'2.8'!C10</f>
        <v>u</v>
      </c>
      <c r="D170" s="204">
        <f>'2.8'!D10</f>
        <v>9.12</v>
      </c>
      <c r="E170" s="204" t="str">
        <f>'2.8'!E10</f>
        <v/>
      </c>
      <c r="F170" s="206">
        <f>'2.8'!F10</f>
        <v>0.1</v>
      </c>
      <c r="G170" s="207">
        <f>'2.8'!G10</f>
        <v>11</v>
      </c>
      <c r="H170" s="143">
        <f>'2.8'!H10</f>
        <v>37190.08264</v>
      </c>
      <c r="I170" s="143">
        <f>'2.8'!I10</f>
        <v>409090.9091</v>
      </c>
    </row>
    <row r="171" ht="14.25" customHeight="1">
      <c r="A171" s="204" t="str">
        <f>'2.8'!A11</f>
        <v/>
      </c>
      <c r="B171" s="92" t="str">
        <f>'2.8'!B11</f>
        <v/>
      </c>
      <c r="C171" s="92" t="str">
        <f>'2.8'!C11</f>
        <v/>
      </c>
      <c r="D171" s="204" t="str">
        <f>'2.8'!D11</f>
        <v/>
      </c>
      <c r="E171" s="204" t="str">
        <f>'2.8'!E11</f>
        <v/>
      </c>
      <c r="F171" s="206" t="str">
        <f>'2.8'!F11</f>
        <v/>
      </c>
      <c r="G171" s="207">
        <f>'2.8'!G11</f>
        <v>0</v>
      </c>
      <c r="H171" s="143" t="str">
        <f>'2.8'!H11</f>
        <v/>
      </c>
      <c r="I171" s="143" t="str">
        <f>'2.8'!I11</f>
        <v/>
      </c>
    </row>
    <row r="172" ht="14.25" customHeight="1">
      <c r="A172" s="204" t="str">
        <f>'2.8'!A12</f>
        <v/>
      </c>
      <c r="B172" s="92" t="str">
        <f>'2.8'!B12</f>
        <v/>
      </c>
      <c r="C172" s="92" t="str">
        <f>'2.8'!C12</f>
        <v/>
      </c>
      <c r="D172" s="204" t="str">
        <f>'2.8'!D12</f>
        <v/>
      </c>
      <c r="E172" s="204" t="str">
        <f>'2.8'!E12</f>
        <v/>
      </c>
      <c r="F172" s="206" t="str">
        <f>'2.8'!F12</f>
        <v/>
      </c>
      <c r="G172" s="207">
        <f>'2.8'!G12</f>
        <v>0</v>
      </c>
      <c r="H172" s="143" t="str">
        <f>'2.8'!H12</f>
        <v/>
      </c>
      <c r="I172" s="143" t="str">
        <f>'2.8'!I12</f>
        <v/>
      </c>
    </row>
    <row r="173" ht="14.25" customHeight="1">
      <c r="A173" s="204" t="str">
        <f>'2.8'!A13</f>
        <v/>
      </c>
      <c r="B173" s="92" t="str">
        <f>'2.8'!B13</f>
        <v/>
      </c>
      <c r="C173" s="92" t="str">
        <f>'2.8'!C13</f>
        <v/>
      </c>
      <c r="D173" s="204" t="str">
        <f>'2.8'!D13</f>
        <v/>
      </c>
      <c r="E173" s="204" t="str">
        <f>'2.8'!E13</f>
        <v/>
      </c>
      <c r="F173" s="206" t="str">
        <f>'2.8'!F13</f>
        <v/>
      </c>
      <c r="G173" s="207">
        <f>'2.8'!G13</f>
        <v>0</v>
      </c>
      <c r="H173" s="143" t="str">
        <f>'2.8'!H13</f>
        <v/>
      </c>
      <c r="I173" s="143" t="str">
        <f>'2.8'!I13</f>
        <v/>
      </c>
    </row>
    <row r="174" ht="14.25" customHeight="1">
      <c r="A174" s="204" t="str">
        <f>'2.8'!A14</f>
        <v/>
      </c>
      <c r="B174" s="92" t="str">
        <f>'2.8'!B14</f>
        <v/>
      </c>
      <c r="C174" s="92" t="str">
        <f>'2.8'!C14</f>
        <v/>
      </c>
      <c r="D174" s="204" t="str">
        <f>'2.8'!D14</f>
        <v/>
      </c>
      <c r="E174" s="204" t="str">
        <f>'2.8'!E14</f>
        <v/>
      </c>
      <c r="F174" s="206" t="str">
        <f>'2.8'!F14</f>
        <v/>
      </c>
      <c r="G174" s="207">
        <f>'2.8'!G14</f>
        <v>0</v>
      </c>
      <c r="H174" s="143" t="str">
        <f>'2.8'!H14</f>
        <v/>
      </c>
      <c r="I174" s="143" t="str">
        <f>'2.8'!I14</f>
        <v/>
      </c>
    </row>
    <row r="175" ht="14.25" customHeight="1">
      <c r="A175" s="204" t="str">
        <f>'2.8'!A15</f>
        <v/>
      </c>
      <c r="B175" s="92" t="str">
        <f>'2.8'!B15</f>
        <v/>
      </c>
      <c r="C175" s="92" t="str">
        <f>'2.8'!C15</f>
        <v/>
      </c>
      <c r="D175" s="204" t="str">
        <f>'2.8'!D15</f>
        <v/>
      </c>
      <c r="E175" s="204" t="str">
        <f>'2.8'!E15</f>
        <v/>
      </c>
      <c r="F175" s="206" t="str">
        <f>'2.8'!F15</f>
        <v/>
      </c>
      <c r="G175" s="207">
        <f>'2.8'!G15</f>
        <v>0</v>
      </c>
      <c r="H175" s="143" t="str">
        <f>'2.8'!H15</f>
        <v/>
      </c>
      <c r="I175" s="143" t="str">
        <f>'2.8'!I15</f>
        <v/>
      </c>
    </row>
    <row r="176" ht="14.25" customHeight="1">
      <c r="A176" s="204" t="str">
        <f>'2.8'!A16</f>
        <v/>
      </c>
      <c r="B176" s="92" t="str">
        <f>'2.8'!B16</f>
        <v/>
      </c>
      <c r="C176" s="92" t="str">
        <f>'2.8'!C16</f>
        <v/>
      </c>
      <c r="D176" s="204" t="str">
        <f>'2.8'!D16</f>
        <v/>
      </c>
      <c r="E176" s="204" t="str">
        <f>'2.8'!E16</f>
        <v/>
      </c>
      <c r="F176" s="206" t="str">
        <f>'2.8'!F16</f>
        <v/>
      </c>
      <c r="G176" s="207">
        <f>'2.8'!G16</f>
        <v>0</v>
      </c>
      <c r="H176" s="143" t="str">
        <f>'2.8'!H16</f>
        <v/>
      </c>
      <c r="I176" s="143" t="str">
        <f>'2.8'!I16</f>
        <v/>
      </c>
    </row>
    <row r="177" ht="14.25" customHeight="1">
      <c r="A177" s="204" t="str">
        <f>'2.8'!A17</f>
        <v/>
      </c>
      <c r="B177" s="92" t="str">
        <f>'2.8'!B17</f>
        <v/>
      </c>
      <c r="C177" s="92" t="str">
        <f>'2.8'!C17</f>
        <v/>
      </c>
      <c r="D177" s="204" t="str">
        <f>'2.8'!D17</f>
        <v/>
      </c>
      <c r="E177" s="204" t="str">
        <f>'2.8'!E17</f>
        <v/>
      </c>
      <c r="F177" s="206" t="str">
        <f>'2.8'!F17</f>
        <v/>
      </c>
      <c r="G177" s="207">
        <f>'2.8'!G17</f>
        <v>0</v>
      </c>
      <c r="H177" s="143" t="str">
        <f>'2.8'!H17</f>
        <v/>
      </c>
      <c r="I177" s="143" t="str">
        <f>'2.8'!I17</f>
        <v/>
      </c>
    </row>
    <row r="178" ht="14.25" customHeight="1">
      <c r="A178" s="204" t="str">
        <f>'2.8'!A18</f>
        <v/>
      </c>
      <c r="B178" s="92" t="str">
        <f>'2.8'!B18</f>
        <v/>
      </c>
      <c r="C178" s="92" t="str">
        <f>'2.8'!C18</f>
        <v/>
      </c>
      <c r="D178" s="204" t="str">
        <f>'2.8'!D18</f>
        <v/>
      </c>
      <c r="E178" s="204" t="str">
        <f>'2.8'!E18</f>
        <v/>
      </c>
      <c r="F178" s="206" t="str">
        <f>'2.8'!F18</f>
        <v/>
      </c>
      <c r="G178" s="207">
        <f>'2.8'!G18</f>
        <v>0</v>
      </c>
      <c r="H178" s="143" t="str">
        <f>'2.8'!H18</f>
        <v/>
      </c>
      <c r="I178" s="143" t="str">
        <f>'2.8'!I18</f>
        <v/>
      </c>
    </row>
    <row r="179" ht="14.25" customHeight="1">
      <c r="A179" s="216" t="str">
        <f>'2.8'!A19</f>
        <v/>
      </c>
      <c r="B179" s="216" t="str">
        <f>'2.8'!B19</f>
        <v/>
      </c>
      <c r="C179" s="216" t="str">
        <f>'2.8'!C19</f>
        <v/>
      </c>
      <c r="D179" s="216" t="str">
        <f>'2.8'!D19</f>
        <v/>
      </c>
      <c r="E179" s="216" t="str">
        <f>'2.8'!E19</f>
        <v/>
      </c>
      <c r="F179" s="208" t="str">
        <f>'2.8'!F19</f>
        <v/>
      </c>
      <c r="G179" s="3" t="str">
        <f>'2.8'!G19</f>
        <v/>
      </c>
      <c r="H179" s="143" t="str">
        <f>'2.8'!H19</f>
        <v/>
      </c>
      <c r="I179" s="143" t="str">
        <f>'2.8'!I19</f>
        <v/>
      </c>
    </row>
    <row r="180" ht="14.25" customHeight="1">
      <c r="A180" s="209" t="str">
        <f>'2.8'!A20</f>
        <v>TOTAL MATERIALES</v>
      </c>
      <c r="B180" s="210" t="str">
        <f>'2.8'!B20</f>
        <v/>
      </c>
      <c r="C180" s="210" t="str">
        <f>'2.8'!C20</f>
        <v/>
      </c>
      <c r="D180" s="210" t="str">
        <f>'2.8'!D20</f>
        <v/>
      </c>
      <c r="E180" s="210" t="str">
        <f>'2.8'!E20</f>
        <v/>
      </c>
      <c r="F180" s="210" t="str">
        <f>'2.8'!F20</f>
        <v/>
      </c>
      <c r="G180" s="211" t="str">
        <f>'2.8'!G20</f>
        <v/>
      </c>
      <c r="H180" s="210" t="str">
        <f>'2.8'!H20</f>
        <v/>
      </c>
      <c r="I180" s="212">
        <f>'2.8'!I20</f>
        <v>1693036.694</v>
      </c>
    </row>
    <row r="181" ht="14.25" customHeight="1">
      <c r="G181" s="3"/>
    </row>
    <row r="182" ht="14.25" customHeight="1">
      <c r="G182" s="3"/>
    </row>
    <row r="183">
      <c r="A183" s="195" t="str">
        <f t="shared" ref="A183:B183" si="80">'2.10.'!A3</f>
        <v>#REF!</v>
      </c>
      <c r="B183" s="196" t="str">
        <f t="shared" si="80"/>
        <v>#REF!</v>
      </c>
      <c r="C183" s="197"/>
      <c r="D183" s="197"/>
      <c r="E183" s="197"/>
      <c r="F183" s="197"/>
      <c r="G183" s="198" t="str">
        <f t="shared" ref="G183:I183" si="81">'2.10.'!G3</f>
        <v>#REF!</v>
      </c>
      <c r="H183" s="199" t="str">
        <f t="shared" si="81"/>
        <v>#REF!</v>
      </c>
      <c r="I183" s="200" t="str">
        <f t="shared" si="81"/>
        <v>#REF!</v>
      </c>
    </row>
    <row r="184" ht="14.25" customHeight="1">
      <c r="A184" s="216" t="str">
        <f t="shared" ref="A184:I184" si="82">'2.10.'!A4</f>
        <v>#REF!</v>
      </c>
      <c r="B184" s="216" t="str">
        <f t="shared" si="82"/>
        <v>#REF!</v>
      </c>
      <c r="C184" s="216" t="str">
        <f t="shared" si="82"/>
        <v>#REF!</v>
      </c>
      <c r="D184" s="216" t="str">
        <f t="shared" si="82"/>
        <v>#REF!</v>
      </c>
      <c r="E184" s="216" t="str">
        <f t="shared" si="82"/>
        <v>#REF!</v>
      </c>
      <c r="F184" s="216" t="str">
        <f t="shared" si="82"/>
        <v>#REF!</v>
      </c>
      <c r="G184" s="3" t="str">
        <f t="shared" si="82"/>
        <v>#REF!</v>
      </c>
      <c r="H184" s="216" t="str">
        <f t="shared" si="82"/>
        <v>#REF!</v>
      </c>
      <c r="I184" s="216" t="str">
        <f t="shared" si="82"/>
        <v>#REF!</v>
      </c>
    </row>
    <row r="185" ht="14.25" customHeight="1">
      <c r="A185" s="201" t="str">
        <f t="shared" ref="A185:I185" si="83">'2.10.'!A5</f>
        <v>#REF!</v>
      </c>
      <c r="B185" s="94" t="str">
        <f t="shared" si="83"/>
        <v>#REF!</v>
      </c>
      <c r="C185" s="94" t="str">
        <f t="shared" si="83"/>
        <v>#REF!</v>
      </c>
      <c r="D185" s="94" t="str">
        <f t="shared" si="83"/>
        <v>#REF!</v>
      </c>
      <c r="E185" s="94" t="str">
        <f t="shared" si="83"/>
        <v>#REF!</v>
      </c>
      <c r="F185" s="94" t="str">
        <f t="shared" si="83"/>
        <v>#REF!</v>
      </c>
      <c r="G185" s="2" t="str">
        <f t="shared" si="83"/>
        <v>#REF!</v>
      </c>
      <c r="H185" s="94" t="str">
        <f t="shared" si="83"/>
        <v>#REF!</v>
      </c>
      <c r="I185" s="94" t="str">
        <f t="shared" si="83"/>
        <v>#REF!</v>
      </c>
    </row>
    <row r="186" ht="14.25" customHeight="1">
      <c r="A186" s="202" t="str">
        <f t="shared" ref="A186:D186" si="84">'2.10.'!A6</f>
        <v>#REF!</v>
      </c>
      <c r="B186" s="202" t="str">
        <f t="shared" si="84"/>
        <v>#REF!</v>
      </c>
      <c r="C186" s="202" t="str">
        <f t="shared" si="84"/>
        <v>#REF!</v>
      </c>
      <c r="D186" s="203" t="str">
        <f t="shared" si="84"/>
        <v>#REF!</v>
      </c>
      <c r="E186" s="197"/>
      <c r="F186" s="202" t="str">
        <f t="shared" ref="F186:I186" si="85">'2.10.'!F6</f>
        <v>#REF!</v>
      </c>
      <c r="G186" s="4" t="str">
        <f t="shared" si="85"/>
        <v>#REF!</v>
      </c>
      <c r="H186" s="202" t="str">
        <f t="shared" si="85"/>
        <v>#REF!</v>
      </c>
      <c r="I186" s="202" t="str">
        <f t="shared" si="85"/>
        <v>#REF!</v>
      </c>
    </row>
    <row r="187" ht="14.25" customHeight="1">
      <c r="A187" s="204" t="str">
        <f t="shared" ref="A187:I187" si="86">'2.10.'!A7</f>
        <v>#REF!</v>
      </c>
      <c r="B187" s="92" t="str">
        <f t="shared" si="86"/>
        <v>#REF!</v>
      </c>
      <c r="C187" s="92" t="str">
        <f t="shared" si="86"/>
        <v>#REF!</v>
      </c>
      <c r="D187" s="204" t="str">
        <f t="shared" si="86"/>
        <v>#REF!</v>
      </c>
      <c r="E187" s="204" t="str">
        <f t="shared" si="86"/>
        <v>#REF!</v>
      </c>
      <c r="F187" s="206" t="str">
        <f t="shared" si="86"/>
        <v>#REF!</v>
      </c>
      <c r="G187" s="207" t="str">
        <f t="shared" si="86"/>
        <v>#REF!</v>
      </c>
      <c r="H187" s="143" t="str">
        <f t="shared" si="86"/>
        <v>#REF!</v>
      </c>
      <c r="I187" s="143" t="str">
        <f t="shared" si="86"/>
        <v>#REF!</v>
      </c>
    </row>
    <row r="188" ht="14.25" customHeight="1">
      <c r="A188" s="204" t="str">
        <f t="shared" ref="A188:I188" si="87">'2.10.'!A8</f>
        <v>#REF!</v>
      </c>
      <c r="B188" s="92" t="str">
        <f t="shared" si="87"/>
        <v>#REF!</v>
      </c>
      <c r="C188" s="92" t="str">
        <f t="shared" si="87"/>
        <v>#REF!</v>
      </c>
      <c r="D188" s="204" t="str">
        <f t="shared" si="87"/>
        <v>#REF!</v>
      </c>
      <c r="E188" s="204" t="str">
        <f t="shared" si="87"/>
        <v>#REF!</v>
      </c>
      <c r="F188" s="206" t="str">
        <f t="shared" si="87"/>
        <v>#REF!</v>
      </c>
      <c r="G188" s="207" t="str">
        <f t="shared" si="87"/>
        <v>#REF!</v>
      </c>
      <c r="H188" s="143" t="str">
        <f t="shared" si="87"/>
        <v>#REF!</v>
      </c>
      <c r="I188" s="143" t="str">
        <f t="shared" si="87"/>
        <v>#REF!</v>
      </c>
    </row>
    <row r="189" ht="14.25" customHeight="1">
      <c r="A189" s="204" t="str">
        <f t="shared" ref="A189:I189" si="88">'2.10.'!A9</f>
        <v>#REF!</v>
      </c>
      <c r="B189" s="92" t="str">
        <f t="shared" si="88"/>
        <v>#REF!</v>
      </c>
      <c r="C189" s="92" t="str">
        <f t="shared" si="88"/>
        <v>#REF!</v>
      </c>
      <c r="D189" s="204" t="str">
        <f t="shared" si="88"/>
        <v>#REF!</v>
      </c>
      <c r="E189" s="204" t="str">
        <f t="shared" si="88"/>
        <v>#REF!</v>
      </c>
      <c r="F189" s="206" t="str">
        <f t="shared" si="88"/>
        <v>#REF!</v>
      </c>
      <c r="G189" s="207" t="str">
        <f t="shared" si="88"/>
        <v>#REF!</v>
      </c>
      <c r="H189" s="143" t="str">
        <f t="shared" si="88"/>
        <v>#REF!</v>
      </c>
      <c r="I189" s="143" t="str">
        <f t="shared" si="88"/>
        <v>#REF!</v>
      </c>
    </row>
    <row r="190" ht="14.25" customHeight="1">
      <c r="A190" s="204" t="str">
        <f t="shared" ref="A190:I190" si="89">'2.10.'!A10</f>
        <v>#REF!</v>
      </c>
      <c r="B190" s="92" t="str">
        <f t="shared" si="89"/>
        <v>#REF!</v>
      </c>
      <c r="C190" s="92" t="str">
        <f t="shared" si="89"/>
        <v>#REF!</v>
      </c>
      <c r="D190" s="204" t="str">
        <f t="shared" si="89"/>
        <v>#REF!</v>
      </c>
      <c r="E190" s="204" t="str">
        <f t="shared" si="89"/>
        <v>#REF!</v>
      </c>
      <c r="F190" s="206" t="str">
        <f t="shared" si="89"/>
        <v>#REF!</v>
      </c>
      <c r="G190" s="207" t="str">
        <f t="shared" si="89"/>
        <v>#REF!</v>
      </c>
      <c r="H190" s="143" t="str">
        <f t="shared" si="89"/>
        <v>#REF!</v>
      </c>
      <c r="I190" s="143" t="str">
        <f t="shared" si="89"/>
        <v>#REF!</v>
      </c>
    </row>
    <row r="191" ht="14.25" customHeight="1">
      <c r="A191" s="204" t="str">
        <f t="shared" ref="A191:I191" si="90">'2.10.'!A11</f>
        <v>#REF!</v>
      </c>
      <c r="B191" s="92" t="str">
        <f t="shared" si="90"/>
        <v>#REF!</v>
      </c>
      <c r="C191" s="92" t="str">
        <f t="shared" si="90"/>
        <v>#REF!</v>
      </c>
      <c r="D191" s="204" t="str">
        <f t="shared" si="90"/>
        <v>#REF!</v>
      </c>
      <c r="E191" s="204" t="str">
        <f t="shared" si="90"/>
        <v>#REF!</v>
      </c>
      <c r="F191" s="206" t="str">
        <f t="shared" si="90"/>
        <v>#REF!</v>
      </c>
      <c r="G191" s="207" t="str">
        <f t="shared" si="90"/>
        <v>#REF!</v>
      </c>
      <c r="H191" s="143" t="str">
        <f t="shared" si="90"/>
        <v>#REF!</v>
      </c>
      <c r="I191" s="143" t="str">
        <f t="shared" si="90"/>
        <v>#REF!</v>
      </c>
    </row>
    <row r="192" ht="14.25" customHeight="1">
      <c r="A192" s="204" t="str">
        <f t="shared" ref="A192:I192" si="91">'2.10.'!A12</f>
        <v>#REF!</v>
      </c>
      <c r="B192" s="92" t="str">
        <f t="shared" si="91"/>
        <v>#REF!</v>
      </c>
      <c r="C192" s="92" t="str">
        <f t="shared" si="91"/>
        <v>#REF!</v>
      </c>
      <c r="D192" s="204" t="str">
        <f t="shared" si="91"/>
        <v>#REF!</v>
      </c>
      <c r="E192" s="204" t="str">
        <f t="shared" si="91"/>
        <v>#REF!</v>
      </c>
      <c r="F192" s="206" t="str">
        <f t="shared" si="91"/>
        <v>#REF!</v>
      </c>
      <c r="G192" s="207" t="str">
        <f t="shared" si="91"/>
        <v>#REF!</v>
      </c>
      <c r="H192" s="143" t="str">
        <f t="shared" si="91"/>
        <v>#REF!</v>
      </c>
      <c r="I192" s="143" t="str">
        <f t="shared" si="91"/>
        <v>#REF!</v>
      </c>
    </row>
    <row r="193" ht="14.25" customHeight="1">
      <c r="A193" s="204" t="str">
        <f t="shared" ref="A193:I193" si="92">'2.10.'!A13</f>
        <v>#REF!</v>
      </c>
      <c r="B193" s="92" t="str">
        <f t="shared" si="92"/>
        <v>#REF!</v>
      </c>
      <c r="C193" s="92" t="str">
        <f t="shared" si="92"/>
        <v>#REF!</v>
      </c>
      <c r="D193" s="204" t="str">
        <f t="shared" si="92"/>
        <v>#REF!</v>
      </c>
      <c r="E193" s="204" t="str">
        <f t="shared" si="92"/>
        <v>#REF!</v>
      </c>
      <c r="F193" s="206" t="str">
        <f t="shared" si="92"/>
        <v>#REF!</v>
      </c>
      <c r="G193" s="207" t="str">
        <f t="shared" si="92"/>
        <v>#REF!</v>
      </c>
      <c r="H193" s="143" t="str">
        <f t="shared" si="92"/>
        <v>#REF!</v>
      </c>
      <c r="I193" s="143" t="str">
        <f t="shared" si="92"/>
        <v>#REF!</v>
      </c>
    </row>
    <row r="194" ht="14.25" customHeight="1">
      <c r="A194" s="204" t="str">
        <f t="shared" ref="A194:I194" si="93">'2.10.'!A14</f>
        <v>#REF!</v>
      </c>
      <c r="B194" s="92" t="str">
        <f t="shared" si="93"/>
        <v>#REF!</v>
      </c>
      <c r="C194" s="92" t="str">
        <f t="shared" si="93"/>
        <v>#REF!</v>
      </c>
      <c r="D194" s="204" t="str">
        <f t="shared" si="93"/>
        <v>#REF!</v>
      </c>
      <c r="E194" s="204" t="str">
        <f t="shared" si="93"/>
        <v>#REF!</v>
      </c>
      <c r="F194" s="206" t="str">
        <f t="shared" si="93"/>
        <v>#REF!</v>
      </c>
      <c r="G194" s="207" t="str">
        <f t="shared" si="93"/>
        <v>#REF!</v>
      </c>
      <c r="H194" s="143" t="str">
        <f t="shared" si="93"/>
        <v>#REF!</v>
      </c>
      <c r="I194" s="143" t="str">
        <f t="shared" si="93"/>
        <v>#REF!</v>
      </c>
    </row>
    <row r="195" ht="14.25" customHeight="1">
      <c r="A195" s="204" t="str">
        <f t="shared" ref="A195:I195" si="94">'2.10.'!A15</f>
        <v>#REF!</v>
      </c>
      <c r="B195" s="92" t="str">
        <f t="shared" si="94"/>
        <v>#REF!</v>
      </c>
      <c r="C195" s="92" t="str">
        <f t="shared" si="94"/>
        <v>#REF!</v>
      </c>
      <c r="D195" s="204" t="str">
        <f t="shared" si="94"/>
        <v>#REF!</v>
      </c>
      <c r="E195" s="204" t="str">
        <f t="shared" si="94"/>
        <v>#REF!</v>
      </c>
      <c r="F195" s="206" t="str">
        <f t="shared" si="94"/>
        <v>#REF!</v>
      </c>
      <c r="G195" s="207" t="str">
        <f t="shared" si="94"/>
        <v>#REF!</v>
      </c>
      <c r="H195" s="143" t="str">
        <f t="shared" si="94"/>
        <v>#REF!</v>
      </c>
      <c r="I195" s="143" t="str">
        <f t="shared" si="94"/>
        <v>#REF!</v>
      </c>
    </row>
    <row r="196" ht="14.25" customHeight="1">
      <c r="A196" s="204" t="str">
        <f t="shared" ref="A196:I196" si="95">'2.10.'!A16</f>
        <v>#REF!</v>
      </c>
      <c r="B196" s="92" t="str">
        <f t="shared" si="95"/>
        <v>#REF!</v>
      </c>
      <c r="C196" s="92" t="str">
        <f t="shared" si="95"/>
        <v>#REF!</v>
      </c>
      <c r="D196" s="204" t="str">
        <f t="shared" si="95"/>
        <v>#REF!</v>
      </c>
      <c r="E196" s="204" t="str">
        <f t="shared" si="95"/>
        <v>#REF!</v>
      </c>
      <c r="F196" s="206" t="str">
        <f t="shared" si="95"/>
        <v>#REF!</v>
      </c>
      <c r="G196" s="207" t="str">
        <f t="shared" si="95"/>
        <v>#REF!</v>
      </c>
      <c r="H196" s="143" t="str">
        <f t="shared" si="95"/>
        <v>#REF!</v>
      </c>
      <c r="I196" s="143" t="str">
        <f t="shared" si="95"/>
        <v>#REF!</v>
      </c>
    </row>
    <row r="197" ht="14.25" customHeight="1">
      <c r="A197" s="204" t="str">
        <f t="shared" ref="A197:I197" si="96">'2.10.'!A17</f>
        <v>#REF!</v>
      </c>
      <c r="B197" s="92" t="str">
        <f t="shared" si="96"/>
        <v>#REF!</v>
      </c>
      <c r="C197" s="92" t="str">
        <f t="shared" si="96"/>
        <v>#REF!</v>
      </c>
      <c r="D197" s="204" t="str">
        <f t="shared" si="96"/>
        <v>#REF!</v>
      </c>
      <c r="E197" s="204" t="str">
        <f t="shared" si="96"/>
        <v>#REF!</v>
      </c>
      <c r="F197" s="206" t="str">
        <f t="shared" si="96"/>
        <v>#REF!</v>
      </c>
      <c r="G197" s="207" t="str">
        <f t="shared" si="96"/>
        <v>#REF!</v>
      </c>
      <c r="H197" s="143" t="str">
        <f t="shared" si="96"/>
        <v>#REF!</v>
      </c>
      <c r="I197" s="143" t="str">
        <f t="shared" si="96"/>
        <v>#REF!</v>
      </c>
    </row>
    <row r="198" ht="14.25" customHeight="1">
      <c r="A198" s="204" t="str">
        <f t="shared" ref="A198:I198" si="97">'2.10.'!A18</f>
        <v>#REF!</v>
      </c>
      <c r="B198" s="92" t="str">
        <f t="shared" si="97"/>
        <v>#REF!</v>
      </c>
      <c r="C198" s="92" t="str">
        <f t="shared" si="97"/>
        <v>#REF!</v>
      </c>
      <c r="D198" s="204" t="str">
        <f t="shared" si="97"/>
        <v>#REF!</v>
      </c>
      <c r="E198" s="204" t="str">
        <f t="shared" si="97"/>
        <v>#REF!</v>
      </c>
      <c r="F198" s="206" t="str">
        <f t="shared" si="97"/>
        <v>#REF!</v>
      </c>
      <c r="G198" s="207" t="str">
        <f t="shared" si="97"/>
        <v>#REF!</v>
      </c>
      <c r="H198" s="143" t="str">
        <f t="shared" si="97"/>
        <v>#REF!</v>
      </c>
      <c r="I198" s="143" t="str">
        <f t="shared" si="97"/>
        <v>#REF!</v>
      </c>
    </row>
    <row r="199" ht="14.25" customHeight="1">
      <c r="A199" s="216" t="str">
        <f t="shared" ref="A199:I199" si="98">'2.10.'!A19</f>
        <v>#REF!</v>
      </c>
      <c r="B199" s="216" t="str">
        <f t="shared" si="98"/>
        <v>#REF!</v>
      </c>
      <c r="C199" s="216" t="str">
        <f t="shared" si="98"/>
        <v>#REF!</v>
      </c>
      <c r="D199" s="216" t="str">
        <f t="shared" si="98"/>
        <v>#REF!</v>
      </c>
      <c r="E199" s="216" t="str">
        <f t="shared" si="98"/>
        <v>#REF!</v>
      </c>
      <c r="F199" s="208" t="str">
        <f t="shared" si="98"/>
        <v>#REF!</v>
      </c>
      <c r="G199" s="3" t="str">
        <f t="shared" si="98"/>
        <v>#REF!</v>
      </c>
      <c r="H199" s="143" t="str">
        <f t="shared" si="98"/>
        <v>#REF!</v>
      </c>
      <c r="I199" s="143" t="str">
        <f t="shared" si="98"/>
        <v>#REF!</v>
      </c>
    </row>
    <row r="200" ht="14.25" customHeight="1">
      <c r="A200" s="209" t="str">
        <f t="shared" ref="A200:I200" si="99">'2.10.'!A20</f>
        <v>#REF!</v>
      </c>
      <c r="B200" s="210" t="str">
        <f t="shared" si="99"/>
        <v>#REF!</v>
      </c>
      <c r="C200" s="210" t="str">
        <f t="shared" si="99"/>
        <v>#REF!</v>
      </c>
      <c r="D200" s="210" t="str">
        <f t="shared" si="99"/>
        <v>#REF!</v>
      </c>
      <c r="E200" s="210" t="str">
        <f t="shared" si="99"/>
        <v>#REF!</v>
      </c>
      <c r="F200" s="210" t="str">
        <f t="shared" si="99"/>
        <v>#REF!</v>
      </c>
      <c r="G200" s="211" t="str">
        <f t="shared" si="99"/>
        <v>#REF!</v>
      </c>
      <c r="H200" s="210" t="str">
        <f t="shared" si="99"/>
        <v>#REF!</v>
      </c>
      <c r="I200" s="212" t="str">
        <f t="shared" si="99"/>
        <v>#REF!</v>
      </c>
    </row>
    <row r="201" ht="14.25" customHeight="1">
      <c r="G201" s="3"/>
    </row>
    <row r="202" ht="14.25" customHeight="1">
      <c r="G202" s="3"/>
    </row>
    <row r="203">
      <c r="A203" s="195" t="str">
        <f t="shared" ref="A203:B203" si="100">'2.11.'!A3</f>
        <v>#REF!</v>
      </c>
      <c r="B203" s="196" t="str">
        <f t="shared" si="100"/>
        <v>#REF!</v>
      </c>
      <c r="C203" s="197"/>
      <c r="D203" s="197"/>
      <c r="E203" s="197"/>
      <c r="F203" s="197"/>
      <c r="G203" s="198" t="str">
        <f t="shared" ref="G203:I203" si="101">'2.11.'!G3</f>
        <v>#REF!</v>
      </c>
      <c r="H203" s="199" t="str">
        <f t="shared" si="101"/>
        <v>#REF!</v>
      </c>
      <c r="I203" s="200" t="str">
        <f t="shared" si="101"/>
        <v>#REF!</v>
      </c>
    </row>
    <row r="204" ht="14.25" customHeight="1">
      <c r="A204" s="216" t="str">
        <f t="shared" ref="A204:I204" si="102">'2.11.'!A4</f>
        <v>#REF!</v>
      </c>
      <c r="B204" s="216" t="str">
        <f t="shared" si="102"/>
        <v>#REF!</v>
      </c>
      <c r="C204" s="216" t="str">
        <f t="shared" si="102"/>
        <v>#REF!</v>
      </c>
      <c r="D204" s="216" t="str">
        <f t="shared" si="102"/>
        <v>#REF!</v>
      </c>
      <c r="E204" s="216" t="str">
        <f t="shared" si="102"/>
        <v>#REF!</v>
      </c>
      <c r="F204" s="216" t="str">
        <f t="shared" si="102"/>
        <v>#REF!</v>
      </c>
      <c r="G204" s="3" t="str">
        <f t="shared" si="102"/>
        <v>#REF!</v>
      </c>
      <c r="H204" s="216" t="str">
        <f t="shared" si="102"/>
        <v>#REF!</v>
      </c>
      <c r="I204" s="216" t="str">
        <f t="shared" si="102"/>
        <v>#REF!</v>
      </c>
    </row>
    <row r="205" ht="14.25" customHeight="1">
      <c r="A205" s="201" t="str">
        <f t="shared" ref="A205:I205" si="103">'2.11.'!A5</f>
        <v>#REF!</v>
      </c>
      <c r="B205" s="94" t="str">
        <f t="shared" si="103"/>
        <v>#REF!</v>
      </c>
      <c r="C205" s="94" t="str">
        <f t="shared" si="103"/>
        <v>#REF!</v>
      </c>
      <c r="D205" s="94" t="str">
        <f t="shared" si="103"/>
        <v>#REF!</v>
      </c>
      <c r="E205" s="94" t="str">
        <f t="shared" si="103"/>
        <v>#REF!</v>
      </c>
      <c r="F205" s="94" t="str">
        <f t="shared" si="103"/>
        <v>#REF!</v>
      </c>
      <c r="G205" s="2" t="str">
        <f t="shared" si="103"/>
        <v>#REF!</v>
      </c>
      <c r="H205" s="94" t="str">
        <f t="shared" si="103"/>
        <v>#REF!</v>
      </c>
      <c r="I205" s="94" t="str">
        <f t="shared" si="103"/>
        <v>#REF!</v>
      </c>
    </row>
    <row r="206" ht="14.25" customHeight="1">
      <c r="A206" s="202" t="str">
        <f t="shared" ref="A206:D206" si="104">'2.11.'!A6</f>
        <v>#REF!</v>
      </c>
      <c r="B206" s="202" t="str">
        <f t="shared" si="104"/>
        <v>#REF!</v>
      </c>
      <c r="C206" s="202" t="str">
        <f t="shared" si="104"/>
        <v>#REF!</v>
      </c>
      <c r="D206" s="203" t="str">
        <f t="shared" si="104"/>
        <v>#REF!</v>
      </c>
      <c r="E206" s="197"/>
      <c r="F206" s="202" t="str">
        <f t="shared" ref="F206:I206" si="105">'2.11.'!F6</f>
        <v>#REF!</v>
      </c>
      <c r="G206" s="4" t="str">
        <f t="shared" si="105"/>
        <v>#REF!</v>
      </c>
      <c r="H206" s="202" t="str">
        <f t="shared" si="105"/>
        <v>#REF!</v>
      </c>
      <c r="I206" s="202" t="str">
        <f t="shared" si="105"/>
        <v>#REF!</v>
      </c>
    </row>
    <row r="207" ht="14.25" customHeight="1">
      <c r="A207" s="204" t="str">
        <f t="shared" ref="A207:I207" si="106">'2.11.'!A7</f>
        <v>#REF!</v>
      </c>
      <c r="B207" s="92" t="str">
        <f t="shared" si="106"/>
        <v>#REF!</v>
      </c>
      <c r="C207" s="92" t="str">
        <f t="shared" si="106"/>
        <v>#REF!</v>
      </c>
      <c r="D207" s="204" t="str">
        <f t="shared" si="106"/>
        <v>#REF!</v>
      </c>
      <c r="E207" s="204" t="str">
        <f t="shared" si="106"/>
        <v>#REF!</v>
      </c>
      <c r="F207" s="206" t="str">
        <f t="shared" si="106"/>
        <v>#REF!</v>
      </c>
      <c r="G207" s="207" t="str">
        <f t="shared" si="106"/>
        <v>#REF!</v>
      </c>
      <c r="H207" s="143" t="str">
        <f t="shared" si="106"/>
        <v>#REF!</v>
      </c>
      <c r="I207" s="143" t="str">
        <f t="shared" si="106"/>
        <v>#REF!</v>
      </c>
    </row>
    <row r="208" ht="14.25" customHeight="1">
      <c r="A208" s="204" t="str">
        <f t="shared" ref="A208:I208" si="107">'2.11.'!A8</f>
        <v>#REF!</v>
      </c>
      <c r="B208" s="92" t="str">
        <f t="shared" si="107"/>
        <v>#REF!</v>
      </c>
      <c r="C208" s="92" t="str">
        <f t="shared" si="107"/>
        <v>#REF!</v>
      </c>
      <c r="D208" s="204" t="str">
        <f t="shared" si="107"/>
        <v>#REF!</v>
      </c>
      <c r="E208" s="204" t="str">
        <f t="shared" si="107"/>
        <v>#REF!</v>
      </c>
      <c r="F208" s="206" t="str">
        <f t="shared" si="107"/>
        <v>#REF!</v>
      </c>
      <c r="G208" s="207" t="str">
        <f t="shared" si="107"/>
        <v>#REF!</v>
      </c>
      <c r="H208" s="143" t="str">
        <f t="shared" si="107"/>
        <v>#REF!</v>
      </c>
      <c r="I208" s="143" t="str">
        <f t="shared" si="107"/>
        <v>#REF!</v>
      </c>
    </row>
    <row r="209" ht="14.25" customHeight="1">
      <c r="A209" s="204" t="str">
        <f t="shared" ref="A209:I209" si="108">'2.11.'!A9</f>
        <v>#REF!</v>
      </c>
      <c r="B209" s="92" t="str">
        <f t="shared" si="108"/>
        <v>#REF!</v>
      </c>
      <c r="C209" s="92" t="str">
        <f t="shared" si="108"/>
        <v>#REF!</v>
      </c>
      <c r="D209" s="204" t="str">
        <f t="shared" si="108"/>
        <v>#REF!</v>
      </c>
      <c r="E209" s="204" t="str">
        <f t="shared" si="108"/>
        <v>#REF!</v>
      </c>
      <c r="F209" s="206" t="str">
        <f t="shared" si="108"/>
        <v>#REF!</v>
      </c>
      <c r="G209" s="207" t="str">
        <f t="shared" si="108"/>
        <v>#REF!</v>
      </c>
      <c r="H209" s="143" t="str">
        <f t="shared" si="108"/>
        <v>#REF!</v>
      </c>
      <c r="I209" s="143" t="str">
        <f t="shared" si="108"/>
        <v>#REF!</v>
      </c>
    </row>
    <row r="210" ht="14.25" customHeight="1">
      <c r="A210" s="204" t="str">
        <f t="shared" ref="A210:I210" si="109">'2.11.'!A10</f>
        <v>#REF!</v>
      </c>
      <c r="B210" s="92" t="str">
        <f t="shared" si="109"/>
        <v>#REF!</v>
      </c>
      <c r="C210" s="92" t="str">
        <f t="shared" si="109"/>
        <v>#REF!</v>
      </c>
      <c r="D210" s="204" t="str">
        <f t="shared" si="109"/>
        <v>#REF!</v>
      </c>
      <c r="E210" s="204" t="str">
        <f t="shared" si="109"/>
        <v>#REF!</v>
      </c>
      <c r="F210" s="206" t="str">
        <f t="shared" si="109"/>
        <v>#REF!</v>
      </c>
      <c r="G210" s="207" t="str">
        <f t="shared" si="109"/>
        <v>#REF!</v>
      </c>
      <c r="H210" s="143" t="str">
        <f t="shared" si="109"/>
        <v>#REF!</v>
      </c>
      <c r="I210" s="143" t="str">
        <f t="shared" si="109"/>
        <v>#REF!</v>
      </c>
    </row>
    <row r="211" ht="14.25" customHeight="1">
      <c r="A211" s="204" t="str">
        <f t="shared" ref="A211:I211" si="110">'2.11.'!A11</f>
        <v>#REF!</v>
      </c>
      <c r="B211" s="92" t="str">
        <f t="shared" si="110"/>
        <v>#REF!</v>
      </c>
      <c r="C211" s="92" t="str">
        <f t="shared" si="110"/>
        <v>#REF!</v>
      </c>
      <c r="D211" s="204" t="str">
        <f t="shared" si="110"/>
        <v>#REF!</v>
      </c>
      <c r="E211" s="204" t="str">
        <f t="shared" si="110"/>
        <v>#REF!</v>
      </c>
      <c r="F211" s="206" t="str">
        <f t="shared" si="110"/>
        <v>#REF!</v>
      </c>
      <c r="G211" s="207" t="str">
        <f t="shared" si="110"/>
        <v>#REF!</v>
      </c>
      <c r="H211" s="143" t="str">
        <f t="shared" si="110"/>
        <v>#REF!</v>
      </c>
      <c r="I211" s="143" t="str">
        <f t="shared" si="110"/>
        <v>#REF!</v>
      </c>
    </row>
    <row r="212" ht="14.25" customHeight="1">
      <c r="A212" s="204" t="str">
        <f t="shared" ref="A212:I212" si="111">'2.11.'!A12</f>
        <v>#REF!</v>
      </c>
      <c r="B212" s="92" t="str">
        <f t="shared" si="111"/>
        <v>#REF!</v>
      </c>
      <c r="C212" s="92" t="str">
        <f t="shared" si="111"/>
        <v>#REF!</v>
      </c>
      <c r="D212" s="204" t="str">
        <f t="shared" si="111"/>
        <v>#REF!</v>
      </c>
      <c r="E212" s="204" t="str">
        <f t="shared" si="111"/>
        <v>#REF!</v>
      </c>
      <c r="F212" s="206" t="str">
        <f t="shared" si="111"/>
        <v>#REF!</v>
      </c>
      <c r="G212" s="207" t="str">
        <f t="shared" si="111"/>
        <v>#REF!</v>
      </c>
      <c r="H212" s="143" t="str">
        <f t="shared" si="111"/>
        <v>#REF!</v>
      </c>
      <c r="I212" s="143" t="str">
        <f t="shared" si="111"/>
        <v>#REF!</v>
      </c>
    </row>
    <row r="213" ht="14.25" customHeight="1">
      <c r="A213" s="204" t="str">
        <f t="shared" ref="A213:I213" si="112">'2.11.'!A13</f>
        <v>#REF!</v>
      </c>
      <c r="B213" s="92" t="str">
        <f t="shared" si="112"/>
        <v>#REF!</v>
      </c>
      <c r="C213" s="92" t="str">
        <f t="shared" si="112"/>
        <v>#REF!</v>
      </c>
      <c r="D213" s="204" t="str">
        <f t="shared" si="112"/>
        <v>#REF!</v>
      </c>
      <c r="E213" s="204" t="str">
        <f t="shared" si="112"/>
        <v>#REF!</v>
      </c>
      <c r="F213" s="206" t="str">
        <f t="shared" si="112"/>
        <v>#REF!</v>
      </c>
      <c r="G213" s="207" t="str">
        <f t="shared" si="112"/>
        <v>#REF!</v>
      </c>
      <c r="H213" s="143" t="str">
        <f t="shared" si="112"/>
        <v>#REF!</v>
      </c>
      <c r="I213" s="143" t="str">
        <f t="shared" si="112"/>
        <v>#REF!</v>
      </c>
    </row>
    <row r="214" ht="14.25" customHeight="1">
      <c r="A214" s="204" t="str">
        <f t="shared" ref="A214:I214" si="113">'2.11.'!A14</f>
        <v>#REF!</v>
      </c>
      <c r="B214" s="92" t="str">
        <f t="shared" si="113"/>
        <v>#REF!</v>
      </c>
      <c r="C214" s="92" t="str">
        <f t="shared" si="113"/>
        <v>#REF!</v>
      </c>
      <c r="D214" s="204" t="str">
        <f t="shared" si="113"/>
        <v>#REF!</v>
      </c>
      <c r="E214" s="204" t="str">
        <f t="shared" si="113"/>
        <v>#REF!</v>
      </c>
      <c r="F214" s="206" t="str">
        <f t="shared" si="113"/>
        <v>#REF!</v>
      </c>
      <c r="G214" s="207" t="str">
        <f t="shared" si="113"/>
        <v>#REF!</v>
      </c>
      <c r="H214" s="143" t="str">
        <f t="shared" si="113"/>
        <v>#REF!</v>
      </c>
      <c r="I214" s="143" t="str">
        <f t="shared" si="113"/>
        <v>#REF!</v>
      </c>
    </row>
    <row r="215" ht="14.25" customHeight="1">
      <c r="A215" s="204" t="str">
        <f t="shared" ref="A215:I215" si="114">'2.11.'!A15</f>
        <v>#REF!</v>
      </c>
      <c r="B215" s="92" t="str">
        <f t="shared" si="114"/>
        <v>#REF!</v>
      </c>
      <c r="C215" s="92" t="str">
        <f t="shared" si="114"/>
        <v>#REF!</v>
      </c>
      <c r="D215" s="204" t="str">
        <f t="shared" si="114"/>
        <v>#REF!</v>
      </c>
      <c r="E215" s="204" t="str">
        <f t="shared" si="114"/>
        <v>#REF!</v>
      </c>
      <c r="F215" s="206" t="str">
        <f t="shared" si="114"/>
        <v>#REF!</v>
      </c>
      <c r="G215" s="207" t="str">
        <f t="shared" si="114"/>
        <v>#REF!</v>
      </c>
      <c r="H215" s="143" t="str">
        <f t="shared" si="114"/>
        <v>#REF!</v>
      </c>
      <c r="I215" s="143" t="str">
        <f t="shared" si="114"/>
        <v>#REF!</v>
      </c>
    </row>
    <row r="216" ht="14.25" customHeight="1">
      <c r="A216" s="204" t="str">
        <f t="shared" ref="A216:I216" si="115">'2.11.'!A16</f>
        <v>#REF!</v>
      </c>
      <c r="B216" s="92" t="str">
        <f t="shared" si="115"/>
        <v>#REF!</v>
      </c>
      <c r="C216" s="92" t="str">
        <f t="shared" si="115"/>
        <v>#REF!</v>
      </c>
      <c r="D216" s="204" t="str">
        <f t="shared" si="115"/>
        <v>#REF!</v>
      </c>
      <c r="E216" s="204" t="str">
        <f t="shared" si="115"/>
        <v>#REF!</v>
      </c>
      <c r="F216" s="206" t="str">
        <f t="shared" si="115"/>
        <v>#REF!</v>
      </c>
      <c r="G216" s="207" t="str">
        <f t="shared" si="115"/>
        <v>#REF!</v>
      </c>
      <c r="H216" s="143" t="str">
        <f t="shared" si="115"/>
        <v>#REF!</v>
      </c>
      <c r="I216" s="143" t="str">
        <f t="shared" si="115"/>
        <v>#REF!</v>
      </c>
    </row>
    <row r="217" ht="14.25" customHeight="1">
      <c r="A217" s="204" t="str">
        <f t="shared" ref="A217:I217" si="116">'2.11.'!A17</f>
        <v>#REF!</v>
      </c>
      <c r="B217" s="92" t="str">
        <f t="shared" si="116"/>
        <v>#REF!</v>
      </c>
      <c r="C217" s="92" t="str">
        <f t="shared" si="116"/>
        <v>#REF!</v>
      </c>
      <c r="D217" s="204" t="str">
        <f t="shared" si="116"/>
        <v>#REF!</v>
      </c>
      <c r="E217" s="204" t="str">
        <f t="shared" si="116"/>
        <v>#REF!</v>
      </c>
      <c r="F217" s="206" t="str">
        <f t="shared" si="116"/>
        <v>#REF!</v>
      </c>
      <c r="G217" s="207" t="str">
        <f t="shared" si="116"/>
        <v>#REF!</v>
      </c>
      <c r="H217" s="143" t="str">
        <f t="shared" si="116"/>
        <v>#REF!</v>
      </c>
      <c r="I217" s="143" t="str">
        <f t="shared" si="116"/>
        <v>#REF!</v>
      </c>
    </row>
    <row r="218" ht="14.25" customHeight="1">
      <c r="A218" s="204" t="str">
        <f t="shared" ref="A218:I218" si="117">'2.11.'!A18</f>
        <v>#REF!</v>
      </c>
      <c r="B218" s="92" t="str">
        <f t="shared" si="117"/>
        <v>#REF!</v>
      </c>
      <c r="C218" s="92" t="str">
        <f t="shared" si="117"/>
        <v>#REF!</v>
      </c>
      <c r="D218" s="204" t="str">
        <f t="shared" si="117"/>
        <v>#REF!</v>
      </c>
      <c r="E218" s="204" t="str">
        <f t="shared" si="117"/>
        <v>#REF!</v>
      </c>
      <c r="F218" s="206" t="str">
        <f t="shared" si="117"/>
        <v>#REF!</v>
      </c>
      <c r="G218" s="207" t="str">
        <f t="shared" si="117"/>
        <v>#REF!</v>
      </c>
      <c r="H218" s="143" t="str">
        <f t="shared" si="117"/>
        <v>#REF!</v>
      </c>
      <c r="I218" s="143" t="str">
        <f t="shared" si="117"/>
        <v>#REF!</v>
      </c>
    </row>
    <row r="219" ht="14.25" customHeight="1">
      <c r="A219" s="216" t="str">
        <f t="shared" ref="A219:I219" si="118">'2.11.'!A19</f>
        <v>#REF!</v>
      </c>
      <c r="B219" s="216" t="str">
        <f t="shared" si="118"/>
        <v>#REF!</v>
      </c>
      <c r="C219" s="216" t="str">
        <f t="shared" si="118"/>
        <v>#REF!</v>
      </c>
      <c r="D219" s="216" t="str">
        <f t="shared" si="118"/>
        <v>#REF!</v>
      </c>
      <c r="E219" s="216" t="str">
        <f t="shared" si="118"/>
        <v>#REF!</v>
      </c>
      <c r="F219" s="208" t="str">
        <f t="shared" si="118"/>
        <v>#REF!</v>
      </c>
      <c r="G219" s="3" t="str">
        <f t="shared" si="118"/>
        <v>#REF!</v>
      </c>
      <c r="H219" s="143" t="str">
        <f t="shared" si="118"/>
        <v>#REF!</v>
      </c>
      <c r="I219" s="143" t="str">
        <f t="shared" si="118"/>
        <v>#REF!</v>
      </c>
    </row>
    <row r="220" ht="14.25" customHeight="1">
      <c r="A220" s="209" t="str">
        <f t="shared" ref="A220:I220" si="119">'2.11.'!A20</f>
        <v>#REF!</v>
      </c>
      <c r="B220" s="210" t="str">
        <f t="shared" si="119"/>
        <v>#REF!</v>
      </c>
      <c r="C220" s="210" t="str">
        <f t="shared" si="119"/>
        <v>#REF!</v>
      </c>
      <c r="D220" s="210" t="str">
        <f t="shared" si="119"/>
        <v>#REF!</v>
      </c>
      <c r="E220" s="210" t="str">
        <f t="shared" si="119"/>
        <v>#REF!</v>
      </c>
      <c r="F220" s="210" t="str">
        <f t="shared" si="119"/>
        <v>#REF!</v>
      </c>
      <c r="G220" s="211" t="str">
        <f t="shared" si="119"/>
        <v>#REF!</v>
      </c>
      <c r="H220" s="210" t="str">
        <f t="shared" si="119"/>
        <v>#REF!</v>
      </c>
      <c r="I220" s="212" t="str">
        <f t="shared" si="119"/>
        <v>#REF!</v>
      </c>
    </row>
    <row r="221" ht="14.25" customHeight="1">
      <c r="G221" s="3"/>
    </row>
    <row r="222" ht="14.25" customHeight="1">
      <c r="G222" s="3"/>
    </row>
    <row r="223">
      <c r="A223" s="195" t="str">
        <f t="shared" ref="A223:B223" si="120">'2.12.'!A3</f>
        <v>#REF!</v>
      </c>
      <c r="B223" s="196" t="str">
        <f t="shared" si="120"/>
        <v>#REF!</v>
      </c>
      <c r="C223" s="197"/>
      <c r="D223" s="197"/>
      <c r="E223" s="197"/>
      <c r="F223" s="197"/>
      <c r="G223" s="198" t="str">
        <f t="shared" ref="G223:I223" si="121">'2.12.'!G3</f>
        <v>#REF!</v>
      </c>
      <c r="H223" s="199" t="str">
        <f t="shared" si="121"/>
        <v>#REF!</v>
      </c>
      <c r="I223" s="200" t="str">
        <f t="shared" si="121"/>
        <v>#REF!</v>
      </c>
    </row>
    <row r="224" ht="14.25" customHeight="1">
      <c r="A224" s="216" t="str">
        <f t="shared" ref="A224:I224" si="122">'2.12.'!A4</f>
        <v>#REF!</v>
      </c>
      <c r="B224" s="216" t="str">
        <f t="shared" si="122"/>
        <v>#REF!</v>
      </c>
      <c r="C224" s="216" t="str">
        <f t="shared" si="122"/>
        <v>#REF!</v>
      </c>
      <c r="D224" s="216" t="str">
        <f t="shared" si="122"/>
        <v>#REF!</v>
      </c>
      <c r="E224" s="216" t="str">
        <f t="shared" si="122"/>
        <v>#REF!</v>
      </c>
      <c r="F224" s="216" t="str">
        <f t="shared" si="122"/>
        <v>#REF!</v>
      </c>
      <c r="G224" s="3" t="str">
        <f t="shared" si="122"/>
        <v>#REF!</v>
      </c>
      <c r="H224" s="216" t="str">
        <f t="shared" si="122"/>
        <v>#REF!</v>
      </c>
      <c r="I224" s="216" t="str">
        <f t="shared" si="122"/>
        <v>#REF!</v>
      </c>
    </row>
    <row r="225" ht="14.25" customHeight="1">
      <c r="A225" s="201" t="str">
        <f t="shared" ref="A225:I225" si="123">'2.12.'!A5</f>
        <v>#REF!</v>
      </c>
      <c r="B225" s="94" t="str">
        <f t="shared" si="123"/>
        <v>#REF!</v>
      </c>
      <c r="C225" s="94" t="str">
        <f t="shared" si="123"/>
        <v>#REF!</v>
      </c>
      <c r="D225" s="94" t="str">
        <f t="shared" si="123"/>
        <v>#REF!</v>
      </c>
      <c r="E225" s="94" t="str">
        <f t="shared" si="123"/>
        <v>#REF!</v>
      </c>
      <c r="F225" s="94" t="str">
        <f t="shared" si="123"/>
        <v>#REF!</v>
      </c>
      <c r="G225" s="2" t="str">
        <f t="shared" si="123"/>
        <v>#REF!</v>
      </c>
      <c r="H225" s="94" t="str">
        <f t="shared" si="123"/>
        <v>#REF!</v>
      </c>
      <c r="I225" s="94" t="str">
        <f t="shared" si="123"/>
        <v>#REF!</v>
      </c>
    </row>
    <row r="226" ht="14.25" customHeight="1">
      <c r="A226" s="202" t="str">
        <f t="shared" ref="A226:D226" si="124">'2.12.'!A6</f>
        <v>#REF!</v>
      </c>
      <c r="B226" s="202" t="str">
        <f t="shared" si="124"/>
        <v>#REF!</v>
      </c>
      <c r="C226" s="202" t="str">
        <f t="shared" si="124"/>
        <v>#REF!</v>
      </c>
      <c r="D226" s="203" t="str">
        <f t="shared" si="124"/>
        <v>#REF!</v>
      </c>
      <c r="E226" s="197"/>
      <c r="F226" s="202" t="str">
        <f t="shared" ref="F226:I226" si="125">'2.12.'!F6</f>
        <v>#REF!</v>
      </c>
      <c r="G226" s="4" t="str">
        <f t="shared" si="125"/>
        <v>#REF!</v>
      </c>
      <c r="H226" s="202" t="str">
        <f t="shared" si="125"/>
        <v>#REF!</v>
      </c>
      <c r="I226" s="202" t="str">
        <f t="shared" si="125"/>
        <v>#REF!</v>
      </c>
    </row>
    <row r="227" ht="14.25" customHeight="1">
      <c r="A227" s="204" t="str">
        <f t="shared" ref="A227:I227" si="126">'2.12.'!A7</f>
        <v>#REF!</v>
      </c>
      <c r="B227" s="92" t="str">
        <f t="shared" si="126"/>
        <v>#REF!</v>
      </c>
      <c r="C227" s="92" t="str">
        <f t="shared" si="126"/>
        <v>#REF!</v>
      </c>
      <c r="D227" s="204" t="str">
        <f t="shared" si="126"/>
        <v>#REF!</v>
      </c>
      <c r="E227" s="204" t="str">
        <f t="shared" si="126"/>
        <v>#REF!</v>
      </c>
      <c r="F227" s="206" t="str">
        <f t="shared" si="126"/>
        <v>#REF!</v>
      </c>
      <c r="G227" s="207" t="str">
        <f t="shared" si="126"/>
        <v>#REF!</v>
      </c>
      <c r="H227" s="143" t="str">
        <f t="shared" si="126"/>
        <v>#REF!</v>
      </c>
      <c r="I227" s="143" t="str">
        <f t="shared" si="126"/>
        <v>#REF!</v>
      </c>
    </row>
    <row r="228" ht="14.25" customHeight="1">
      <c r="A228" s="204" t="str">
        <f t="shared" ref="A228:I228" si="127">'2.12.'!A8</f>
        <v>#REF!</v>
      </c>
      <c r="B228" s="92" t="str">
        <f t="shared" si="127"/>
        <v>#REF!</v>
      </c>
      <c r="C228" s="92" t="str">
        <f t="shared" si="127"/>
        <v>#REF!</v>
      </c>
      <c r="D228" s="204" t="str">
        <f t="shared" si="127"/>
        <v>#REF!</v>
      </c>
      <c r="E228" s="204" t="str">
        <f t="shared" si="127"/>
        <v>#REF!</v>
      </c>
      <c r="F228" s="206" t="str">
        <f t="shared" si="127"/>
        <v>#REF!</v>
      </c>
      <c r="G228" s="207" t="str">
        <f t="shared" si="127"/>
        <v>#REF!</v>
      </c>
      <c r="H228" s="143" t="str">
        <f t="shared" si="127"/>
        <v>#REF!</v>
      </c>
      <c r="I228" s="143" t="str">
        <f t="shared" si="127"/>
        <v>#REF!</v>
      </c>
    </row>
    <row r="229" ht="14.25" customHeight="1">
      <c r="A229" s="204" t="str">
        <f t="shared" ref="A229:I229" si="128">'2.12.'!A9</f>
        <v>#REF!</v>
      </c>
      <c r="B229" s="92" t="str">
        <f t="shared" si="128"/>
        <v>#REF!</v>
      </c>
      <c r="C229" s="92" t="str">
        <f t="shared" si="128"/>
        <v>#REF!</v>
      </c>
      <c r="D229" s="204" t="str">
        <f t="shared" si="128"/>
        <v>#REF!</v>
      </c>
      <c r="E229" s="204" t="str">
        <f t="shared" si="128"/>
        <v>#REF!</v>
      </c>
      <c r="F229" s="206" t="str">
        <f t="shared" si="128"/>
        <v>#REF!</v>
      </c>
      <c r="G229" s="207" t="str">
        <f t="shared" si="128"/>
        <v>#REF!</v>
      </c>
      <c r="H229" s="143" t="str">
        <f t="shared" si="128"/>
        <v>#REF!</v>
      </c>
      <c r="I229" s="143" t="str">
        <f t="shared" si="128"/>
        <v>#REF!</v>
      </c>
    </row>
    <row r="230" ht="14.25" customHeight="1">
      <c r="A230" s="204" t="str">
        <f t="shared" ref="A230:I230" si="129">'2.12.'!A10</f>
        <v>#REF!</v>
      </c>
      <c r="B230" s="92" t="str">
        <f t="shared" si="129"/>
        <v>#REF!</v>
      </c>
      <c r="C230" s="92" t="str">
        <f t="shared" si="129"/>
        <v>#REF!</v>
      </c>
      <c r="D230" s="204" t="str">
        <f t="shared" si="129"/>
        <v>#REF!</v>
      </c>
      <c r="E230" s="204" t="str">
        <f t="shared" si="129"/>
        <v>#REF!</v>
      </c>
      <c r="F230" s="206" t="str">
        <f t="shared" si="129"/>
        <v>#REF!</v>
      </c>
      <c r="G230" s="207" t="str">
        <f t="shared" si="129"/>
        <v>#REF!</v>
      </c>
      <c r="H230" s="143" t="str">
        <f t="shared" si="129"/>
        <v>#REF!</v>
      </c>
      <c r="I230" s="143" t="str">
        <f t="shared" si="129"/>
        <v>#REF!</v>
      </c>
    </row>
    <row r="231" ht="14.25" customHeight="1">
      <c r="A231" s="204" t="str">
        <f t="shared" ref="A231:I231" si="130">'2.12.'!A11</f>
        <v>#REF!</v>
      </c>
      <c r="B231" s="92" t="str">
        <f t="shared" si="130"/>
        <v>#REF!</v>
      </c>
      <c r="C231" s="92" t="str">
        <f t="shared" si="130"/>
        <v>#REF!</v>
      </c>
      <c r="D231" s="204" t="str">
        <f t="shared" si="130"/>
        <v>#REF!</v>
      </c>
      <c r="E231" s="204" t="str">
        <f t="shared" si="130"/>
        <v>#REF!</v>
      </c>
      <c r="F231" s="206" t="str">
        <f t="shared" si="130"/>
        <v>#REF!</v>
      </c>
      <c r="G231" s="207" t="str">
        <f t="shared" si="130"/>
        <v>#REF!</v>
      </c>
      <c r="H231" s="143" t="str">
        <f t="shared" si="130"/>
        <v>#REF!</v>
      </c>
      <c r="I231" s="143" t="str">
        <f t="shared" si="130"/>
        <v>#REF!</v>
      </c>
    </row>
    <row r="232" ht="14.25" customHeight="1">
      <c r="A232" s="204" t="str">
        <f t="shared" ref="A232:I232" si="131">'2.12.'!A12</f>
        <v>#REF!</v>
      </c>
      <c r="B232" s="92" t="str">
        <f t="shared" si="131"/>
        <v>#REF!</v>
      </c>
      <c r="C232" s="92" t="str">
        <f t="shared" si="131"/>
        <v>#REF!</v>
      </c>
      <c r="D232" s="204" t="str">
        <f t="shared" si="131"/>
        <v>#REF!</v>
      </c>
      <c r="E232" s="204" t="str">
        <f t="shared" si="131"/>
        <v>#REF!</v>
      </c>
      <c r="F232" s="206" t="str">
        <f t="shared" si="131"/>
        <v>#REF!</v>
      </c>
      <c r="G232" s="207" t="str">
        <f t="shared" si="131"/>
        <v>#REF!</v>
      </c>
      <c r="H232" s="143" t="str">
        <f t="shared" si="131"/>
        <v>#REF!</v>
      </c>
      <c r="I232" s="143" t="str">
        <f t="shared" si="131"/>
        <v>#REF!</v>
      </c>
    </row>
    <row r="233" ht="14.25" customHeight="1">
      <c r="A233" s="204" t="str">
        <f t="shared" ref="A233:I233" si="132">'2.12.'!A13</f>
        <v>#REF!</v>
      </c>
      <c r="B233" s="92" t="str">
        <f t="shared" si="132"/>
        <v>#REF!</v>
      </c>
      <c r="C233" s="92" t="str">
        <f t="shared" si="132"/>
        <v>#REF!</v>
      </c>
      <c r="D233" s="204" t="str">
        <f t="shared" si="132"/>
        <v>#REF!</v>
      </c>
      <c r="E233" s="204" t="str">
        <f t="shared" si="132"/>
        <v>#REF!</v>
      </c>
      <c r="F233" s="206" t="str">
        <f t="shared" si="132"/>
        <v>#REF!</v>
      </c>
      <c r="G233" s="207" t="str">
        <f t="shared" si="132"/>
        <v>#REF!</v>
      </c>
      <c r="H233" s="143" t="str">
        <f t="shared" si="132"/>
        <v>#REF!</v>
      </c>
      <c r="I233" s="143" t="str">
        <f t="shared" si="132"/>
        <v>#REF!</v>
      </c>
    </row>
    <row r="234" ht="14.25" customHeight="1">
      <c r="A234" s="204" t="str">
        <f t="shared" ref="A234:I234" si="133">'2.12.'!A14</f>
        <v>#REF!</v>
      </c>
      <c r="B234" s="92" t="str">
        <f t="shared" si="133"/>
        <v>#REF!</v>
      </c>
      <c r="C234" s="92" t="str">
        <f t="shared" si="133"/>
        <v>#REF!</v>
      </c>
      <c r="D234" s="204" t="str">
        <f t="shared" si="133"/>
        <v>#REF!</v>
      </c>
      <c r="E234" s="204" t="str">
        <f t="shared" si="133"/>
        <v>#REF!</v>
      </c>
      <c r="F234" s="206" t="str">
        <f t="shared" si="133"/>
        <v>#REF!</v>
      </c>
      <c r="G234" s="207" t="str">
        <f t="shared" si="133"/>
        <v>#REF!</v>
      </c>
      <c r="H234" s="143" t="str">
        <f t="shared" si="133"/>
        <v>#REF!</v>
      </c>
      <c r="I234" s="143" t="str">
        <f t="shared" si="133"/>
        <v>#REF!</v>
      </c>
    </row>
    <row r="235" ht="14.25" customHeight="1">
      <c r="A235" s="204" t="str">
        <f t="shared" ref="A235:I235" si="134">'2.12.'!A15</f>
        <v>#REF!</v>
      </c>
      <c r="B235" s="92" t="str">
        <f t="shared" si="134"/>
        <v>#REF!</v>
      </c>
      <c r="C235" s="92" t="str">
        <f t="shared" si="134"/>
        <v>#REF!</v>
      </c>
      <c r="D235" s="204" t="str">
        <f t="shared" si="134"/>
        <v>#REF!</v>
      </c>
      <c r="E235" s="204" t="str">
        <f t="shared" si="134"/>
        <v>#REF!</v>
      </c>
      <c r="F235" s="206" t="str">
        <f t="shared" si="134"/>
        <v>#REF!</v>
      </c>
      <c r="G235" s="207" t="str">
        <f t="shared" si="134"/>
        <v>#REF!</v>
      </c>
      <c r="H235" s="143" t="str">
        <f t="shared" si="134"/>
        <v>#REF!</v>
      </c>
      <c r="I235" s="143" t="str">
        <f t="shared" si="134"/>
        <v>#REF!</v>
      </c>
    </row>
    <row r="236" ht="14.25" customHeight="1">
      <c r="A236" s="204" t="str">
        <f t="shared" ref="A236:I236" si="135">'2.12.'!A16</f>
        <v>#REF!</v>
      </c>
      <c r="B236" s="92" t="str">
        <f t="shared" si="135"/>
        <v>#REF!</v>
      </c>
      <c r="C236" s="92" t="str">
        <f t="shared" si="135"/>
        <v>#REF!</v>
      </c>
      <c r="D236" s="204" t="str">
        <f t="shared" si="135"/>
        <v>#REF!</v>
      </c>
      <c r="E236" s="204" t="str">
        <f t="shared" si="135"/>
        <v>#REF!</v>
      </c>
      <c r="F236" s="206" t="str">
        <f t="shared" si="135"/>
        <v>#REF!</v>
      </c>
      <c r="G236" s="207" t="str">
        <f t="shared" si="135"/>
        <v>#REF!</v>
      </c>
      <c r="H236" s="143" t="str">
        <f t="shared" si="135"/>
        <v>#REF!</v>
      </c>
      <c r="I236" s="143" t="str">
        <f t="shared" si="135"/>
        <v>#REF!</v>
      </c>
    </row>
    <row r="237" ht="14.25" customHeight="1">
      <c r="A237" s="204" t="str">
        <f t="shared" ref="A237:I237" si="136">'2.12.'!A17</f>
        <v>#REF!</v>
      </c>
      <c r="B237" s="92" t="str">
        <f t="shared" si="136"/>
        <v>#REF!</v>
      </c>
      <c r="C237" s="92" t="str">
        <f t="shared" si="136"/>
        <v>#REF!</v>
      </c>
      <c r="D237" s="204" t="str">
        <f t="shared" si="136"/>
        <v>#REF!</v>
      </c>
      <c r="E237" s="204" t="str">
        <f t="shared" si="136"/>
        <v>#REF!</v>
      </c>
      <c r="F237" s="206" t="str">
        <f t="shared" si="136"/>
        <v>#REF!</v>
      </c>
      <c r="G237" s="207" t="str">
        <f t="shared" si="136"/>
        <v>#REF!</v>
      </c>
      <c r="H237" s="143" t="str">
        <f t="shared" si="136"/>
        <v>#REF!</v>
      </c>
      <c r="I237" s="143" t="str">
        <f t="shared" si="136"/>
        <v>#REF!</v>
      </c>
    </row>
    <row r="238" ht="14.25" customHeight="1">
      <c r="A238" s="204" t="str">
        <f t="shared" ref="A238:I238" si="137">'2.12.'!A18</f>
        <v>#REF!</v>
      </c>
      <c r="B238" s="92" t="str">
        <f t="shared" si="137"/>
        <v>#REF!</v>
      </c>
      <c r="C238" s="92" t="str">
        <f t="shared" si="137"/>
        <v>#REF!</v>
      </c>
      <c r="D238" s="204" t="str">
        <f t="shared" si="137"/>
        <v>#REF!</v>
      </c>
      <c r="E238" s="204" t="str">
        <f t="shared" si="137"/>
        <v>#REF!</v>
      </c>
      <c r="F238" s="206" t="str">
        <f t="shared" si="137"/>
        <v>#REF!</v>
      </c>
      <c r="G238" s="207" t="str">
        <f t="shared" si="137"/>
        <v>#REF!</v>
      </c>
      <c r="H238" s="143" t="str">
        <f t="shared" si="137"/>
        <v>#REF!</v>
      </c>
      <c r="I238" s="143" t="str">
        <f t="shared" si="137"/>
        <v>#REF!</v>
      </c>
    </row>
    <row r="239" ht="14.25" customHeight="1">
      <c r="A239" s="216" t="str">
        <f t="shared" ref="A239:I239" si="138">'2.12.'!A19</f>
        <v>#REF!</v>
      </c>
      <c r="B239" s="216" t="str">
        <f t="shared" si="138"/>
        <v>#REF!</v>
      </c>
      <c r="C239" s="216" t="str">
        <f t="shared" si="138"/>
        <v>#REF!</v>
      </c>
      <c r="D239" s="216" t="str">
        <f t="shared" si="138"/>
        <v>#REF!</v>
      </c>
      <c r="E239" s="216" t="str">
        <f t="shared" si="138"/>
        <v>#REF!</v>
      </c>
      <c r="F239" s="208" t="str">
        <f t="shared" si="138"/>
        <v>#REF!</v>
      </c>
      <c r="G239" s="3" t="str">
        <f t="shared" si="138"/>
        <v>#REF!</v>
      </c>
      <c r="H239" s="143" t="str">
        <f t="shared" si="138"/>
        <v>#REF!</v>
      </c>
      <c r="I239" s="143" t="str">
        <f t="shared" si="138"/>
        <v>#REF!</v>
      </c>
    </row>
    <row r="240" ht="14.25" customHeight="1">
      <c r="A240" s="209" t="str">
        <f t="shared" ref="A240:I240" si="139">'2.12.'!A20</f>
        <v>#REF!</v>
      </c>
      <c r="B240" s="210" t="str">
        <f t="shared" si="139"/>
        <v>#REF!</v>
      </c>
      <c r="C240" s="210" t="str">
        <f t="shared" si="139"/>
        <v>#REF!</v>
      </c>
      <c r="D240" s="210" t="str">
        <f t="shared" si="139"/>
        <v>#REF!</v>
      </c>
      <c r="E240" s="210" t="str">
        <f t="shared" si="139"/>
        <v>#REF!</v>
      </c>
      <c r="F240" s="210" t="str">
        <f t="shared" si="139"/>
        <v>#REF!</v>
      </c>
      <c r="G240" s="211" t="str">
        <f t="shared" si="139"/>
        <v>#REF!</v>
      </c>
      <c r="H240" s="210" t="str">
        <f t="shared" si="139"/>
        <v>#REF!</v>
      </c>
      <c r="I240" s="212" t="str">
        <f t="shared" si="139"/>
        <v>#REF!</v>
      </c>
    </row>
    <row r="241" ht="14.25" customHeight="1">
      <c r="G241" s="3"/>
    </row>
    <row r="242" ht="14.25" customHeight="1">
      <c r="G242" s="3"/>
    </row>
    <row r="243">
      <c r="A243" s="195" t="str">
        <f t="shared" ref="A243:B243" si="140">'2.13.'!A3</f>
        <v>#REF!</v>
      </c>
      <c r="B243" s="196" t="str">
        <f t="shared" si="140"/>
        <v>#REF!</v>
      </c>
      <c r="C243" s="197"/>
      <c r="D243" s="197"/>
      <c r="E243" s="197"/>
      <c r="F243" s="197"/>
      <c r="G243" s="198" t="str">
        <f t="shared" ref="G243:I243" si="141">'2.13.'!G3</f>
        <v>#REF!</v>
      </c>
      <c r="H243" s="199" t="str">
        <f t="shared" si="141"/>
        <v>#REF!</v>
      </c>
      <c r="I243" s="200" t="str">
        <f t="shared" si="141"/>
        <v>#REF!</v>
      </c>
    </row>
    <row r="244" ht="14.25" customHeight="1">
      <c r="A244" s="216" t="str">
        <f t="shared" ref="A244:I244" si="142">'2.13.'!A4</f>
        <v>#REF!</v>
      </c>
      <c r="B244" s="216" t="str">
        <f t="shared" si="142"/>
        <v>#REF!</v>
      </c>
      <c r="C244" s="216" t="str">
        <f t="shared" si="142"/>
        <v>#REF!</v>
      </c>
      <c r="D244" s="216" t="str">
        <f t="shared" si="142"/>
        <v>#REF!</v>
      </c>
      <c r="E244" s="216" t="str">
        <f t="shared" si="142"/>
        <v>#REF!</v>
      </c>
      <c r="F244" s="216" t="str">
        <f t="shared" si="142"/>
        <v>#REF!</v>
      </c>
      <c r="G244" s="3" t="str">
        <f t="shared" si="142"/>
        <v>#REF!</v>
      </c>
      <c r="H244" s="216" t="str">
        <f t="shared" si="142"/>
        <v>#REF!</v>
      </c>
      <c r="I244" s="216" t="str">
        <f t="shared" si="142"/>
        <v>#REF!</v>
      </c>
    </row>
    <row r="245" ht="14.25" customHeight="1">
      <c r="A245" s="201" t="str">
        <f t="shared" ref="A245:I245" si="143">'2.13.'!A5</f>
        <v>#REF!</v>
      </c>
      <c r="B245" s="94" t="str">
        <f t="shared" si="143"/>
        <v>#REF!</v>
      </c>
      <c r="C245" s="94" t="str">
        <f t="shared" si="143"/>
        <v>#REF!</v>
      </c>
      <c r="D245" s="94" t="str">
        <f t="shared" si="143"/>
        <v>#REF!</v>
      </c>
      <c r="E245" s="94" t="str">
        <f t="shared" si="143"/>
        <v>#REF!</v>
      </c>
      <c r="F245" s="94" t="str">
        <f t="shared" si="143"/>
        <v>#REF!</v>
      </c>
      <c r="G245" s="2" t="str">
        <f t="shared" si="143"/>
        <v>#REF!</v>
      </c>
      <c r="H245" s="94" t="str">
        <f t="shared" si="143"/>
        <v>#REF!</v>
      </c>
      <c r="I245" s="94" t="str">
        <f t="shared" si="143"/>
        <v>#REF!</v>
      </c>
    </row>
    <row r="246" ht="14.25" customHeight="1">
      <c r="A246" s="202" t="str">
        <f t="shared" ref="A246:D246" si="144">'2.13.'!A6</f>
        <v>#REF!</v>
      </c>
      <c r="B246" s="202" t="str">
        <f t="shared" si="144"/>
        <v>#REF!</v>
      </c>
      <c r="C246" s="202" t="str">
        <f t="shared" si="144"/>
        <v>#REF!</v>
      </c>
      <c r="D246" s="203" t="str">
        <f t="shared" si="144"/>
        <v>#REF!</v>
      </c>
      <c r="E246" s="197"/>
      <c r="F246" s="202" t="str">
        <f t="shared" ref="F246:I246" si="145">'2.13.'!F6</f>
        <v>#REF!</v>
      </c>
      <c r="G246" s="4" t="str">
        <f t="shared" si="145"/>
        <v>#REF!</v>
      </c>
      <c r="H246" s="202" t="str">
        <f t="shared" si="145"/>
        <v>#REF!</v>
      </c>
      <c r="I246" s="202" t="str">
        <f t="shared" si="145"/>
        <v>#REF!</v>
      </c>
    </row>
    <row r="247" ht="14.25" customHeight="1">
      <c r="A247" s="204" t="str">
        <f t="shared" ref="A247:I247" si="146">'2.13.'!A7</f>
        <v>#REF!</v>
      </c>
      <c r="B247" s="92" t="str">
        <f t="shared" si="146"/>
        <v>#REF!</v>
      </c>
      <c r="C247" s="92" t="str">
        <f t="shared" si="146"/>
        <v>#REF!</v>
      </c>
      <c r="D247" s="205" t="str">
        <f t="shared" si="146"/>
        <v>#REF!</v>
      </c>
      <c r="E247" s="204" t="str">
        <f t="shared" si="146"/>
        <v>#REF!</v>
      </c>
      <c r="F247" s="206" t="str">
        <f t="shared" si="146"/>
        <v>#REF!</v>
      </c>
      <c r="G247" s="207" t="str">
        <f t="shared" si="146"/>
        <v>#REF!</v>
      </c>
      <c r="H247" s="143" t="str">
        <f t="shared" si="146"/>
        <v>#REF!</v>
      </c>
      <c r="I247" s="143" t="str">
        <f t="shared" si="146"/>
        <v>#REF!</v>
      </c>
    </row>
    <row r="248" ht="14.25" customHeight="1">
      <c r="A248" s="204" t="str">
        <f t="shared" ref="A248:I248" si="147">'2.13.'!A8</f>
        <v>#REF!</v>
      </c>
      <c r="B248" s="92" t="str">
        <f t="shared" si="147"/>
        <v>#REF!</v>
      </c>
      <c r="C248" s="92" t="str">
        <f t="shared" si="147"/>
        <v>#REF!</v>
      </c>
      <c r="D248" s="205" t="str">
        <f t="shared" si="147"/>
        <v>#REF!</v>
      </c>
      <c r="E248" s="204" t="str">
        <f t="shared" si="147"/>
        <v>#REF!</v>
      </c>
      <c r="F248" s="206" t="str">
        <f t="shared" si="147"/>
        <v>#REF!</v>
      </c>
      <c r="G248" s="207" t="str">
        <f t="shared" si="147"/>
        <v>#REF!</v>
      </c>
      <c r="H248" s="143" t="str">
        <f t="shared" si="147"/>
        <v>#REF!</v>
      </c>
      <c r="I248" s="143" t="str">
        <f t="shared" si="147"/>
        <v>#REF!</v>
      </c>
    </row>
    <row r="249" ht="14.25" customHeight="1">
      <c r="A249" s="204" t="str">
        <f t="shared" ref="A249:I249" si="148">'2.13.'!A9</f>
        <v>#REF!</v>
      </c>
      <c r="B249" s="92" t="str">
        <f t="shared" si="148"/>
        <v>#REF!</v>
      </c>
      <c r="C249" s="92" t="str">
        <f t="shared" si="148"/>
        <v>#REF!</v>
      </c>
      <c r="D249" s="204" t="str">
        <f t="shared" si="148"/>
        <v>#REF!</v>
      </c>
      <c r="E249" s="204" t="str">
        <f t="shared" si="148"/>
        <v>#REF!</v>
      </c>
      <c r="F249" s="206" t="str">
        <f t="shared" si="148"/>
        <v>#REF!</v>
      </c>
      <c r="G249" s="207" t="str">
        <f t="shared" si="148"/>
        <v>#REF!</v>
      </c>
      <c r="H249" s="143" t="str">
        <f t="shared" si="148"/>
        <v>#REF!</v>
      </c>
      <c r="I249" s="143" t="str">
        <f t="shared" si="148"/>
        <v>#REF!</v>
      </c>
    </row>
    <row r="250" ht="14.25" customHeight="1">
      <c r="A250" s="204" t="str">
        <f t="shared" ref="A250:I250" si="149">'2.13.'!A10</f>
        <v>#REF!</v>
      </c>
      <c r="B250" s="92" t="str">
        <f t="shared" si="149"/>
        <v>#REF!</v>
      </c>
      <c r="C250" s="92" t="str">
        <f t="shared" si="149"/>
        <v>#REF!</v>
      </c>
      <c r="D250" s="204" t="str">
        <f t="shared" si="149"/>
        <v>#REF!</v>
      </c>
      <c r="E250" s="204" t="str">
        <f t="shared" si="149"/>
        <v>#REF!</v>
      </c>
      <c r="F250" s="206" t="str">
        <f t="shared" si="149"/>
        <v>#REF!</v>
      </c>
      <c r="G250" s="207" t="str">
        <f t="shared" si="149"/>
        <v>#REF!</v>
      </c>
      <c r="H250" s="143" t="str">
        <f t="shared" si="149"/>
        <v>#REF!</v>
      </c>
      <c r="I250" s="143" t="str">
        <f t="shared" si="149"/>
        <v>#REF!</v>
      </c>
    </row>
    <row r="251" ht="14.25" customHeight="1">
      <c r="A251" s="204" t="str">
        <f t="shared" ref="A251:I251" si="150">'2.13.'!A11</f>
        <v>#REF!</v>
      </c>
      <c r="B251" s="92" t="str">
        <f t="shared" si="150"/>
        <v>#REF!</v>
      </c>
      <c r="C251" s="92" t="str">
        <f t="shared" si="150"/>
        <v>#REF!</v>
      </c>
      <c r="D251" s="204" t="str">
        <f t="shared" si="150"/>
        <v>#REF!</v>
      </c>
      <c r="E251" s="204" t="str">
        <f t="shared" si="150"/>
        <v>#REF!</v>
      </c>
      <c r="F251" s="206" t="str">
        <f t="shared" si="150"/>
        <v>#REF!</v>
      </c>
      <c r="G251" s="207" t="str">
        <f t="shared" si="150"/>
        <v>#REF!</v>
      </c>
      <c r="H251" s="143" t="str">
        <f t="shared" si="150"/>
        <v>#REF!</v>
      </c>
      <c r="I251" s="143" t="str">
        <f t="shared" si="150"/>
        <v>#REF!</v>
      </c>
    </row>
    <row r="252" ht="14.25" customHeight="1">
      <c r="A252" s="204" t="str">
        <f t="shared" ref="A252:I252" si="151">'2.13.'!A12</f>
        <v>#REF!</v>
      </c>
      <c r="B252" s="92" t="str">
        <f t="shared" si="151"/>
        <v>#REF!</v>
      </c>
      <c r="C252" s="92" t="str">
        <f t="shared" si="151"/>
        <v>#REF!</v>
      </c>
      <c r="D252" s="204" t="str">
        <f t="shared" si="151"/>
        <v>#REF!</v>
      </c>
      <c r="E252" s="204" t="str">
        <f t="shared" si="151"/>
        <v>#REF!</v>
      </c>
      <c r="F252" s="206" t="str">
        <f t="shared" si="151"/>
        <v>#REF!</v>
      </c>
      <c r="G252" s="207" t="str">
        <f t="shared" si="151"/>
        <v>#REF!</v>
      </c>
      <c r="H252" s="143" t="str">
        <f t="shared" si="151"/>
        <v>#REF!</v>
      </c>
      <c r="I252" s="143" t="str">
        <f t="shared" si="151"/>
        <v>#REF!</v>
      </c>
    </row>
    <row r="253" ht="14.25" customHeight="1">
      <c r="A253" s="204" t="str">
        <f t="shared" ref="A253:I253" si="152">'2.13.'!A13</f>
        <v>#REF!</v>
      </c>
      <c r="B253" s="92" t="str">
        <f t="shared" si="152"/>
        <v>#REF!</v>
      </c>
      <c r="C253" s="92" t="str">
        <f t="shared" si="152"/>
        <v>#REF!</v>
      </c>
      <c r="D253" s="204" t="str">
        <f t="shared" si="152"/>
        <v>#REF!</v>
      </c>
      <c r="E253" s="204" t="str">
        <f t="shared" si="152"/>
        <v>#REF!</v>
      </c>
      <c r="F253" s="206" t="str">
        <f t="shared" si="152"/>
        <v>#REF!</v>
      </c>
      <c r="G253" s="207" t="str">
        <f t="shared" si="152"/>
        <v>#REF!</v>
      </c>
      <c r="H253" s="143" t="str">
        <f t="shared" si="152"/>
        <v>#REF!</v>
      </c>
      <c r="I253" s="143" t="str">
        <f t="shared" si="152"/>
        <v>#REF!</v>
      </c>
    </row>
    <row r="254" ht="14.25" customHeight="1">
      <c r="A254" s="204" t="str">
        <f t="shared" ref="A254:I254" si="153">'2.13.'!A14</f>
        <v>#REF!</v>
      </c>
      <c r="B254" s="92" t="str">
        <f t="shared" si="153"/>
        <v>#REF!</v>
      </c>
      <c r="C254" s="92" t="str">
        <f t="shared" si="153"/>
        <v>#REF!</v>
      </c>
      <c r="D254" s="204" t="str">
        <f t="shared" si="153"/>
        <v>#REF!</v>
      </c>
      <c r="E254" s="204" t="str">
        <f t="shared" si="153"/>
        <v>#REF!</v>
      </c>
      <c r="F254" s="206" t="str">
        <f t="shared" si="153"/>
        <v>#REF!</v>
      </c>
      <c r="G254" s="207" t="str">
        <f t="shared" si="153"/>
        <v>#REF!</v>
      </c>
      <c r="H254" s="143" t="str">
        <f t="shared" si="153"/>
        <v>#REF!</v>
      </c>
      <c r="I254" s="143" t="str">
        <f t="shared" si="153"/>
        <v>#REF!</v>
      </c>
    </row>
    <row r="255" ht="14.25" customHeight="1">
      <c r="A255" s="204" t="str">
        <f t="shared" ref="A255:I255" si="154">'2.13.'!A15</f>
        <v>#REF!</v>
      </c>
      <c r="B255" s="92" t="str">
        <f t="shared" si="154"/>
        <v>#REF!</v>
      </c>
      <c r="C255" s="92" t="str">
        <f t="shared" si="154"/>
        <v>#REF!</v>
      </c>
      <c r="D255" s="204" t="str">
        <f t="shared" si="154"/>
        <v>#REF!</v>
      </c>
      <c r="E255" s="204" t="str">
        <f t="shared" si="154"/>
        <v>#REF!</v>
      </c>
      <c r="F255" s="206" t="str">
        <f t="shared" si="154"/>
        <v>#REF!</v>
      </c>
      <c r="G255" s="207" t="str">
        <f t="shared" si="154"/>
        <v>#REF!</v>
      </c>
      <c r="H255" s="143" t="str">
        <f t="shared" si="154"/>
        <v>#REF!</v>
      </c>
      <c r="I255" s="143" t="str">
        <f t="shared" si="154"/>
        <v>#REF!</v>
      </c>
    </row>
    <row r="256" ht="14.25" customHeight="1">
      <c r="A256" s="204" t="str">
        <f t="shared" ref="A256:I256" si="155">'2.13.'!A16</f>
        <v>#REF!</v>
      </c>
      <c r="B256" s="92" t="str">
        <f t="shared" si="155"/>
        <v>#REF!</v>
      </c>
      <c r="C256" s="92" t="str">
        <f t="shared" si="155"/>
        <v>#REF!</v>
      </c>
      <c r="D256" s="204" t="str">
        <f t="shared" si="155"/>
        <v>#REF!</v>
      </c>
      <c r="E256" s="204" t="str">
        <f t="shared" si="155"/>
        <v>#REF!</v>
      </c>
      <c r="F256" s="204" t="str">
        <f t="shared" si="155"/>
        <v>#REF!</v>
      </c>
      <c r="G256" s="207" t="str">
        <f t="shared" si="155"/>
        <v>#REF!</v>
      </c>
      <c r="H256" s="143" t="str">
        <f t="shared" si="155"/>
        <v>#REF!</v>
      </c>
      <c r="I256" s="143" t="str">
        <f t="shared" si="155"/>
        <v>#REF!</v>
      </c>
    </row>
    <row r="257" ht="14.25" customHeight="1">
      <c r="A257" s="204" t="str">
        <f t="shared" ref="A257:I257" si="156">'2.13.'!A17</f>
        <v>#REF!</v>
      </c>
      <c r="B257" s="92" t="str">
        <f t="shared" si="156"/>
        <v>#REF!</v>
      </c>
      <c r="C257" s="92" t="str">
        <f t="shared" si="156"/>
        <v>#REF!</v>
      </c>
      <c r="D257" s="204" t="str">
        <f t="shared" si="156"/>
        <v>#REF!</v>
      </c>
      <c r="E257" s="204" t="str">
        <f t="shared" si="156"/>
        <v>#REF!</v>
      </c>
      <c r="F257" s="206" t="str">
        <f t="shared" si="156"/>
        <v>#REF!</v>
      </c>
      <c r="G257" s="207" t="str">
        <f t="shared" si="156"/>
        <v>#REF!</v>
      </c>
      <c r="H257" s="143" t="str">
        <f t="shared" si="156"/>
        <v>#REF!</v>
      </c>
      <c r="I257" s="143" t="str">
        <f t="shared" si="156"/>
        <v>#REF!</v>
      </c>
    </row>
    <row r="258" ht="14.25" customHeight="1">
      <c r="A258" s="204" t="str">
        <f t="shared" ref="A258:I258" si="157">'2.13.'!A18</f>
        <v>#REF!</v>
      </c>
      <c r="B258" s="92" t="str">
        <f t="shared" si="157"/>
        <v>#REF!</v>
      </c>
      <c r="C258" s="92" t="str">
        <f t="shared" si="157"/>
        <v>#REF!</v>
      </c>
      <c r="D258" s="204" t="str">
        <f t="shared" si="157"/>
        <v>#REF!</v>
      </c>
      <c r="E258" s="204" t="str">
        <f t="shared" si="157"/>
        <v>#REF!</v>
      </c>
      <c r="F258" s="206" t="str">
        <f t="shared" si="157"/>
        <v>#REF!</v>
      </c>
      <c r="G258" s="207" t="str">
        <f t="shared" si="157"/>
        <v>#REF!</v>
      </c>
      <c r="H258" s="143" t="str">
        <f t="shared" si="157"/>
        <v>#REF!</v>
      </c>
      <c r="I258" s="143" t="str">
        <f t="shared" si="157"/>
        <v>#REF!</v>
      </c>
    </row>
    <row r="259" ht="14.25" customHeight="1">
      <c r="A259" s="216" t="str">
        <f t="shared" ref="A259:I259" si="158">'2.13.'!A19</f>
        <v>#REF!</v>
      </c>
      <c r="B259" s="216" t="str">
        <f t="shared" si="158"/>
        <v>#REF!</v>
      </c>
      <c r="C259" s="216" t="str">
        <f t="shared" si="158"/>
        <v>#REF!</v>
      </c>
      <c r="D259" s="216" t="str">
        <f t="shared" si="158"/>
        <v>#REF!</v>
      </c>
      <c r="E259" s="216" t="str">
        <f t="shared" si="158"/>
        <v>#REF!</v>
      </c>
      <c r="F259" s="208" t="str">
        <f t="shared" si="158"/>
        <v>#REF!</v>
      </c>
      <c r="G259" s="3" t="str">
        <f t="shared" si="158"/>
        <v>#REF!</v>
      </c>
      <c r="H259" s="143" t="str">
        <f t="shared" si="158"/>
        <v>#REF!</v>
      </c>
      <c r="I259" s="143" t="str">
        <f t="shared" si="158"/>
        <v>#REF!</v>
      </c>
    </row>
    <row r="260" ht="14.25" customHeight="1">
      <c r="A260" s="209" t="str">
        <f t="shared" ref="A260:I260" si="159">'2.13.'!A20</f>
        <v>#REF!</v>
      </c>
      <c r="B260" s="210" t="str">
        <f t="shared" si="159"/>
        <v>#REF!</v>
      </c>
      <c r="C260" s="210" t="str">
        <f t="shared" si="159"/>
        <v>#REF!</v>
      </c>
      <c r="D260" s="210" t="str">
        <f t="shared" si="159"/>
        <v>#REF!</v>
      </c>
      <c r="E260" s="210" t="str">
        <f t="shared" si="159"/>
        <v>#REF!</v>
      </c>
      <c r="F260" s="210" t="str">
        <f t="shared" si="159"/>
        <v>#REF!</v>
      </c>
      <c r="G260" s="211" t="str">
        <f t="shared" si="159"/>
        <v>#REF!</v>
      </c>
      <c r="H260" s="210" t="str">
        <f t="shared" si="159"/>
        <v>#REF!</v>
      </c>
      <c r="I260" s="212" t="str">
        <f t="shared" si="159"/>
        <v>#REF!</v>
      </c>
    </row>
    <row r="261" ht="14.25" customHeight="1">
      <c r="G261" s="3"/>
    </row>
    <row r="262" ht="14.25" customHeight="1">
      <c r="G262" s="3"/>
    </row>
    <row r="263">
      <c r="A263" s="195" t="str">
        <f t="shared" ref="A263:B263" si="160">'2.14.'!A3</f>
        <v>#REF!</v>
      </c>
      <c r="B263" s="196" t="str">
        <f t="shared" si="160"/>
        <v>#REF!</v>
      </c>
      <c r="C263" s="197"/>
      <c r="D263" s="197"/>
      <c r="E263" s="197"/>
      <c r="F263" s="197"/>
      <c r="G263" s="198" t="str">
        <f t="shared" ref="G263:I263" si="161">'2.14.'!G3</f>
        <v>#REF!</v>
      </c>
      <c r="H263" s="199" t="str">
        <f t="shared" si="161"/>
        <v>#REF!</v>
      </c>
      <c r="I263" s="200" t="str">
        <f t="shared" si="161"/>
        <v>#REF!</v>
      </c>
    </row>
    <row r="264" ht="14.25" customHeight="1">
      <c r="A264" s="216" t="str">
        <f t="shared" ref="A264:I264" si="162">'2.14.'!A4</f>
        <v>#REF!</v>
      </c>
      <c r="B264" s="216" t="str">
        <f t="shared" si="162"/>
        <v>#REF!</v>
      </c>
      <c r="C264" s="216" t="str">
        <f t="shared" si="162"/>
        <v>#REF!</v>
      </c>
      <c r="D264" s="216" t="str">
        <f t="shared" si="162"/>
        <v>#REF!</v>
      </c>
      <c r="E264" s="216" t="str">
        <f t="shared" si="162"/>
        <v>#REF!</v>
      </c>
      <c r="F264" s="216" t="str">
        <f t="shared" si="162"/>
        <v>#REF!</v>
      </c>
      <c r="G264" s="3" t="str">
        <f t="shared" si="162"/>
        <v>#REF!</v>
      </c>
      <c r="H264" s="216" t="str">
        <f t="shared" si="162"/>
        <v>#REF!</v>
      </c>
      <c r="I264" s="216" t="str">
        <f t="shared" si="162"/>
        <v>#REF!</v>
      </c>
    </row>
    <row r="265" ht="14.25" customHeight="1">
      <c r="A265" s="201" t="str">
        <f t="shared" ref="A265:I265" si="163">'2.14.'!A5</f>
        <v>#REF!</v>
      </c>
      <c r="B265" s="94" t="str">
        <f t="shared" si="163"/>
        <v>#REF!</v>
      </c>
      <c r="C265" s="94" t="str">
        <f t="shared" si="163"/>
        <v>#REF!</v>
      </c>
      <c r="D265" s="94" t="str">
        <f t="shared" si="163"/>
        <v>#REF!</v>
      </c>
      <c r="E265" s="94" t="str">
        <f t="shared" si="163"/>
        <v>#REF!</v>
      </c>
      <c r="F265" s="94" t="str">
        <f t="shared" si="163"/>
        <v>#REF!</v>
      </c>
      <c r="G265" s="2" t="str">
        <f t="shared" si="163"/>
        <v>#REF!</v>
      </c>
      <c r="H265" s="94" t="str">
        <f t="shared" si="163"/>
        <v>#REF!</v>
      </c>
      <c r="I265" s="94" t="str">
        <f t="shared" si="163"/>
        <v>#REF!</v>
      </c>
    </row>
    <row r="266" ht="14.25" customHeight="1">
      <c r="A266" s="202" t="str">
        <f t="shared" ref="A266:D266" si="164">'2.14.'!A6</f>
        <v>#REF!</v>
      </c>
      <c r="B266" s="202" t="str">
        <f t="shared" si="164"/>
        <v>#REF!</v>
      </c>
      <c r="C266" s="202" t="str">
        <f t="shared" si="164"/>
        <v>#REF!</v>
      </c>
      <c r="D266" s="203" t="str">
        <f t="shared" si="164"/>
        <v>#REF!</v>
      </c>
      <c r="E266" s="197"/>
      <c r="F266" s="202" t="str">
        <f t="shared" ref="F266:I266" si="165">'2.14.'!F6</f>
        <v>#REF!</v>
      </c>
      <c r="G266" s="4" t="str">
        <f t="shared" si="165"/>
        <v>#REF!</v>
      </c>
      <c r="H266" s="202" t="str">
        <f t="shared" si="165"/>
        <v>#REF!</v>
      </c>
      <c r="I266" s="202" t="str">
        <f t="shared" si="165"/>
        <v>#REF!</v>
      </c>
    </row>
    <row r="267" ht="14.25" customHeight="1">
      <c r="A267" s="204" t="str">
        <f t="shared" ref="A267:I267" si="166">'2.14.'!A7</f>
        <v>#REF!</v>
      </c>
      <c r="B267" s="92" t="str">
        <f t="shared" si="166"/>
        <v>#REF!</v>
      </c>
      <c r="C267" s="92" t="str">
        <f t="shared" si="166"/>
        <v>#REF!</v>
      </c>
      <c r="D267" s="205" t="str">
        <f t="shared" si="166"/>
        <v>#REF!</v>
      </c>
      <c r="E267" s="204" t="str">
        <f t="shared" si="166"/>
        <v>#REF!</v>
      </c>
      <c r="F267" s="206" t="str">
        <f t="shared" si="166"/>
        <v>#REF!</v>
      </c>
      <c r="G267" s="207" t="str">
        <f t="shared" si="166"/>
        <v>#REF!</v>
      </c>
      <c r="H267" s="143" t="str">
        <f t="shared" si="166"/>
        <v>#REF!</v>
      </c>
      <c r="I267" s="143" t="str">
        <f t="shared" si="166"/>
        <v>#REF!</v>
      </c>
    </row>
    <row r="268" ht="14.25" customHeight="1">
      <c r="A268" s="204" t="str">
        <f t="shared" ref="A268:I268" si="167">'2.14.'!A8</f>
        <v>#REF!</v>
      </c>
      <c r="B268" s="92" t="str">
        <f t="shared" si="167"/>
        <v>#REF!</v>
      </c>
      <c r="C268" s="92" t="str">
        <f t="shared" si="167"/>
        <v>#REF!</v>
      </c>
      <c r="D268" s="205" t="str">
        <f t="shared" si="167"/>
        <v>#REF!</v>
      </c>
      <c r="E268" s="204" t="str">
        <f t="shared" si="167"/>
        <v>#REF!</v>
      </c>
      <c r="F268" s="206" t="str">
        <f t="shared" si="167"/>
        <v>#REF!</v>
      </c>
      <c r="G268" s="207" t="str">
        <f t="shared" si="167"/>
        <v>#REF!</v>
      </c>
      <c r="H268" s="143" t="str">
        <f t="shared" si="167"/>
        <v>#REF!</v>
      </c>
      <c r="I268" s="143" t="str">
        <f t="shared" si="167"/>
        <v>#REF!</v>
      </c>
    </row>
    <row r="269" ht="14.25" customHeight="1">
      <c r="A269" s="204" t="str">
        <f t="shared" ref="A269:I269" si="168">'2.14.'!A9</f>
        <v>#REF!</v>
      </c>
      <c r="B269" s="92" t="str">
        <f t="shared" si="168"/>
        <v>#REF!</v>
      </c>
      <c r="C269" s="92" t="str">
        <f t="shared" si="168"/>
        <v>#REF!</v>
      </c>
      <c r="D269" s="204" t="str">
        <f t="shared" si="168"/>
        <v>#REF!</v>
      </c>
      <c r="E269" s="204" t="str">
        <f t="shared" si="168"/>
        <v>#REF!</v>
      </c>
      <c r="F269" s="206" t="str">
        <f t="shared" si="168"/>
        <v>#REF!</v>
      </c>
      <c r="G269" s="207" t="str">
        <f t="shared" si="168"/>
        <v>#REF!</v>
      </c>
      <c r="H269" s="143" t="str">
        <f t="shared" si="168"/>
        <v>#REF!</v>
      </c>
      <c r="I269" s="143" t="str">
        <f t="shared" si="168"/>
        <v>#REF!</v>
      </c>
    </row>
    <row r="270" ht="14.25" customHeight="1">
      <c r="A270" s="204" t="str">
        <f t="shared" ref="A270:I270" si="169">'2.14.'!A10</f>
        <v>#REF!</v>
      </c>
      <c r="B270" s="92" t="str">
        <f t="shared" si="169"/>
        <v>#REF!</v>
      </c>
      <c r="C270" s="92" t="str">
        <f t="shared" si="169"/>
        <v>#REF!</v>
      </c>
      <c r="D270" s="204" t="str">
        <f t="shared" si="169"/>
        <v>#REF!</v>
      </c>
      <c r="E270" s="204" t="str">
        <f t="shared" si="169"/>
        <v>#REF!</v>
      </c>
      <c r="F270" s="206" t="str">
        <f t="shared" si="169"/>
        <v>#REF!</v>
      </c>
      <c r="G270" s="207" t="str">
        <f t="shared" si="169"/>
        <v>#REF!</v>
      </c>
      <c r="H270" s="143" t="str">
        <f t="shared" si="169"/>
        <v>#REF!</v>
      </c>
      <c r="I270" s="143" t="str">
        <f t="shared" si="169"/>
        <v>#REF!</v>
      </c>
    </row>
    <row r="271" ht="14.25" customHeight="1">
      <c r="A271" s="204" t="str">
        <f t="shared" ref="A271:I271" si="170">'2.14.'!A11</f>
        <v>#REF!</v>
      </c>
      <c r="B271" s="92" t="str">
        <f t="shared" si="170"/>
        <v>#REF!</v>
      </c>
      <c r="C271" s="92" t="str">
        <f t="shared" si="170"/>
        <v>#REF!</v>
      </c>
      <c r="D271" s="204" t="str">
        <f t="shared" si="170"/>
        <v>#REF!</v>
      </c>
      <c r="E271" s="204" t="str">
        <f t="shared" si="170"/>
        <v>#REF!</v>
      </c>
      <c r="F271" s="206" t="str">
        <f t="shared" si="170"/>
        <v>#REF!</v>
      </c>
      <c r="G271" s="207" t="str">
        <f t="shared" si="170"/>
        <v>#REF!</v>
      </c>
      <c r="H271" s="143" t="str">
        <f t="shared" si="170"/>
        <v>#REF!</v>
      </c>
      <c r="I271" s="143" t="str">
        <f t="shared" si="170"/>
        <v>#REF!</v>
      </c>
    </row>
    <row r="272" ht="14.25" customHeight="1">
      <c r="A272" s="204" t="str">
        <f t="shared" ref="A272:I272" si="171">'2.14.'!A12</f>
        <v>#REF!</v>
      </c>
      <c r="B272" s="92" t="str">
        <f t="shared" si="171"/>
        <v>#REF!</v>
      </c>
      <c r="C272" s="92" t="str">
        <f t="shared" si="171"/>
        <v>#REF!</v>
      </c>
      <c r="D272" s="204" t="str">
        <f t="shared" si="171"/>
        <v>#REF!</v>
      </c>
      <c r="E272" s="204" t="str">
        <f t="shared" si="171"/>
        <v>#REF!</v>
      </c>
      <c r="F272" s="206" t="str">
        <f t="shared" si="171"/>
        <v>#REF!</v>
      </c>
      <c r="G272" s="207" t="str">
        <f t="shared" si="171"/>
        <v>#REF!</v>
      </c>
      <c r="H272" s="143" t="str">
        <f t="shared" si="171"/>
        <v>#REF!</v>
      </c>
      <c r="I272" s="143" t="str">
        <f t="shared" si="171"/>
        <v>#REF!</v>
      </c>
    </row>
    <row r="273" ht="14.25" customHeight="1">
      <c r="A273" s="204" t="str">
        <f t="shared" ref="A273:I273" si="172">'2.14.'!A13</f>
        <v>#REF!</v>
      </c>
      <c r="B273" s="92" t="str">
        <f t="shared" si="172"/>
        <v>#REF!</v>
      </c>
      <c r="C273" s="92" t="str">
        <f t="shared" si="172"/>
        <v>#REF!</v>
      </c>
      <c r="D273" s="204" t="str">
        <f t="shared" si="172"/>
        <v>#REF!</v>
      </c>
      <c r="E273" s="204" t="str">
        <f t="shared" si="172"/>
        <v>#REF!</v>
      </c>
      <c r="F273" s="206" t="str">
        <f t="shared" si="172"/>
        <v>#REF!</v>
      </c>
      <c r="G273" s="207" t="str">
        <f t="shared" si="172"/>
        <v>#REF!</v>
      </c>
      <c r="H273" s="143" t="str">
        <f t="shared" si="172"/>
        <v>#REF!</v>
      </c>
      <c r="I273" s="143" t="str">
        <f t="shared" si="172"/>
        <v>#REF!</v>
      </c>
    </row>
    <row r="274" ht="14.25" customHeight="1">
      <c r="A274" s="204" t="str">
        <f t="shared" ref="A274:I274" si="173">'2.14.'!A14</f>
        <v>#REF!</v>
      </c>
      <c r="B274" s="92" t="str">
        <f t="shared" si="173"/>
        <v>#REF!</v>
      </c>
      <c r="C274" s="92" t="str">
        <f t="shared" si="173"/>
        <v>#REF!</v>
      </c>
      <c r="D274" s="204" t="str">
        <f t="shared" si="173"/>
        <v>#REF!</v>
      </c>
      <c r="E274" s="204" t="str">
        <f t="shared" si="173"/>
        <v>#REF!</v>
      </c>
      <c r="F274" s="206" t="str">
        <f t="shared" si="173"/>
        <v>#REF!</v>
      </c>
      <c r="G274" s="207" t="str">
        <f t="shared" si="173"/>
        <v>#REF!</v>
      </c>
      <c r="H274" s="143" t="str">
        <f t="shared" si="173"/>
        <v>#REF!</v>
      </c>
      <c r="I274" s="143" t="str">
        <f t="shared" si="173"/>
        <v>#REF!</v>
      </c>
    </row>
    <row r="275" ht="14.25" customHeight="1">
      <c r="A275" s="204" t="str">
        <f t="shared" ref="A275:I275" si="174">'2.14.'!A15</f>
        <v>#REF!</v>
      </c>
      <c r="B275" s="92" t="str">
        <f t="shared" si="174"/>
        <v>#REF!</v>
      </c>
      <c r="C275" s="92" t="str">
        <f t="shared" si="174"/>
        <v>#REF!</v>
      </c>
      <c r="D275" s="204" t="str">
        <f t="shared" si="174"/>
        <v>#REF!</v>
      </c>
      <c r="E275" s="204" t="str">
        <f t="shared" si="174"/>
        <v>#REF!</v>
      </c>
      <c r="F275" s="206" t="str">
        <f t="shared" si="174"/>
        <v>#REF!</v>
      </c>
      <c r="G275" s="207" t="str">
        <f t="shared" si="174"/>
        <v>#REF!</v>
      </c>
      <c r="H275" s="143" t="str">
        <f t="shared" si="174"/>
        <v>#REF!</v>
      </c>
      <c r="I275" s="143" t="str">
        <f t="shared" si="174"/>
        <v>#REF!</v>
      </c>
    </row>
    <row r="276" ht="14.25" customHeight="1">
      <c r="A276" s="204" t="str">
        <f t="shared" ref="A276:I276" si="175">'2.14.'!A16</f>
        <v>#REF!</v>
      </c>
      <c r="B276" s="92" t="str">
        <f t="shared" si="175"/>
        <v>#REF!</v>
      </c>
      <c r="C276" s="92" t="str">
        <f t="shared" si="175"/>
        <v>#REF!</v>
      </c>
      <c r="D276" s="204" t="str">
        <f t="shared" si="175"/>
        <v>#REF!</v>
      </c>
      <c r="E276" s="204" t="str">
        <f t="shared" si="175"/>
        <v>#REF!</v>
      </c>
      <c r="F276" s="206" t="str">
        <f t="shared" si="175"/>
        <v>#REF!</v>
      </c>
      <c r="G276" s="207" t="str">
        <f t="shared" si="175"/>
        <v>#REF!</v>
      </c>
      <c r="H276" s="143" t="str">
        <f t="shared" si="175"/>
        <v>#REF!</v>
      </c>
      <c r="I276" s="143" t="str">
        <f t="shared" si="175"/>
        <v>#REF!</v>
      </c>
    </row>
    <row r="277" ht="14.25" customHeight="1">
      <c r="A277" s="204" t="str">
        <f t="shared" ref="A277:I277" si="176">'2.14.'!A17</f>
        <v>#REF!</v>
      </c>
      <c r="B277" s="92" t="str">
        <f t="shared" si="176"/>
        <v>#REF!</v>
      </c>
      <c r="C277" s="92" t="str">
        <f t="shared" si="176"/>
        <v>#REF!</v>
      </c>
      <c r="D277" s="204" t="str">
        <f t="shared" si="176"/>
        <v>#REF!</v>
      </c>
      <c r="E277" s="204" t="str">
        <f t="shared" si="176"/>
        <v>#REF!</v>
      </c>
      <c r="F277" s="206" t="str">
        <f t="shared" si="176"/>
        <v>#REF!</v>
      </c>
      <c r="G277" s="207" t="str">
        <f t="shared" si="176"/>
        <v>#REF!</v>
      </c>
      <c r="H277" s="143" t="str">
        <f t="shared" si="176"/>
        <v>#REF!</v>
      </c>
      <c r="I277" s="143" t="str">
        <f t="shared" si="176"/>
        <v>#REF!</v>
      </c>
    </row>
    <row r="278" ht="14.25" customHeight="1">
      <c r="A278" s="204" t="str">
        <f t="shared" ref="A278:I278" si="177">'2.14.'!A18</f>
        <v>#REF!</v>
      </c>
      <c r="B278" s="92" t="str">
        <f t="shared" si="177"/>
        <v>#REF!</v>
      </c>
      <c r="C278" s="92" t="str">
        <f t="shared" si="177"/>
        <v>#REF!</v>
      </c>
      <c r="D278" s="204" t="str">
        <f t="shared" si="177"/>
        <v>#REF!</v>
      </c>
      <c r="E278" s="204" t="str">
        <f t="shared" si="177"/>
        <v>#REF!</v>
      </c>
      <c r="F278" s="206" t="str">
        <f t="shared" si="177"/>
        <v>#REF!</v>
      </c>
      <c r="G278" s="207" t="str">
        <f t="shared" si="177"/>
        <v>#REF!</v>
      </c>
      <c r="H278" s="143" t="str">
        <f t="shared" si="177"/>
        <v>#REF!</v>
      </c>
      <c r="I278" s="143" t="str">
        <f t="shared" si="177"/>
        <v>#REF!</v>
      </c>
    </row>
    <row r="279" ht="15.75" customHeight="1">
      <c r="A279" s="216" t="str">
        <f t="shared" ref="A279:I279" si="178">'2.14.'!A19</f>
        <v>#REF!</v>
      </c>
      <c r="B279" s="216" t="str">
        <f t="shared" si="178"/>
        <v>#REF!</v>
      </c>
      <c r="C279" s="216" t="str">
        <f t="shared" si="178"/>
        <v>#REF!</v>
      </c>
      <c r="D279" s="216" t="str">
        <f t="shared" si="178"/>
        <v>#REF!</v>
      </c>
      <c r="E279" s="216" t="str">
        <f t="shared" si="178"/>
        <v>#REF!</v>
      </c>
      <c r="F279" s="208" t="str">
        <f t="shared" si="178"/>
        <v>#REF!</v>
      </c>
      <c r="G279" s="3" t="str">
        <f t="shared" si="178"/>
        <v>#REF!</v>
      </c>
      <c r="H279" s="143" t="str">
        <f t="shared" si="178"/>
        <v>#REF!</v>
      </c>
      <c r="I279" s="143" t="str">
        <f t="shared" si="178"/>
        <v>#REF!</v>
      </c>
    </row>
    <row r="280" ht="15.75" customHeight="1">
      <c r="A280" s="209" t="str">
        <f t="shared" ref="A280:I280" si="179">'2.14.'!A20</f>
        <v>#REF!</v>
      </c>
      <c r="B280" s="210" t="str">
        <f t="shared" si="179"/>
        <v>#REF!</v>
      </c>
      <c r="C280" s="210" t="str">
        <f t="shared" si="179"/>
        <v>#REF!</v>
      </c>
      <c r="D280" s="210" t="str">
        <f t="shared" si="179"/>
        <v>#REF!</v>
      </c>
      <c r="E280" s="210" t="str">
        <f t="shared" si="179"/>
        <v>#REF!</v>
      </c>
      <c r="F280" s="210" t="str">
        <f t="shared" si="179"/>
        <v>#REF!</v>
      </c>
      <c r="G280" s="211" t="str">
        <f t="shared" si="179"/>
        <v>#REF!</v>
      </c>
      <c r="H280" s="210" t="str">
        <f t="shared" si="179"/>
        <v>#REF!</v>
      </c>
      <c r="I280" s="212" t="str">
        <f t="shared" si="179"/>
        <v>#REF!</v>
      </c>
    </row>
    <row r="281" ht="15.75" customHeight="1">
      <c r="G281" s="3"/>
    </row>
    <row r="282" ht="15.75" customHeight="1">
      <c r="G282" s="3"/>
    </row>
    <row r="283">
      <c r="A283" s="195" t="str">
        <f t="shared" ref="A283:B283" si="180">'2.15.'!A3</f>
        <v>#REF!</v>
      </c>
      <c r="B283" s="196" t="str">
        <f t="shared" si="180"/>
        <v>#REF!</v>
      </c>
      <c r="C283" s="197"/>
      <c r="D283" s="197"/>
      <c r="E283" s="197"/>
      <c r="F283" s="197"/>
      <c r="G283" s="198" t="str">
        <f t="shared" ref="G283:I283" si="181">'2.15.'!G3</f>
        <v>#REF!</v>
      </c>
      <c r="H283" s="199" t="str">
        <f t="shared" si="181"/>
        <v>#REF!</v>
      </c>
      <c r="I283" s="200" t="str">
        <f t="shared" si="181"/>
        <v>#REF!</v>
      </c>
    </row>
    <row r="284" ht="15.75" customHeight="1">
      <c r="A284" s="216" t="str">
        <f t="shared" ref="A284:I284" si="182">'2.15.'!A4</f>
        <v>#REF!</v>
      </c>
      <c r="B284" s="216" t="str">
        <f t="shared" si="182"/>
        <v>#REF!</v>
      </c>
      <c r="C284" s="216" t="str">
        <f t="shared" si="182"/>
        <v>#REF!</v>
      </c>
      <c r="D284" s="216" t="str">
        <f t="shared" si="182"/>
        <v>#REF!</v>
      </c>
      <c r="E284" s="216" t="str">
        <f t="shared" si="182"/>
        <v>#REF!</v>
      </c>
      <c r="F284" s="216" t="str">
        <f t="shared" si="182"/>
        <v>#REF!</v>
      </c>
      <c r="G284" s="3" t="str">
        <f t="shared" si="182"/>
        <v>#REF!</v>
      </c>
      <c r="H284" s="216" t="str">
        <f t="shared" si="182"/>
        <v>#REF!</v>
      </c>
      <c r="I284" s="216" t="str">
        <f t="shared" si="182"/>
        <v>#REF!</v>
      </c>
    </row>
    <row r="285" ht="15.75" customHeight="1">
      <c r="A285" s="201" t="str">
        <f t="shared" ref="A285:I285" si="183">'2.15.'!A5</f>
        <v>#REF!</v>
      </c>
      <c r="B285" s="94" t="str">
        <f t="shared" si="183"/>
        <v>#REF!</v>
      </c>
      <c r="C285" s="94" t="str">
        <f t="shared" si="183"/>
        <v>#REF!</v>
      </c>
      <c r="D285" s="94" t="str">
        <f t="shared" si="183"/>
        <v>#REF!</v>
      </c>
      <c r="E285" s="94" t="str">
        <f t="shared" si="183"/>
        <v>#REF!</v>
      </c>
      <c r="F285" s="94" t="str">
        <f t="shared" si="183"/>
        <v>#REF!</v>
      </c>
      <c r="G285" s="2" t="str">
        <f t="shared" si="183"/>
        <v>#REF!</v>
      </c>
      <c r="H285" s="94" t="str">
        <f t="shared" si="183"/>
        <v>#REF!</v>
      </c>
      <c r="I285" s="94" t="str">
        <f t="shared" si="183"/>
        <v>#REF!</v>
      </c>
    </row>
    <row r="286" ht="15.75" customHeight="1">
      <c r="A286" s="202" t="str">
        <f t="shared" ref="A286:D286" si="184">'2.15.'!A6</f>
        <v>#REF!</v>
      </c>
      <c r="B286" s="202" t="str">
        <f t="shared" si="184"/>
        <v>#REF!</v>
      </c>
      <c r="C286" s="202" t="str">
        <f t="shared" si="184"/>
        <v>#REF!</v>
      </c>
      <c r="D286" s="203" t="str">
        <f t="shared" si="184"/>
        <v>#REF!</v>
      </c>
      <c r="E286" s="197"/>
      <c r="F286" s="202" t="str">
        <f t="shared" ref="F286:I286" si="185">'2.15.'!F6</f>
        <v>#REF!</v>
      </c>
      <c r="G286" s="4" t="str">
        <f t="shared" si="185"/>
        <v>#REF!</v>
      </c>
      <c r="H286" s="202" t="str">
        <f t="shared" si="185"/>
        <v>#REF!</v>
      </c>
      <c r="I286" s="202" t="str">
        <f t="shared" si="185"/>
        <v>#REF!</v>
      </c>
    </row>
    <row r="287" ht="15.75" customHeight="1">
      <c r="A287" s="204" t="str">
        <f t="shared" ref="A287:I287" si="186">'2.15.'!A7</f>
        <v>#REF!</v>
      </c>
      <c r="B287" s="92" t="str">
        <f t="shared" si="186"/>
        <v>#REF!</v>
      </c>
      <c r="C287" s="92" t="str">
        <f t="shared" si="186"/>
        <v>#REF!</v>
      </c>
      <c r="D287" s="205" t="str">
        <f t="shared" si="186"/>
        <v>#REF!</v>
      </c>
      <c r="E287" s="204" t="str">
        <f t="shared" si="186"/>
        <v>#REF!</v>
      </c>
      <c r="F287" s="206" t="str">
        <f t="shared" si="186"/>
        <v>#REF!</v>
      </c>
      <c r="G287" s="207" t="str">
        <f t="shared" si="186"/>
        <v>#REF!</v>
      </c>
      <c r="H287" s="143" t="str">
        <f t="shared" si="186"/>
        <v>#REF!</v>
      </c>
      <c r="I287" s="143" t="str">
        <f t="shared" si="186"/>
        <v>#REF!</v>
      </c>
    </row>
    <row r="288" ht="15.75" customHeight="1">
      <c r="A288" s="204" t="str">
        <f t="shared" ref="A288:I288" si="187">'2.15.'!A8</f>
        <v>#REF!</v>
      </c>
      <c r="B288" s="92" t="str">
        <f t="shared" si="187"/>
        <v>#REF!</v>
      </c>
      <c r="C288" s="92" t="str">
        <f t="shared" si="187"/>
        <v>#REF!</v>
      </c>
      <c r="D288" s="205" t="str">
        <f t="shared" si="187"/>
        <v>#REF!</v>
      </c>
      <c r="E288" s="204" t="str">
        <f t="shared" si="187"/>
        <v>#REF!</v>
      </c>
      <c r="F288" s="206" t="str">
        <f t="shared" si="187"/>
        <v>#REF!</v>
      </c>
      <c r="G288" s="207" t="str">
        <f t="shared" si="187"/>
        <v>#REF!</v>
      </c>
      <c r="H288" s="143" t="str">
        <f t="shared" si="187"/>
        <v>#REF!</v>
      </c>
      <c r="I288" s="143" t="str">
        <f t="shared" si="187"/>
        <v>#REF!</v>
      </c>
    </row>
    <row r="289" ht="15.75" customHeight="1">
      <c r="A289" s="204" t="str">
        <f t="shared" ref="A289:I289" si="188">'2.15.'!A9</f>
        <v>#REF!</v>
      </c>
      <c r="B289" s="92" t="str">
        <f t="shared" si="188"/>
        <v>#REF!</v>
      </c>
      <c r="C289" s="92" t="str">
        <f t="shared" si="188"/>
        <v>#REF!</v>
      </c>
      <c r="D289" s="204" t="str">
        <f t="shared" si="188"/>
        <v>#REF!</v>
      </c>
      <c r="E289" s="204" t="str">
        <f t="shared" si="188"/>
        <v>#REF!</v>
      </c>
      <c r="F289" s="206" t="str">
        <f t="shared" si="188"/>
        <v>#REF!</v>
      </c>
      <c r="G289" s="207" t="str">
        <f t="shared" si="188"/>
        <v>#REF!</v>
      </c>
      <c r="H289" s="143" t="str">
        <f t="shared" si="188"/>
        <v>#REF!</v>
      </c>
      <c r="I289" s="143" t="str">
        <f t="shared" si="188"/>
        <v>#REF!</v>
      </c>
    </row>
    <row r="290" ht="15.75" customHeight="1">
      <c r="A290" s="204" t="str">
        <f t="shared" ref="A290:I290" si="189">'2.15.'!A10</f>
        <v>#REF!</v>
      </c>
      <c r="B290" s="92" t="str">
        <f t="shared" si="189"/>
        <v>#REF!</v>
      </c>
      <c r="C290" s="92" t="str">
        <f t="shared" si="189"/>
        <v>#REF!</v>
      </c>
      <c r="D290" s="204" t="str">
        <f t="shared" si="189"/>
        <v>#REF!</v>
      </c>
      <c r="E290" s="204" t="str">
        <f t="shared" si="189"/>
        <v>#REF!</v>
      </c>
      <c r="F290" s="206" t="str">
        <f t="shared" si="189"/>
        <v>#REF!</v>
      </c>
      <c r="G290" s="207" t="str">
        <f t="shared" si="189"/>
        <v>#REF!</v>
      </c>
      <c r="H290" s="143" t="str">
        <f t="shared" si="189"/>
        <v>#REF!</v>
      </c>
      <c r="I290" s="143" t="str">
        <f t="shared" si="189"/>
        <v>#REF!</v>
      </c>
    </row>
    <row r="291" ht="15.75" customHeight="1">
      <c r="A291" s="204" t="str">
        <f t="shared" ref="A291:I291" si="190">'2.15.'!A11</f>
        <v>#REF!</v>
      </c>
      <c r="B291" s="92" t="str">
        <f t="shared" si="190"/>
        <v>#REF!</v>
      </c>
      <c r="C291" s="92" t="str">
        <f t="shared" si="190"/>
        <v>#REF!</v>
      </c>
      <c r="D291" s="204" t="str">
        <f t="shared" si="190"/>
        <v>#REF!</v>
      </c>
      <c r="E291" s="204" t="str">
        <f t="shared" si="190"/>
        <v>#REF!</v>
      </c>
      <c r="F291" s="206" t="str">
        <f t="shared" si="190"/>
        <v>#REF!</v>
      </c>
      <c r="G291" s="207" t="str">
        <f t="shared" si="190"/>
        <v>#REF!</v>
      </c>
      <c r="H291" s="143" t="str">
        <f t="shared" si="190"/>
        <v>#REF!</v>
      </c>
      <c r="I291" s="143" t="str">
        <f t="shared" si="190"/>
        <v>#REF!</v>
      </c>
    </row>
    <row r="292" ht="15.75" customHeight="1">
      <c r="A292" s="204" t="str">
        <f t="shared" ref="A292:I292" si="191">'2.15.'!A12</f>
        <v>#REF!</v>
      </c>
      <c r="B292" s="92" t="str">
        <f t="shared" si="191"/>
        <v>#REF!</v>
      </c>
      <c r="C292" s="92" t="str">
        <f t="shared" si="191"/>
        <v>#REF!</v>
      </c>
      <c r="D292" s="204" t="str">
        <f t="shared" si="191"/>
        <v>#REF!</v>
      </c>
      <c r="E292" s="204" t="str">
        <f t="shared" si="191"/>
        <v>#REF!</v>
      </c>
      <c r="F292" s="206" t="str">
        <f t="shared" si="191"/>
        <v>#REF!</v>
      </c>
      <c r="G292" s="207" t="str">
        <f t="shared" si="191"/>
        <v>#REF!</v>
      </c>
      <c r="H292" s="143" t="str">
        <f t="shared" si="191"/>
        <v>#REF!</v>
      </c>
      <c r="I292" s="143" t="str">
        <f t="shared" si="191"/>
        <v>#REF!</v>
      </c>
    </row>
    <row r="293" ht="15.75" customHeight="1">
      <c r="A293" s="204" t="str">
        <f t="shared" ref="A293:I293" si="192">'2.15.'!A13</f>
        <v>#REF!</v>
      </c>
      <c r="B293" s="92" t="str">
        <f t="shared" si="192"/>
        <v>#REF!</v>
      </c>
      <c r="C293" s="92" t="str">
        <f t="shared" si="192"/>
        <v>#REF!</v>
      </c>
      <c r="D293" s="204" t="str">
        <f t="shared" si="192"/>
        <v>#REF!</v>
      </c>
      <c r="E293" s="204" t="str">
        <f t="shared" si="192"/>
        <v>#REF!</v>
      </c>
      <c r="F293" s="206" t="str">
        <f t="shared" si="192"/>
        <v>#REF!</v>
      </c>
      <c r="G293" s="207" t="str">
        <f t="shared" si="192"/>
        <v>#REF!</v>
      </c>
      <c r="H293" s="143" t="str">
        <f t="shared" si="192"/>
        <v>#REF!</v>
      </c>
      <c r="I293" s="143" t="str">
        <f t="shared" si="192"/>
        <v>#REF!</v>
      </c>
    </row>
    <row r="294" ht="15.75" customHeight="1">
      <c r="A294" s="204" t="str">
        <f t="shared" ref="A294:I294" si="193">'2.15.'!A14</f>
        <v>#REF!</v>
      </c>
      <c r="B294" s="92" t="str">
        <f t="shared" si="193"/>
        <v>#REF!</v>
      </c>
      <c r="C294" s="92" t="str">
        <f t="shared" si="193"/>
        <v>#REF!</v>
      </c>
      <c r="D294" s="204" t="str">
        <f t="shared" si="193"/>
        <v>#REF!</v>
      </c>
      <c r="E294" s="204" t="str">
        <f t="shared" si="193"/>
        <v>#REF!</v>
      </c>
      <c r="F294" s="206" t="str">
        <f t="shared" si="193"/>
        <v>#REF!</v>
      </c>
      <c r="G294" s="207" t="str">
        <f t="shared" si="193"/>
        <v>#REF!</v>
      </c>
      <c r="H294" s="143" t="str">
        <f t="shared" si="193"/>
        <v>#REF!</v>
      </c>
      <c r="I294" s="143" t="str">
        <f t="shared" si="193"/>
        <v>#REF!</v>
      </c>
    </row>
    <row r="295" ht="15.75" customHeight="1">
      <c r="A295" s="204" t="str">
        <f t="shared" ref="A295:I295" si="194">'2.15.'!A15</f>
        <v>#REF!</v>
      </c>
      <c r="B295" s="92" t="str">
        <f t="shared" si="194"/>
        <v>#REF!</v>
      </c>
      <c r="C295" s="92" t="str">
        <f t="shared" si="194"/>
        <v>#REF!</v>
      </c>
      <c r="D295" s="204" t="str">
        <f t="shared" si="194"/>
        <v>#REF!</v>
      </c>
      <c r="E295" s="204" t="str">
        <f t="shared" si="194"/>
        <v>#REF!</v>
      </c>
      <c r="F295" s="206" t="str">
        <f t="shared" si="194"/>
        <v>#REF!</v>
      </c>
      <c r="G295" s="207" t="str">
        <f t="shared" si="194"/>
        <v>#REF!</v>
      </c>
      <c r="H295" s="143" t="str">
        <f t="shared" si="194"/>
        <v>#REF!</v>
      </c>
      <c r="I295" s="143" t="str">
        <f t="shared" si="194"/>
        <v>#REF!</v>
      </c>
    </row>
    <row r="296" ht="15.75" customHeight="1">
      <c r="A296" s="204" t="str">
        <f t="shared" ref="A296:I296" si="195">'2.15.'!A16</f>
        <v>#REF!</v>
      </c>
      <c r="B296" s="92" t="str">
        <f t="shared" si="195"/>
        <v>#REF!</v>
      </c>
      <c r="C296" s="92" t="str">
        <f t="shared" si="195"/>
        <v>#REF!</v>
      </c>
      <c r="D296" s="204" t="str">
        <f t="shared" si="195"/>
        <v>#REF!</v>
      </c>
      <c r="E296" s="204" t="str">
        <f t="shared" si="195"/>
        <v>#REF!</v>
      </c>
      <c r="F296" s="206" t="str">
        <f t="shared" si="195"/>
        <v>#REF!</v>
      </c>
      <c r="G296" s="207" t="str">
        <f t="shared" si="195"/>
        <v>#REF!</v>
      </c>
      <c r="H296" s="143" t="str">
        <f t="shared" si="195"/>
        <v>#REF!</v>
      </c>
      <c r="I296" s="143" t="str">
        <f t="shared" si="195"/>
        <v>#REF!</v>
      </c>
    </row>
    <row r="297" ht="15.75" customHeight="1">
      <c r="A297" s="204" t="str">
        <f t="shared" ref="A297:I297" si="196">'2.15.'!A17</f>
        <v>#REF!</v>
      </c>
      <c r="B297" s="92" t="str">
        <f t="shared" si="196"/>
        <v>#REF!</v>
      </c>
      <c r="C297" s="92" t="str">
        <f t="shared" si="196"/>
        <v>#REF!</v>
      </c>
      <c r="D297" s="204" t="str">
        <f t="shared" si="196"/>
        <v>#REF!</v>
      </c>
      <c r="E297" s="204" t="str">
        <f t="shared" si="196"/>
        <v>#REF!</v>
      </c>
      <c r="F297" s="206" t="str">
        <f t="shared" si="196"/>
        <v>#REF!</v>
      </c>
      <c r="G297" s="207" t="str">
        <f t="shared" si="196"/>
        <v>#REF!</v>
      </c>
      <c r="H297" s="143" t="str">
        <f t="shared" si="196"/>
        <v>#REF!</v>
      </c>
      <c r="I297" s="143" t="str">
        <f t="shared" si="196"/>
        <v>#REF!</v>
      </c>
    </row>
    <row r="298" ht="15.75" customHeight="1">
      <c r="A298" s="204" t="str">
        <f t="shared" ref="A298:I298" si="197">'2.15.'!A18</f>
        <v>#REF!</v>
      </c>
      <c r="B298" s="92" t="str">
        <f t="shared" si="197"/>
        <v>#REF!</v>
      </c>
      <c r="C298" s="92" t="str">
        <f t="shared" si="197"/>
        <v>#REF!</v>
      </c>
      <c r="D298" s="204" t="str">
        <f t="shared" si="197"/>
        <v>#REF!</v>
      </c>
      <c r="E298" s="204" t="str">
        <f t="shared" si="197"/>
        <v>#REF!</v>
      </c>
      <c r="F298" s="206" t="str">
        <f t="shared" si="197"/>
        <v>#REF!</v>
      </c>
      <c r="G298" s="207" t="str">
        <f t="shared" si="197"/>
        <v>#REF!</v>
      </c>
      <c r="H298" s="143" t="str">
        <f t="shared" si="197"/>
        <v>#REF!</v>
      </c>
      <c r="I298" s="143" t="str">
        <f t="shared" si="197"/>
        <v>#REF!</v>
      </c>
    </row>
    <row r="299" ht="15.75" customHeight="1">
      <c r="A299" s="216" t="str">
        <f t="shared" ref="A299:I299" si="198">'2.15.'!A19</f>
        <v>#REF!</v>
      </c>
      <c r="B299" s="216" t="str">
        <f t="shared" si="198"/>
        <v>#REF!</v>
      </c>
      <c r="C299" s="216" t="str">
        <f t="shared" si="198"/>
        <v>#REF!</v>
      </c>
      <c r="D299" s="216" t="str">
        <f t="shared" si="198"/>
        <v>#REF!</v>
      </c>
      <c r="E299" s="216" t="str">
        <f t="shared" si="198"/>
        <v>#REF!</v>
      </c>
      <c r="F299" s="208" t="str">
        <f t="shared" si="198"/>
        <v>#REF!</v>
      </c>
      <c r="G299" s="3" t="str">
        <f t="shared" si="198"/>
        <v>#REF!</v>
      </c>
      <c r="H299" s="143" t="str">
        <f t="shared" si="198"/>
        <v>#REF!</v>
      </c>
      <c r="I299" s="143" t="str">
        <f t="shared" si="198"/>
        <v>#REF!</v>
      </c>
    </row>
    <row r="300" ht="15.75" customHeight="1">
      <c r="A300" s="209" t="str">
        <f t="shared" ref="A300:I300" si="199">'2.15.'!A20</f>
        <v>#REF!</v>
      </c>
      <c r="B300" s="210" t="str">
        <f t="shared" si="199"/>
        <v>#REF!</v>
      </c>
      <c r="C300" s="210" t="str">
        <f t="shared" si="199"/>
        <v>#REF!</v>
      </c>
      <c r="D300" s="210" t="str">
        <f t="shared" si="199"/>
        <v>#REF!</v>
      </c>
      <c r="E300" s="210" t="str">
        <f t="shared" si="199"/>
        <v>#REF!</v>
      </c>
      <c r="F300" s="210" t="str">
        <f t="shared" si="199"/>
        <v>#REF!</v>
      </c>
      <c r="G300" s="211" t="str">
        <f t="shared" si="199"/>
        <v>#REF!</v>
      </c>
      <c r="H300" s="210" t="str">
        <f t="shared" si="199"/>
        <v>#REF!</v>
      </c>
      <c r="I300" s="212" t="str">
        <f t="shared" si="199"/>
        <v>#REF!</v>
      </c>
    </row>
    <row r="301" ht="15.75" customHeight="1">
      <c r="G301" s="3"/>
    </row>
    <row r="302" ht="15.75" customHeight="1">
      <c r="G302" s="3"/>
    </row>
    <row r="303">
      <c r="A303" s="195" t="str">
        <f t="shared" ref="A303:B303" si="200">'2.16.'!A3</f>
        <v>#REF!</v>
      </c>
      <c r="B303" s="196" t="str">
        <f t="shared" si="200"/>
        <v>#REF!</v>
      </c>
      <c r="C303" s="197"/>
      <c r="D303" s="197"/>
      <c r="E303" s="197"/>
      <c r="F303" s="197"/>
      <c r="G303" s="198" t="str">
        <f t="shared" ref="G303:I303" si="201">'2.16.'!G3</f>
        <v>#REF!</v>
      </c>
      <c r="H303" s="199" t="str">
        <f t="shared" si="201"/>
        <v>#REF!</v>
      </c>
      <c r="I303" s="200" t="str">
        <f t="shared" si="201"/>
        <v>#REF!</v>
      </c>
    </row>
    <row r="304" ht="15.75" customHeight="1">
      <c r="A304" s="216" t="str">
        <f t="shared" ref="A304:I304" si="202">'2.16.'!A4</f>
        <v>#REF!</v>
      </c>
      <c r="B304" s="216" t="str">
        <f t="shared" si="202"/>
        <v>#REF!</v>
      </c>
      <c r="C304" s="216" t="str">
        <f t="shared" si="202"/>
        <v>#REF!</v>
      </c>
      <c r="D304" s="216" t="str">
        <f t="shared" si="202"/>
        <v>#REF!</v>
      </c>
      <c r="E304" s="216" t="str">
        <f t="shared" si="202"/>
        <v>#REF!</v>
      </c>
      <c r="F304" s="216" t="str">
        <f t="shared" si="202"/>
        <v>#REF!</v>
      </c>
      <c r="G304" s="3" t="str">
        <f t="shared" si="202"/>
        <v>#REF!</v>
      </c>
      <c r="H304" s="216" t="str">
        <f t="shared" si="202"/>
        <v>#REF!</v>
      </c>
      <c r="I304" s="216" t="str">
        <f t="shared" si="202"/>
        <v>#REF!</v>
      </c>
    </row>
    <row r="305" ht="15.75" customHeight="1">
      <c r="A305" s="201" t="str">
        <f t="shared" ref="A305:I305" si="203">'2.16.'!A5</f>
        <v>#REF!</v>
      </c>
      <c r="B305" s="94" t="str">
        <f t="shared" si="203"/>
        <v>#REF!</v>
      </c>
      <c r="C305" s="94" t="str">
        <f t="shared" si="203"/>
        <v>#REF!</v>
      </c>
      <c r="D305" s="94" t="str">
        <f t="shared" si="203"/>
        <v>#REF!</v>
      </c>
      <c r="E305" s="94" t="str">
        <f t="shared" si="203"/>
        <v>#REF!</v>
      </c>
      <c r="F305" s="94" t="str">
        <f t="shared" si="203"/>
        <v>#REF!</v>
      </c>
      <c r="G305" s="2" t="str">
        <f t="shared" si="203"/>
        <v>#REF!</v>
      </c>
      <c r="H305" s="94" t="str">
        <f t="shared" si="203"/>
        <v>#REF!</v>
      </c>
      <c r="I305" s="94" t="str">
        <f t="shared" si="203"/>
        <v>#REF!</v>
      </c>
    </row>
    <row r="306" ht="15.75" customHeight="1">
      <c r="A306" s="202" t="str">
        <f t="shared" ref="A306:D306" si="204">'2.16.'!A6</f>
        <v>#REF!</v>
      </c>
      <c r="B306" s="202" t="str">
        <f t="shared" si="204"/>
        <v>#REF!</v>
      </c>
      <c r="C306" s="202" t="str">
        <f t="shared" si="204"/>
        <v>#REF!</v>
      </c>
      <c r="D306" s="203" t="str">
        <f t="shared" si="204"/>
        <v>#REF!</v>
      </c>
      <c r="E306" s="197"/>
      <c r="F306" s="202" t="str">
        <f t="shared" ref="F306:I306" si="205">'2.16.'!F6</f>
        <v>#REF!</v>
      </c>
      <c r="G306" s="4" t="str">
        <f t="shared" si="205"/>
        <v>#REF!</v>
      </c>
      <c r="H306" s="202" t="str">
        <f t="shared" si="205"/>
        <v>#REF!</v>
      </c>
      <c r="I306" s="202" t="str">
        <f t="shared" si="205"/>
        <v>#REF!</v>
      </c>
    </row>
    <row r="307" ht="15.75" customHeight="1">
      <c r="A307" s="204" t="str">
        <f t="shared" ref="A307:I307" si="206">'2.16.'!A7</f>
        <v>#REF!</v>
      </c>
      <c r="B307" s="92" t="str">
        <f t="shared" si="206"/>
        <v>#REF!</v>
      </c>
      <c r="C307" s="92" t="str">
        <f t="shared" si="206"/>
        <v>#REF!</v>
      </c>
      <c r="D307" s="205" t="str">
        <f t="shared" si="206"/>
        <v>#REF!</v>
      </c>
      <c r="E307" s="204" t="str">
        <f t="shared" si="206"/>
        <v>#REF!</v>
      </c>
      <c r="F307" s="206" t="str">
        <f t="shared" si="206"/>
        <v>#REF!</v>
      </c>
      <c r="G307" s="207" t="str">
        <f t="shared" si="206"/>
        <v>#REF!</v>
      </c>
      <c r="H307" s="143" t="str">
        <f t="shared" si="206"/>
        <v>#REF!</v>
      </c>
      <c r="I307" s="143" t="str">
        <f t="shared" si="206"/>
        <v>#REF!</v>
      </c>
    </row>
    <row r="308" ht="15.75" customHeight="1">
      <c r="A308" s="204" t="str">
        <f t="shared" ref="A308:I308" si="207">'2.16.'!A8</f>
        <v>#REF!</v>
      </c>
      <c r="B308" s="92" t="str">
        <f t="shared" si="207"/>
        <v>#REF!</v>
      </c>
      <c r="C308" s="92" t="str">
        <f t="shared" si="207"/>
        <v>#REF!</v>
      </c>
      <c r="D308" s="205" t="str">
        <f t="shared" si="207"/>
        <v>#REF!</v>
      </c>
      <c r="E308" s="204" t="str">
        <f t="shared" si="207"/>
        <v>#REF!</v>
      </c>
      <c r="F308" s="206" t="str">
        <f t="shared" si="207"/>
        <v>#REF!</v>
      </c>
      <c r="G308" s="207" t="str">
        <f t="shared" si="207"/>
        <v>#REF!</v>
      </c>
      <c r="H308" s="143" t="str">
        <f t="shared" si="207"/>
        <v>#REF!</v>
      </c>
      <c r="I308" s="143" t="str">
        <f t="shared" si="207"/>
        <v>#REF!</v>
      </c>
    </row>
    <row r="309" ht="15.75" customHeight="1">
      <c r="A309" s="204" t="str">
        <f t="shared" ref="A309:I309" si="208">'2.16.'!A9</f>
        <v>#REF!</v>
      </c>
      <c r="B309" s="92" t="str">
        <f t="shared" si="208"/>
        <v>#REF!</v>
      </c>
      <c r="C309" s="92" t="str">
        <f t="shared" si="208"/>
        <v>#REF!</v>
      </c>
      <c r="D309" s="205" t="str">
        <f t="shared" si="208"/>
        <v>#REF!</v>
      </c>
      <c r="E309" s="204" t="str">
        <f t="shared" si="208"/>
        <v>#REF!</v>
      </c>
      <c r="F309" s="206" t="str">
        <f t="shared" si="208"/>
        <v>#REF!</v>
      </c>
      <c r="G309" s="207" t="str">
        <f t="shared" si="208"/>
        <v>#REF!</v>
      </c>
      <c r="H309" s="143" t="str">
        <f t="shared" si="208"/>
        <v>#REF!</v>
      </c>
      <c r="I309" s="143" t="str">
        <f t="shared" si="208"/>
        <v>#REF!</v>
      </c>
    </row>
    <row r="310" ht="15.75" customHeight="1">
      <c r="A310" s="204" t="str">
        <f t="shared" ref="A310:I310" si="209">'2.16.'!A10</f>
        <v>#REF!</v>
      </c>
      <c r="B310" s="92" t="str">
        <f t="shared" si="209"/>
        <v>#REF!</v>
      </c>
      <c r="C310" s="92" t="str">
        <f t="shared" si="209"/>
        <v>#REF!</v>
      </c>
      <c r="D310" s="204" t="str">
        <f t="shared" si="209"/>
        <v>#REF!</v>
      </c>
      <c r="E310" s="204" t="str">
        <f t="shared" si="209"/>
        <v>#REF!</v>
      </c>
      <c r="F310" s="206" t="str">
        <f t="shared" si="209"/>
        <v>#REF!</v>
      </c>
      <c r="G310" s="207" t="str">
        <f t="shared" si="209"/>
        <v>#REF!</v>
      </c>
      <c r="H310" s="143" t="str">
        <f t="shared" si="209"/>
        <v>#REF!</v>
      </c>
      <c r="I310" s="143" t="str">
        <f t="shared" si="209"/>
        <v>#REF!</v>
      </c>
    </row>
    <row r="311" ht="15.75" customHeight="1">
      <c r="A311" s="204" t="str">
        <f t="shared" ref="A311:I311" si="210">'2.16.'!A11</f>
        <v>#REF!</v>
      </c>
      <c r="B311" s="92" t="str">
        <f t="shared" si="210"/>
        <v>#REF!</v>
      </c>
      <c r="C311" s="92" t="str">
        <f t="shared" si="210"/>
        <v>#REF!</v>
      </c>
      <c r="D311" s="204" t="str">
        <f t="shared" si="210"/>
        <v>#REF!</v>
      </c>
      <c r="E311" s="204" t="str">
        <f t="shared" si="210"/>
        <v>#REF!</v>
      </c>
      <c r="F311" s="206" t="str">
        <f t="shared" si="210"/>
        <v>#REF!</v>
      </c>
      <c r="G311" s="207" t="str">
        <f t="shared" si="210"/>
        <v>#REF!</v>
      </c>
      <c r="H311" s="143" t="str">
        <f t="shared" si="210"/>
        <v>#REF!</v>
      </c>
      <c r="I311" s="143" t="str">
        <f t="shared" si="210"/>
        <v>#REF!</v>
      </c>
    </row>
    <row r="312" ht="15.75" customHeight="1">
      <c r="A312" s="204" t="str">
        <f t="shared" ref="A312:I312" si="211">'2.16.'!A12</f>
        <v>#REF!</v>
      </c>
      <c r="B312" s="92" t="str">
        <f t="shared" si="211"/>
        <v>#REF!</v>
      </c>
      <c r="C312" s="92" t="str">
        <f t="shared" si="211"/>
        <v>#REF!</v>
      </c>
      <c r="D312" s="204" t="str">
        <f t="shared" si="211"/>
        <v>#REF!</v>
      </c>
      <c r="E312" s="204" t="str">
        <f t="shared" si="211"/>
        <v>#REF!</v>
      </c>
      <c r="F312" s="206" t="str">
        <f t="shared" si="211"/>
        <v>#REF!</v>
      </c>
      <c r="G312" s="207" t="str">
        <f t="shared" si="211"/>
        <v>#REF!</v>
      </c>
      <c r="H312" s="143" t="str">
        <f t="shared" si="211"/>
        <v>#REF!</v>
      </c>
      <c r="I312" s="143" t="str">
        <f t="shared" si="211"/>
        <v>#REF!</v>
      </c>
    </row>
    <row r="313" ht="15.75" customHeight="1">
      <c r="A313" s="204" t="str">
        <f t="shared" ref="A313:I313" si="212">'2.16.'!A13</f>
        <v>#REF!</v>
      </c>
      <c r="B313" s="92" t="str">
        <f t="shared" si="212"/>
        <v>#REF!</v>
      </c>
      <c r="C313" s="92" t="str">
        <f t="shared" si="212"/>
        <v>#REF!</v>
      </c>
      <c r="D313" s="204" t="str">
        <f t="shared" si="212"/>
        <v>#REF!</v>
      </c>
      <c r="E313" s="204" t="str">
        <f t="shared" si="212"/>
        <v>#REF!</v>
      </c>
      <c r="F313" s="206" t="str">
        <f t="shared" si="212"/>
        <v>#REF!</v>
      </c>
      <c r="G313" s="207" t="str">
        <f t="shared" si="212"/>
        <v>#REF!</v>
      </c>
      <c r="H313" s="143" t="str">
        <f t="shared" si="212"/>
        <v>#REF!</v>
      </c>
      <c r="I313" s="143" t="str">
        <f t="shared" si="212"/>
        <v>#REF!</v>
      </c>
    </row>
    <row r="314" ht="15.75" customHeight="1">
      <c r="A314" s="204" t="str">
        <f t="shared" ref="A314:I314" si="213">'2.16.'!A14</f>
        <v>#REF!</v>
      </c>
      <c r="B314" s="92" t="str">
        <f t="shared" si="213"/>
        <v>#REF!</v>
      </c>
      <c r="C314" s="92" t="str">
        <f t="shared" si="213"/>
        <v>#REF!</v>
      </c>
      <c r="D314" s="204" t="str">
        <f t="shared" si="213"/>
        <v>#REF!</v>
      </c>
      <c r="E314" s="204" t="str">
        <f t="shared" si="213"/>
        <v>#REF!</v>
      </c>
      <c r="F314" s="206" t="str">
        <f t="shared" si="213"/>
        <v>#REF!</v>
      </c>
      <c r="G314" s="207" t="str">
        <f t="shared" si="213"/>
        <v>#REF!</v>
      </c>
      <c r="H314" s="143" t="str">
        <f t="shared" si="213"/>
        <v>#REF!</v>
      </c>
      <c r="I314" s="143" t="str">
        <f t="shared" si="213"/>
        <v>#REF!</v>
      </c>
    </row>
    <row r="315" ht="15.75" customHeight="1">
      <c r="A315" s="204" t="str">
        <f t="shared" ref="A315:I315" si="214">'2.16.'!A15</f>
        <v>#REF!</v>
      </c>
      <c r="B315" s="92" t="str">
        <f t="shared" si="214"/>
        <v>#REF!</v>
      </c>
      <c r="C315" s="92" t="str">
        <f t="shared" si="214"/>
        <v>#REF!</v>
      </c>
      <c r="D315" s="204" t="str">
        <f t="shared" si="214"/>
        <v>#REF!</v>
      </c>
      <c r="E315" s="204" t="str">
        <f t="shared" si="214"/>
        <v>#REF!</v>
      </c>
      <c r="F315" s="206" t="str">
        <f t="shared" si="214"/>
        <v>#REF!</v>
      </c>
      <c r="G315" s="207" t="str">
        <f t="shared" si="214"/>
        <v>#REF!</v>
      </c>
      <c r="H315" s="143" t="str">
        <f t="shared" si="214"/>
        <v>#REF!</v>
      </c>
      <c r="I315" s="143" t="str">
        <f t="shared" si="214"/>
        <v>#REF!</v>
      </c>
    </row>
    <row r="316" ht="15.75" customHeight="1">
      <c r="A316" s="204" t="str">
        <f t="shared" ref="A316:I316" si="215">'2.16.'!A16</f>
        <v>#REF!</v>
      </c>
      <c r="B316" s="92" t="str">
        <f t="shared" si="215"/>
        <v>#REF!</v>
      </c>
      <c r="C316" s="92" t="str">
        <f t="shared" si="215"/>
        <v>#REF!</v>
      </c>
      <c r="D316" s="204" t="str">
        <f t="shared" si="215"/>
        <v>#REF!</v>
      </c>
      <c r="E316" s="204" t="str">
        <f t="shared" si="215"/>
        <v>#REF!</v>
      </c>
      <c r="F316" s="206" t="str">
        <f t="shared" si="215"/>
        <v>#REF!</v>
      </c>
      <c r="G316" s="207" t="str">
        <f t="shared" si="215"/>
        <v>#REF!</v>
      </c>
      <c r="H316" s="143" t="str">
        <f t="shared" si="215"/>
        <v>#REF!</v>
      </c>
      <c r="I316" s="143" t="str">
        <f t="shared" si="215"/>
        <v>#REF!</v>
      </c>
    </row>
    <row r="317" ht="15.75" customHeight="1">
      <c r="A317" s="204" t="str">
        <f t="shared" ref="A317:I317" si="216">'2.16.'!A17</f>
        <v>#REF!</v>
      </c>
      <c r="B317" s="92" t="str">
        <f t="shared" si="216"/>
        <v>#REF!</v>
      </c>
      <c r="C317" s="92" t="str">
        <f t="shared" si="216"/>
        <v>#REF!</v>
      </c>
      <c r="D317" s="204" t="str">
        <f t="shared" si="216"/>
        <v>#REF!</v>
      </c>
      <c r="E317" s="204" t="str">
        <f t="shared" si="216"/>
        <v>#REF!</v>
      </c>
      <c r="F317" s="206" t="str">
        <f t="shared" si="216"/>
        <v>#REF!</v>
      </c>
      <c r="G317" s="207" t="str">
        <f t="shared" si="216"/>
        <v>#REF!</v>
      </c>
      <c r="H317" s="143" t="str">
        <f t="shared" si="216"/>
        <v>#REF!</v>
      </c>
      <c r="I317" s="143" t="str">
        <f t="shared" si="216"/>
        <v>#REF!</v>
      </c>
    </row>
    <row r="318" ht="15.75" customHeight="1">
      <c r="A318" s="204" t="str">
        <f t="shared" ref="A318:I318" si="217">'2.16.'!A18</f>
        <v>#REF!</v>
      </c>
      <c r="B318" s="92" t="str">
        <f t="shared" si="217"/>
        <v>#REF!</v>
      </c>
      <c r="C318" s="92" t="str">
        <f t="shared" si="217"/>
        <v>#REF!</v>
      </c>
      <c r="D318" s="204" t="str">
        <f t="shared" si="217"/>
        <v>#REF!</v>
      </c>
      <c r="E318" s="204" t="str">
        <f t="shared" si="217"/>
        <v>#REF!</v>
      </c>
      <c r="F318" s="206" t="str">
        <f t="shared" si="217"/>
        <v>#REF!</v>
      </c>
      <c r="G318" s="207" t="str">
        <f t="shared" si="217"/>
        <v>#REF!</v>
      </c>
      <c r="H318" s="143" t="str">
        <f t="shared" si="217"/>
        <v>#REF!</v>
      </c>
      <c r="I318" s="143" t="str">
        <f t="shared" si="217"/>
        <v>#REF!</v>
      </c>
    </row>
    <row r="319" ht="15.75" customHeight="1">
      <c r="A319" s="216" t="str">
        <f t="shared" ref="A319:I319" si="218">'2.16.'!A19</f>
        <v>#REF!</v>
      </c>
      <c r="B319" s="216" t="str">
        <f t="shared" si="218"/>
        <v>#REF!</v>
      </c>
      <c r="C319" s="216" t="str">
        <f t="shared" si="218"/>
        <v>#REF!</v>
      </c>
      <c r="D319" s="216" t="str">
        <f t="shared" si="218"/>
        <v>#REF!</v>
      </c>
      <c r="E319" s="216" t="str">
        <f t="shared" si="218"/>
        <v>#REF!</v>
      </c>
      <c r="F319" s="208" t="str">
        <f t="shared" si="218"/>
        <v>#REF!</v>
      </c>
      <c r="G319" s="3" t="str">
        <f t="shared" si="218"/>
        <v>#REF!</v>
      </c>
      <c r="H319" s="143" t="str">
        <f t="shared" si="218"/>
        <v>#REF!</v>
      </c>
      <c r="I319" s="143" t="str">
        <f t="shared" si="218"/>
        <v>#REF!</v>
      </c>
    </row>
    <row r="320" ht="15.75" customHeight="1">
      <c r="A320" s="209" t="str">
        <f t="shared" ref="A320:I320" si="219">'2.16.'!A20</f>
        <v>#REF!</v>
      </c>
      <c r="B320" s="210" t="str">
        <f t="shared" si="219"/>
        <v>#REF!</v>
      </c>
      <c r="C320" s="210" t="str">
        <f t="shared" si="219"/>
        <v>#REF!</v>
      </c>
      <c r="D320" s="210" t="str">
        <f t="shared" si="219"/>
        <v>#REF!</v>
      </c>
      <c r="E320" s="210" t="str">
        <f t="shared" si="219"/>
        <v>#REF!</v>
      </c>
      <c r="F320" s="210" t="str">
        <f t="shared" si="219"/>
        <v>#REF!</v>
      </c>
      <c r="G320" s="211" t="str">
        <f t="shared" si="219"/>
        <v>#REF!</v>
      </c>
      <c r="H320" s="210" t="str">
        <f t="shared" si="219"/>
        <v>#REF!</v>
      </c>
      <c r="I320" s="212" t="str">
        <f t="shared" si="219"/>
        <v>#REF!</v>
      </c>
    </row>
    <row r="321" ht="15.75" customHeight="1">
      <c r="G321" s="3"/>
    </row>
    <row r="322" ht="15.75" customHeight="1">
      <c r="G322" s="3"/>
    </row>
    <row r="323">
      <c r="A323" s="195" t="str">
        <f t="shared" ref="A323:B323" si="220">'2.17.'!A3</f>
        <v>#REF!</v>
      </c>
      <c r="B323" s="196" t="str">
        <f t="shared" si="220"/>
        <v>#REF!</v>
      </c>
      <c r="C323" s="197"/>
      <c r="D323" s="197"/>
      <c r="E323" s="197"/>
      <c r="F323" s="197"/>
      <c r="G323" s="198" t="str">
        <f t="shared" ref="G323:I323" si="221">'2.17.'!G3</f>
        <v>#REF!</v>
      </c>
      <c r="H323" s="199" t="str">
        <f t="shared" si="221"/>
        <v>#REF!</v>
      </c>
      <c r="I323" s="200" t="str">
        <f t="shared" si="221"/>
        <v>#REF!</v>
      </c>
    </row>
    <row r="324" ht="15.75" customHeight="1">
      <c r="A324" s="216" t="str">
        <f t="shared" ref="A324:I324" si="222">'2.17.'!A4</f>
        <v>#REF!</v>
      </c>
      <c r="B324" s="216" t="str">
        <f t="shared" si="222"/>
        <v>#REF!</v>
      </c>
      <c r="C324" s="216" t="str">
        <f t="shared" si="222"/>
        <v>#REF!</v>
      </c>
      <c r="D324" s="216" t="str">
        <f t="shared" si="222"/>
        <v>#REF!</v>
      </c>
      <c r="E324" s="216" t="str">
        <f t="shared" si="222"/>
        <v>#REF!</v>
      </c>
      <c r="F324" s="216" t="str">
        <f t="shared" si="222"/>
        <v>#REF!</v>
      </c>
      <c r="G324" s="3" t="str">
        <f t="shared" si="222"/>
        <v>#REF!</v>
      </c>
      <c r="H324" s="216" t="str">
        <f t="shared" si="222"/>
        <v>#REF!</v>
      </c>
      <c r="I324" s="216" t="str">
        <f t="shared" si="222"/>
        <v>#REF!</v>
      </c>
    </row>
    <row r="325" ht="15.75" customHeight="1">
      <c r="A325" s="201" t="str">
        <f t="shared" ref="A325:I325" si="223">'2.17.'!A5</f>
        <v>#REF!</v>
      </c>
      <c r="B325" s="94" t="str">
        <f t="shared" si="223"/>
        <v>#REF!</v>
      </c>
      <c r="C325" s="94" t="str">
        <f t="shared" si="223"/>
        <v>#REF!</v>
      </c>
      <c r="D325" s="94" t="str">
        <f t="shared" si="223"/>
        <v>#REF!</v>
      </c>
      <c r="E325" s="94" t="str">
        <f t="shared" si="223"/>
        <v>#REF!</v>
      </c>
      <c r="F325" s="94" t="str">
        <f t="shared" si="223"/>
        <v>#REF!</v>
      </c>
      <c r="G325" s="2" t="str">
        <f t="shared" si="223"/>
        <v>#REF!</v>
      </c>
      <c r="H325" s="94" t="str">
        <f t="shared" si="223"/>
        <v>#REF!</v>
      </c>
      <c r="I325" s="94" t="str">
        <f t="shared" si="223"/>
        <v>#REF!</v>
      </c>
    </row>
    <row r="326" ht="15.75" customHeight="1">
      <c r="A326" s="202" t="str">
        <f t="shared" ref="A326:D326" si="224">'2.17.'!A6</f>
        <v>#REF!</v>
      </c>
      <c r="B326" s="202" t="str">
        <f t="shared" si="224"/>
        <v>#REF!</v>
      </c>
      <c r="C326" s="202" t="str">
        <f t="shared" si="224"/>
        <v>#REF!</v>
      </c>
      <c r="D326" s="203" t="str">
        <f t="shared" si="224"/>
        <v>#REF!</v>
      </c>
      <c r="E326" s="197"/>
      <c r="F326" s="202" t="str">
        <f t="shared" ref="F326:I326" si="225">'2.17.'!F6</f>
        <v>#REF!</v>
      </c>
      <c r="G326" s="4" t="str">
        <f t="shared" si="225"/>
        <v>#REF!</v>
      </c>
      <c r="H326" s="202" t="str">
        <f t="shared" si="225"/>
        <v>#REF!</v>
      </c>
      <c r="I326" s="202" t="str">
        <f t="shared" si="225"/>
        <v>#REF!</v>
      </c>
    </row>
    <row r="327" ht="15.75" customHeight="1">
      <c r="A327" s="204" t="str">
        <f t="shared" ref="A327:I327" si="226">'2.17.'!A7</f>
        <v>#REF!</v>
      </c>
      <c r="B327" s="92" t="str">
        <f t="shared" si="226"/>
        <v>#REF!</v>
      </c>
      <c r="C327" s="92" t="str">
        <f t="shared" si="226"/>
        <v>#REF!</v>
      </c>
      <c r="D327" s="205" t="str">
        <f t="shared" si="226"/>
        <v>#REF!</v>
      </c>
      <c r="E327" s="204" t="str">
        <f t="shared" si="226"/>
        <v>#REF!</v>
      </c>
      <c r="F327" s="206" t="str">
        <f t="shared" si="226"/>
        <v>#REF!</v>
      </c>
      <c r="G327" s="207" t="str">
        <f t="shared" si="226"/>
        <v>#REF!</v>
      </c>
      <c r="H327" s="143" t="str">
        <f t="shared" si="226"/>
        <v>#REF!</v>
      </c>
      <c r="I327" s="143" t="str">
        <f t="shared" si="226"/>
        <v>#REF!</v>
      </c>
    </row>
    <row r="328" ht="15.75" customHeight="1">
      <c r="A328" s="204" t="str">
        <f t="shared" ref="A328:I328" si="227">'2.17.'!A8</f>
        <v>#REF!</v>
      </c>
      <c r="B328" s="92" t="str">
        <f t="shared" si="227"/>
        <v>#REF!</v>
      </c>
      <c r="C328" s="92" t="str">
        <f t="shared" si="227"/>
        <v>#REF!</v>
      </c>
      <c r="D328" s="205" t="str">
        <f t="shared" si="227"/>
        <v>#REF!</v>
      </c>
      <c r="E328" s="204" t="str">
        <f t="shared" si="227"/>
        <v>#REF!</v>
      </c>
      <c r="F328" s="206" t="str">
        <f t="shared" si="227"/>
        <v>#REF!</v>
      </c>
      <c r="G328" s="207" t="str">
        <f t="shared" si="227"/>
        <v>#REF!</v>
      </c>
      <c r="H328" s="143" t="str">
        <f t="shared" si="227"/>
        <v>#REF!</v>
      </c>
      <c r="I328" s="143" t="str">
        <f t="shared" si="227"/>
        <v>#REF!</v>
      </c>
    </row>
    <row r="329" ht="15.75" customHeight="1">
      <c r="A329" s="204" t="str">
        <f t="shared" ref="A329:I329" si="228">'2.17.'!A9</f>
        <v>#REF!</v>
      </c>
      <c r="B329" s="92" t="str">
        <f t="shared" si="228"/>
        <v>#REF!</v>
      </c>
      <c r="C329" s="92" t="str">
        <f t="shared" si="228"/>
        <v>#REF!</v>
      </c>
      <c r="D329" s="205" t="str">
        <f t="shared" si="228"/>
        <v>#REF!</v>
      </c>
      <c r="E329" s="204" t="str">
        <f t="shared" si="228"/>
        <v>#REF!</v>
      </c>
      <c r="F329" s="206" t="str">
        <f t="shared" si="228"/>
        <v>#REF!</v>
      </c>
      <c r="G329" s="207" t="str">
        <f t="shared" si="228"/>
        <v>#REF!</v>
      </c>
      <c r="H329" s="143" t="str">
        <f t="shared" si="228"/>
        <v>#REF!</v>
      </c>
      <c r="I329" s="143" t="str">
        <f t="shared" si="228"/>
        <v>#REF!</v>
      </c>
    </row>
    <row r="330" ht="15.75" customHeight="1">
      <c r="A330" s="204" t="str">
        <f t="shared" ref="A330:I330" si="229">'2.17.'!A10</f>
        <v>#REF!</v>
      </c>
      <c r="B330" s="92" t="str">
        <f t="shared" si="229"/>
        <v>#REF!</v>
      </c>
      <c r="C330" s="92" t="str">
        <f t="shared" si="229"/>
        <v>#REF!</v>
      </c>
      <c r="D330" s="204" t="str">
        <f t="shared" si="229"/>
        <v>#REF!</v>
      </c>
      <c r="E330" s="204" t="str">
        <f t="shared" si="229"/>
        <v>#REF!</v>
      </c>
      <c r="F330" s="206" t="str">
        <f t="shared" si="229"/>
        <v>#REF!</v>
      </c>
      <c r="G330" s="207" t="str">
        <f t="shared" si="229"/>
        <v>#REF!</v>
      </c>
      <c r="H330" s="143" t="str">
        <f t="shared" si="229"/>
        <v>#REF!</v>
      </c>
      <c r="I330" s="143" t="str">
        <f t="shared" si="229"/>
        <v>#REF!</v>
      </c>
    </row>
    <row r="331" ht="15.75" customHeight="1">
      <c r="A331" s="204" t="str">
        <f t="shared" ref="A331:I331" si="230">'2.17.'!A11</f>
        <v>#REF!</v>
      </c>
      <c r="B331" s="92" t="str">
        <f t="shared" si="230"/>
        <v>#REF!</v>
      </c>
      <c r="C331" s="92" t="str">
        <f t="shared" si="230"/>
        <v>#REF!</v>
      </c>
      <c r="D331" s="204" t="str">
        <f t="shared" si="230"/>
        <v>#REF!</v>
      </c>
      <c r="E331" s="204" t="str">
        <f t="shared" si="230"/>
        <v>#REF!</v>
      </c>
      <c r="F331" s="206" t="str">
        <f t="shared" si="230"/>
        <v>#REF!</v>
      </c>
      <c r="G331" s="207" t="str">
        <f t="shared" si="230"/>
        <v>#REF!</v>
      </c>
      <c r="H331" s="143" t="str">
        <f t="shared" si="230"/>
        <v>#REF!</v>
      </c>
      <c r="I331" s="143" t="str">
        <f t="shared" si="230"/>
        <v>#REF!</v>
      </c>
    </row>
    <row r="332" ht="15.75" customHeight="1">
      <c r="A332" s="204" t="str">
        <f t="shared" ref="A332:I332" si="231">'2.17.'!A12</f>
        <v>#REF!</v>
      </c>
      <c r="B332" s="92" t="str">
        <f t="shared" si="231"/>
        <v>#REF!</v>
      </c>
      <c r="C332" s="92" t="str">
        <f t="shared" si="231"/>
        <v>#REF!</v>
      </c>
      <c r="D332" s="204" t="str">
        <f t="shared" si="231"/>
        <v>#REF!</v>
      </c>
      <c r="E332" s="204" t="str">
        <f t="shared" si="231"/>
        <v>#REF!</v>
      </c>
      <c r="F332" s="206" t="str">
        <f t="shared" si="231"/>
        <v>#REF!</v>
      </c>
      <c r="G332" s="207" t="str">
        <f t="shared" si="231"/>
        <v>#REF!</v>
      </c>
      <c r="H332" s="143" t="str">
        <f t="shared" si="231"/>
        <v>#REF!</v>
      </c>
      <c r="I332" s="143" t="str">
        <f t="shared" si="231"/>
        <v>#REF!</v>
      </c>
    </row>
    <row r="333" ht="15.75" customHeight="1">
      <c r="A333" s="204" t="str">
        <f t="shared" ref="A333:I333" si="232">'2.17.'!A13</f>
        <v>#REF!</v>
      </c>
      <c r="B333" s="92" t="str">
        <f t="shared" si="232"/>
        <v>#REF!</v>
      </c>
      <c r="C333" s="92" t="str">
        <f t="shared" si="232"/>
        <v>#REF!</v>
      </c>
      <c r="D333" s="204" t="str">
        <f t="shared" si="232"/>
        <v>#REF!</v>
      </c>
      <c r="E333" s="204" t="str">
        <f t="shared" si="232"/>
        <v>#REF!</v>
      </c>
      <c r="F333" s="206" t="str">
        <f t="shared" si="232"/>
        <v>#REF!</v>
      </c>
      <c r="G333" s="207" t="str">
        <f t="shared" si="232"/>
        <v>#REF!</v>
      </c>
      <c r="H333" s="143" t="str">
        <f t="shared" si="232"/>
        <v>#REF!</v>
      </c>
      <c r="I333" s="143" t="str">
        <f t="shared" si="232"/>
        <v>#REF!</v>
      </c>
    </row>
    <row r="334" ht="15.75" customHeight="1">
      <c r="A334" s="204" t="str">
        <f t="shared" ref="A334:I334" si="233">'2.17.'!A14</f>
        <v>#REF!</v>
      </c>
      <c r="B334" s="92" t="str">
        <f t="shared" si="233"/>
        <v>#REF!</v>
      </c>
      <c r="C334" s="92" t="str">
        <f t="shared" si="233"/>
        <v>#REF!</v>
      </c>
      <c r="D334" s="204" t="str">
        <f t="shared" si="233"/>
        <v>#REF!</v>
      </c>
      <c r="E334" s="204" t="str">
        <f t="shared" si="233"/>
        <v>#REF!</v>
      </c>
      <c r="F334" s="206" t="str">
        <f t="shared" si="233"/>
        <v>#REF!</v>
      </c>
      <c r="G334" s="207" t="str">
        <f t="shared" si="233"/>
        <v>#REF!</v>
      </c>
      <c r="H334" s="143" t="str">
        <f t="shared" si="233"/>
        <v>#REF!</v>
      </c>
      <c r="I334" s="143" t="str">
        <f t="shared" si="233"/>
        <v>#REF!</v>
      </c>
    </row>
    <row r="335" ht="15.75" customHeight="1">
      <c r="A335" s="204" t="str">
        <f t="shared" ref="A335:I335" si="234">'2.17.'!A15</f>
        <v>#REF!</v>
      </c>
      <c r="B335" s="92" t="str">
        <f t="shared" si="234"/>
        <v>#REF!</v>
      </c>
      <c r="C335" s="92" t="str">
        <f t="shared" si="234"/>
        <v>#REF!</v>
      </c>
      <c r="D335" s="204" t="str">
        <f t="shared" si="234"/>
        <v>#REF!</v>
      </c>
      <c r="E335" s="204" t="str">
        <f t="shared" si="234"/>
        <v>#REF!</v>
      </c>
      <c r="F335" s="206" t="str">
        <f t="shared" si="234"/>
        <v>#REF!</v>
      </c>
      <c r="G335" s="207" t="str">
        <f t="shared" si="234"/>
        <v>#REF!</v>
      </c>
      <c r="H335" s="143" t="str">
        <f t="shared" si="234"/>
        <v>#REF!</v>
      </c>
      <c r="I335" s="143" t="str">
        <f t="shared" si="234"/>
        <v>#REF!</v>
      </c>
    </row>
    <row r="336" ht="15.75" customHeight="1">
      <c r="A336" s="204" t="str">
        <f t="shared" ref="A336:I336" si="235">'2.17.'!A16</f>
        <v>#REF!</v>
      </c>
      <c r="B336" s="92" t="str">
        <f t="shared" si="235"/>
        <v>#REF!</v>
      </c>
      <c r="C336" s="92" t="str">
        <f t="shared" si="235"/>
        <v>#REF!</v>
      </c>
      <c r="D336" s="204" t="str">
        <f t="shared" si="235"/>
        <v>#REF!</v>
      </c>
      <c r="E336" s="204" t="str">
        <f t="shared" si="235"/>
        <v>#REF!</v>
      </c>
      <c r="F336" s="206" t="str">
        <f t="shared" si="235"/>
        <v>#REF!</v>
      </c>
      <c r="G336" s="207" t="str">
        <f t="shared" si="235"/>
        <v>#REF!</v>
      </c>
      <c r="H336" s="143" t="str">
        <f t="shared" si="235"/>
        <v>#REF!</v>
      </c>
      <c r="I336" s="143" t="str">
        <f t="shared" si="235"/>
        <v>#REF!</v>
      </c>
    </row>
    <row r="337" ht="15.75" customHeight="1">
      <c r="A337" s="204" t="str">
        <f t="shared" ref="A337:I337" si="236">'2.17.'!A17</f>
        <v>#REF!</v>
      </c>
      <c r="B337" s="92" t="str">
        <f t="shared" si="236"/>
        <v>#REF!</v>
      </c>
      <c r="C337" s="92" t="str">
        <f t="shared" si="236"/>
        <v>#REF!</v>
      </c>
      <c r="D337" s="204" t="str">
        <f t="shared" si="236"/>
        <v>#REF!</v>
      </c>
      <c r="E337" s="204" t="str">
        <f t="shared" si="236"/>
        <v>#REF!</v>
      </c>
      <c r="F337" s="206" t="str">
        <f t="shared" si="236"/>
        <v>#REF!</v>
      </c>
      <c r="G337" s="207" t="str">
        <f t="shared" si="236"/>
        <v>#REF!</v>
      </c>
      <c r="H337" s="143" t="str">
        <f t="shared" si="236"/>
        <v>#REF!</v>
      </c>
      <c r="I337" s="143" t="str">
        <f t="shared" si="236"/>
        <v>#REF!</v>
      </c>
    </row>
    <row r="338" ht="15.75" customHeight="1">
      <c r="A338" s="204" t="str">
        <f t="shared" ref="A338:I338" si="237">'2.17.'!A18</f>
        <v>#REF!</v>
      </c>
      <c r="B338" s="92" t="str">
        <f t="shared" si="237"/>
        <v>#REF!</v>
      </c>
      <c r="C338" s="92" t="str">
        <f t="shared" si="237"/>
        <v>#REF!</v>
      </c>
      <c r="D338" s="204" t="str">
        <f t="shared" si="237"/>
        <v>#REF!</v>
      </c>
      <c r="E338" s="204" t="str">
        <f t="shared" si="237"/>
        <v>#REF!</v>
      </c>
      <c r="F338" s="206" t="str">
        <f t="shared" si="237"/>
        <v>#REF!</v>
      </c>
      <c r="G338" s="207" t="str">
        <f t="shared" si="237"/>
        <v>#REF!</v>
      </c>
      <c r="H338" s="143" t="str">
        <f t="shared" si="237"/>
        <v>#REF!</v>
      </c>
      <c r="I338" s="143" t="str">
        <f t="shared" si="237"/>
        <v>#REF!</v>
      </c>
    </row>
    <row r="339" ht="15.75" customHeight="1">
      <c r="A339" s="216" t="str">
        <f t="shared" ref="A339:I339" si="238">'2.17.'!A19</f>
        <v>#REF!</v>
      </c>
      <c r="B339" s="216" t="str">
        <f t="shared" si="238"/>
        <v>#REF!</v>
      </c>
      <c r="C339" s="216" t="str">
        <f t="shared" si="238"/>
        <v>#REF!</v>
      </c>
      <c r="D339" s="216" t="str">
        <f t="shared" si="238"/>
        <v>#REF!</v>
      </c>
      <c r="E339" s="216" t="str">
        <f t="shared" si="238"/>
        <v>#REF!</v>
      </c>
      <c r="F339" s="208" t="str">
        <f t="shared" si="238"/>
        <v>#REF!</v>
      </c>
      <c r="G339" s="3" t="str">
        <f t="shared" si="238"/>
        <v>#REF!</v>
      </c>
      <c r="H339" s="143" t="str">
        <f t="shared" si="238"/>
        <v>#REF!</v>
      </c>
      <c r="I339" s="143" t="str">
        <f t="shared" si="238"/>
        <v>#REF!</v>
      </c>
    </row>
    <row r="340" ht="15.75" customHeight="1">
      <c r="A340" s="209" t="str">
        <f t="shared" ref="A340:I340" si="239">'2.17.'!A20</f>
        <v>#REF!</v>
      </c>
      <c r="B340" s="210" t="str">
        <f t="shared" si="239"/>
        <v>#REF!</v>
      </c>
      <c r="C340" s="210" t="str">
        <f t="shared" si="239"/>
        <v>#REF!</v>
      </c>
      <c r="D340" s="210" t="str">
        <f t="shared" si="239"/>
        <v>#REF!</v>
      </c>
      <c r="E340" s="210" t="str">
        <f t="shared" si="239"/>
        <v>#REF!</v>
      </c>
      <c r="F340" s="210" t="str">
        <f t="shared" si="239"/>
        <v>#REF!</v>
      </c>
      <c r="G340" s="211" t="str">
        <f t="shared" si="239"/>
        <v>#REF!</v>
      </c>
      <c r="H340" s="210" t="str">
        <f t="shared" si="239"/>
        <v>#REF!</v>
      </c>
      <c r="I340" s="212" t="str">
        <f t="shared" si="239"/>
        <v>#REF!</v>
      </c>
    </row>
    <row r="341" ht="15.75" customHeight="1">
      <c r="G341" s="3"/>
    </row>
    <row r="342" ht="15.75" customHeight="1">
      <c r="G342" s="3"/>
    </row>
    <row r="343">
      <c r="A343" s="195" t="str">
        <f t="shared" ref="A343:B343" si="240">'2.18.'!A3</f>
        <v>#REF!</v>
      </c>
      <c r="B343" s="196" t="str">
        <f t="shared" si="240"/>
        <v>#REF!</v>
      </c>
      <c r="C343" s="197"/>
      <c r="D343" s="197"/>
      <c r="E343" s="197"/>
      <c r="F343" s="197"/>
      <c r="G343" s="198" t="str">
        <f t="shared" ref="G343:I343" si="241">'2.18.'!G3</f>
        <v>#REF!</v>
      </c>
      <c r="H343" s="199" t="str">
        <f t="shared" si="241"/>
        <v>#REF!</v>
      </c>
      <c r="I343" s="200" t="str">
        <f t="shared" si="241"/>
        <v>#REF!</v>
      </c>
    </row>
    <row r="344" ht="15.75" customHeight="1">
      <c r="A344" s="216" t="str">
        <f t="shared" ref="A344:I344" si="242">'2.18.'!A4</f>
        <v>#REF!</v>
      </c>
      <c r="B344" s="216" t="str">
        <f t="shared" si="242"/>
        <v>#REF!</v>
      </c>
      <c r="C344" s="216" t="str">
        <f t="shared" si="242"/>
        <v>#REF!</v>
      </c>
      <c r="D344" s="216" t="str">
        <f t="shared" si="242"/>
        <v>#REF!</v>
      </c>
      <c r="E344" s="216" t="str">
        <f t="shared" si="242"/>
        <v>#REF!</v>
      </c>
      <c r="F344" s="216" t="str">
        <f t="shared" si="242"/>
        <v>#REF!</v>
      </c>
      <c r="G344" s="3" t="str">
        <f t="shared" si="242"/>
        <v>#REF!</v>
      </c>
      <c r="H344" s="216" t="str">
        <f t="shared" si="242"/>
        <v>#REF!</v>
      </c>
      <c r="I344" s="216" t="str">
        <f t="shared" si="242"/>
        <v>#REF!</v>
      </c>
    </row>
    <row r="345" ht="15.75" customHeight="1">
      <c r="A345" s="201" t="str">
        <f t="shared" ref="A345:I345" si="243">'2.18.'!A5</f>
        <v>#REF!</v>
      </c>
      <c r="B345" s="94" t="str">
        <f t="shared" si="243"/>
        <v>#REF!</v>
      </c>
      <c r="C345" s="94" t="str">
        <f t="shared" si="243"/>
        <v>#REF!</v>
      </c>
      <c r="D345" s="94" t="str">
        <f t="shared" si="243"/>
        <v>#REF!</v>
      </c>
      <c r="E345" s="94" t="str">
        <f t="shared" si="243"/>
        <v>#REF!</v>
      </c>
      <c r="F345" s="94" t="str">
        <f t="shared" si="243"/>
        <v>#REF!</v>
      </c>
      <c r="G345" s="2" t="str">
        <f t="shared" si="243"/>
        <v>#REF!</v>
      </c>
      <c r="H345" s="94" t="str">
        <f t="shared" si="243"/>
        <v>#REF!</v>
      </c>
      <c r="I345" s="94" t="str">
        <f t="shared" si="243"/>
        <v>#REF!</v>
      </c>
    </row>
    <row r="346" ht="15.75" customHeight="1">
      <c r="A346" s="202" t="str">
        <f t="shared" ref="A346:D346" si="244">'2.18.'!A6</f>
        <v>#REF!</v>
      </c>
      <c r="B346" s="202" t="str">
        <f t="shared" si="244"/>
        <v>#REF!</v>
      </c>
      <c r="C346" s="202" t="str">
        <f t="shared" si="244"/>
        <v>#REF!</v>
      </c>
      <c r="D346" s="203" t="str">
        <f t="shared" si="244"/>
        <v>#REF!</v>
      </c>
      <c r="E346" s="197"/>
      <c r="F346" s="202" t="str">
        <f t="shared" ref="F346:I346" si="245">'2.18.'!F6</f>
        <v>#REF!</v>
      </c>
      <c r="G346" s="4" t="str">
        <f t="shared" si="245"/>
        <v>#REF!</v>
      </c>
      <c r="H346" s="202" t="str">
        <f t="shared" si="245"/>
        <v>#REF!</v>
      </c>
      <c r="I346" s="202" t="str">
        <f t="shared" si="245"/>
        <v>#REF!</v>
      </c>
    </row>
    <row r="347" ht="15.75" customHeight="1">
      <c r="A347" s="204" t="str">
        <f t="shared" ref="A347:I347" si="246">'2.18.'!A7</f>
        <v>#REF!</v>
      </c>
      <c r="B347" s="92" t="str">
        <f t="shared" si="246"/>
        <v>#REF!</v>
      </c>
      <c r="C347" s="92" t="str">
        <f t="shared" si="246"/>
        <v>#REF!</v>
      </c>
      <c r="D347" s="205" t="str">
        <f t="shared" si="246"/>
        <v>#REF!</v>
      </c>
      <c r="E347" s="204" t="str">
        <f t="shared" si="246"/>
        <v>#REF!</v>
      </c>
      <c r="F347" s="206" t="str">
        <f t="shared" si="246"/>
        <v>#REF!</v>
      </c>
      <c r="G347" s="207" t="str">
        <f t="shared" si="246"/>
        <v>#REF!</v>
      </c>
      <c r="H347" s="143" t="str">
        <f t="shared" si="246"/>
        <v>#REF!</v>
      </c>
      <c r="I347" s="143" t="str">
        <f t="shared" si="246"/>
        <v>#REF!</v>
      </c>
    </row>
    <row r="348" ht="15.75" customHeight="1">
      <c r="A348" s="204" t="str">
        <f t="shared" ref="A348:I348" si="247">'2.18.'!A8</f>
        <v>#REF!</v>
      </c>
      <c r="B348" s="92" t="str">
        <f t="shared" si="247"/>
        <v>#REF!</v>
      </c>
      <c r="C348" s="92" t="str">
        <f t="shared" si="247"/>
        <v>#REF!</v>
      </c>
      <c r="D348" s="205" t="str">
        <f t="shared" si="247"/>
        <v>#REF!</v>
      </c>
      <c r="E348" s="204" t="str">
        <f t="shared" si="247"/>
        <v>#REF!</v>
      </c>
      <c r="F348" s="206" t="str">
        <f t="shared" si="247"/>
        <v>#REF!</v>
      </c>
      <c r="G348" s="207" t="str">
        <f t="shared" si="247"/>
        <v>#REF!</v>
      </c>
      <c r="H348" s="143" t="str">
        <f t="shared" si="247"/>
        <v>#REF!</v>
      </c>
      <c r="I348" s="143" t="str">
        <f t="shared" si="247"/>
        <v>#REF!</v>
      </c>
    </row>
    <row r="349" ht="15.75" customHeight="1">
      <c r="A349" s="204" t="str">
        <f t="shared" ref="A349:I349" si="248">'2.18.'!A9</f>
        <v>#REF!</v>
      </c>
      <c r="B349" s="92" t="str">
        <f t="shared" si="248"/>
        <v>#REF!</v>
      </c>
      <c r="C349" s="92" t="str">
        <f t="shared" si="248"/>
        <v>#REF!</v>
      </c>
      <c r="D349" s="205" t="str">
        <f t="shared" si="248"/>
        <v>#REF!</v>
      </c>
      <c r="E349" s="204" t="str">
        <f t="shared" si="248"/>
        <v>#REF!</v>
      </c>
      <c r="F349" s="206" t="str">
        <f t="shared" si="248"/>
        <v>#REF!</v>
      </c>
      <c r="G349" s="207" t="str">
        <f t="shared" si="248"/>
        <v>#REF!</v>
      </c>
      <c r="H349" s="143" t="str">
        <f t="shared" si="248"/>
        <v>#REF!</v>
      </c>
      <c r="I349" s="143" t="str">
        <f t="shared" si="248"/>
        <v>#REF!</v>
      </c>
    </row>
    <row r="350" ht="15.75" customHeight="1">
      <c r="A350" s="204" t="str">
        <f t="shared" ref="A350:I350" si="249">'2.18.'!A10</f>
        <v>#REF!</v>
      </c>
      <c r="B350" s="92" t="str">
        <f t="shared" si="249"/>
        <v>#REF!</v>
      </c>
      <c r="C350" s="92" t="str">
        <f t="shared" si="249"/>
        <v>#REF!</v>
      </c>
      <c r="D350" s="205" t="str">
        <f t="shared" si="249"/>
        <v>#REF!</v>
      </c>
      <c r="E350" s="204" t="str">
        <f t="shared" si="249"/>
        <v>#REF!</v>
      </c>
      <c r="F350" s="206" t="str">
        <f t="shared" si="249"/>
        <v>#REF!</v>
      </c>
      <c r="G350" s="207" t="str">
        <f t="shared" si="249"/>
        <v>#REF!</v>
      </c>
      <c r="H350" s="143" t="str">
        <f t="shared" si="249"/>
        <v>#REF!</v>
      </c>
      <c r="I350" s="143" t="str">
        <f t="shared" si="249"/>
        <v>#REF!</v>
      </c>
    </row>
    <row r="351" ht="15.75" customHeight="1">
      <c r="A351" s="204" t="str">
        <f t="shared" ref="A351:I351" si="250">'2.18.'!A11</f>
        <v>#REF!</v>
      </c>
      <c r="B351" s="92" t="str">
        <f t="shared" si="250"/>
        <v>#REF!</v>
      </c>
      <c r="C351" s="92" t="str">
        <f t="shared" si="250"/>
        <v>#REF!</v>
      </c>
      <c r="D351" s="204" t="str">
        <f t="shared" si="250"/>
        <v>#REF!</v>
      </c>
      <c r="E351" s="204" t="str">
        <f t="shared" si="250"/>
        <v>#REF!</v>
      </c>
      <c r="F351" s="206" t="str">
        <f t="shared" si="250"/>
        <v>#REF!</v>
      </c>
      <c r="G351" s="207" t="str">
        <f t="shared" si="250"/>
        <v>#REF!</v>
      </c>
      <c r="H351" s="143" t="str">
        <f t="shared" si="250"/>
        <v>#REF!</v>
      </c>
      <c r="I351" s="143" t="str">
        <f t="shared" si="250"/>
        <v>#REF!</v>
      </c>
    </row>
    <row r="352" ht="15.75" customHeight="1">
      <c r="A352" s="204" t="str">
        <f t="shared" ref="A352:I352" si="251">'2.18.'!A12</f>
        <v>#REF!</v>
      </c>
      <c r="B352" s="92" t="str">
        <f t="shared" si="251"/>
        <v>#REF!</v>
      </c>
      <c r="C352" s="92" t="str">
        <f t="shared" si="251"/>
        <v>#REF!</v>
      </c>
      <c r="D352" s="204" t="str">
        <f t="shared" si="251"/>
        <v>#REF!</v>
      </c>
      <c r="E352" s="204" t="str">
        <f t="shared" si="251"/>
        <v>#REF!</v>
      </c>
      <c r="F352" s="206" t="str">
        <f t="shared" si="251"/>
        <v>#REF!</v>
      </c>
      <c r="G352" s="207" t="str">
        <f t="shared" si="251"/>
        <v>#REF!</v>
      </c>
      <c r="H352" s="143" t="str">
        <f t="shared" si="251"/>
        <v>#REF!</v>
      </c>
      <c r="I352" s="143" t="str">
        <f t="shared" si="251"/>
        <v>#REF!</v>
      </c>
    </row>
    <row r="353" ht="15.75" customHeight="1">
      <c r="A353" s="204" t="str">
        <f t="shared" ref="A353:I353" si="252">'2.18.'!A13</f>
        <v>#REF!</v>
      </c>
      <c r="B353" s="92" t="str">
        <f t="shared" si="252"/>
        <v>#REF!</v>
      </c>
      <c r="C353" s="92" t="str">
        <f t="shared" si="252"/>
        <v>#REF!</v>
      </c>
      <c r="D353" s="204" t="str">
        <f t="shared" si="252"/>
        <v>#REF!</v>
      </c>
      <c r="E353" s="204" t="str">
        <f t="shared" si="252"/>
        <v>#REF!</v>
      </c>
      <c r="F353" s="206" t="str">
        <f t="shared" si="252"/>
        <v>#REF!</v>
      </c>
      <c r="G353" s="207" t="str">
        <f t="shared" si="252"/>
        <v>#REF!</v>
      </c>
      <c r="H353" s="143" t="str">
        <f t="shared" si="252"/>
        <v>#REF!</v>
      </c>
      <c r="I353" s="143" t="str">
        <f t="shared" si="252"/>
        <v>#REF!</v>
      </c>
    </row>
    <row r="354" ht="15.75" customHeight="1">
      <c r="A354" s="204" t="str">
        <f t="shared" ref="A354:I354" si="253">'2.18.'!A14</f>
        <v>#REF!</v>
      </c>
      <c r="B354" s="92" t="str">
        <f t="shared" si="253"/>
        <v>#REF!</v>
      </c>
      <c r="C354" s="92" t="str">
        <f t="shared" si="253"/>
        <v>#REF!</v>
      </c>
      <c r="D354" s="204" t="str">
        <f t="shared" si="253"/>
        <v>#REF!</v>
      </c>
      <c r="E354" s="204" t="str">
        <f t="shared" si="253"/>
        <v>#REF!</v>
      </c>
      <c r="F354" s="206" t="str">
        <f t="shared" si="253"/>
        <v>#REF!</v>
      </c>
      <c r="G354" s="207" t="str">
        <f t="shared" si="253"/>
        <v>#REF!</v>
      </c>
      <c r="H354" s="143" t="str">
        <f t="shared" si="253"/>
        <v>#REF!</v>
      </c>
      <c r="I354" s="143" t="str">
        <f t="shared" si="253"/>
        <v>#REF!</v>
      </c>
    </row>
    <row r="355" ht="15.75" customHeight="1">
      <c r="A355" s="204" t="str">
        <f t="shared" ref="A355:I355" si="254">'2.18.'!A15</f>
        <v>#REF!</v>
      </c>
      <c r="B355" s="92" t="str">
        <f t="shared" si="254"/>
        <v>#REF!</v>
      </c>
      <c r="C355" s="92" t="str">
        <f t="shared" si="254"/>
        <v>#REF!</v>
      </c>
      <c r="D355" s="204" t="str">
        <f t="shared" si="254"/>
        <v>#REF!</v>
      </c>
      <c r="E355" s="204" t="str">
        <f t="shared" si="254"/>
        <v>#REF!</v>
      </c>
      <c r="F355" s="206" t="str">
        <f t="shared" si="254"/>
        <v>#REF!</v>
      </c>
      <c r="G355" s="207" t="str">
        <f t="shared" si="254"/>
        <v>#REF!</v>
      </c>
      <c r="H355" s="143" t="str">
        <f t="shared" si="254"/>
        <v>#REF!</v>
      </c>
      <c r="I355" s="143" t="str">
        <f t="shared" si="254"/>
        <v>#REF!</v>
      </c>
    </row>
    <row r="356" ht="15.75" customHeight="1">
      <c r="A356" s="204" t="str">
        <f t="shared" ref="A356:I356" si="255">'2.18.'!A16</f>
        <v>#REF!</v>
      </c>
      <c r="B356" s="92" t="str">
        <f t="shared" si="255"/>
        <v>#REF!</v>
      </c>
      <c r="C356" s="92" t="str">
        <f t="shared" si="255"/>
        <v>#REF!</v>
      </c>
      <c r="D356" s="204" t="str">
        <f t="shared" si="255"/>
        <v>#REF!</v>
      </c>
      <c r="E356" s="204" t="str">
        <f t="shared" si="255"/>
        <v>#REF!</v>
      </c>
      <c r="F356" s="206" t="str">
        <f t="shared" si="255"/>
        <v>#REF!</v>
      </c>
      <c r="G356" s="207" t="str">
        <f t="shared" si="255"/>
        <v>#REF!</v>
      </c>
      <c r="H356" s="143" t="str">
        <f t="shared" si="255"/>
        <v>#REF!</v>
      </c>
      <c r="I356" s="143" t="str">
        <f t="shared" si="255"/>
        <v>#REF!</v>
      </c>
    </row>
    <row r="357" ht="15.75" customHeight="1">
      <c r="A357" s="204" t="str">
        <f t="shared" ref="A357:I357" si="256">'2.18.'!A17</f>
        <v>#REF!</v>
      </c>
      <c r="B357" s="92" t="str">
        <f t="shared" si="256"/>
        <v>#REF!</v>
      </c>
      <c r="C357" s="92" t="str">
        <f t="shared" si="256"/>
        <v>#REF!</v>
      </c>
      <c r="D357" s="204" t="str">
        <f t="shared" si="256"/>
        <v>#REF!</v>
      </c>
      <c r="E357" s="204" t="str">
        <f t="shared" si="256"/>
        <v>#REF!</v>
      </c>
      <c r="F357" s="206" t="str">
        <f t="shared" si="256"/>
        <v>#REF!</v>
      </c>
      <c r="G357" s="207" t="str">
        <f t="shared" si="256"/>
        <v>#REF!</v>
      </c>
      <c r="H357" s="143" t="str">
        <f t="shared" si="256"/>
        <v>#REF!</v>
      </c>
      <c r="I357" s="143" t="str">
        <f t="shared" si="256"/>
        <v>#REF!</v>
      </c>
    </row>
    <row r="358" ht="15.75" customHeight="1">
      <c r="A358" s="204" t="str">
        <f t="shared" ref="A358:I358" si="257">'2.18.'!A18</f>
        <v>#REF!</v>
      </c>
      <c r="B358" s="92" t="str">
        <f t="shared" si="257"/>
        <v>#REF!</v>
      </c>
      <c r="C358" s="92" t="str">
        <f t="shared" si="257"/>
        <v>#REF!</v>
      </c>
      <c r="D358" s="204" t="str">
        <f t="shared" si="257"/>
        <v>#REF!</v>
      </c>
      <c r="E358" s="204" t="str">
        <f t="shared" si="257"/>
        <v>#REF!</v>
      </c>
      <c r="F358" s="206" t="str">
        <f t="shared" si="257"/>
        <v>#REF!</v>
      </c>
      <c r="G358" s="207" t="str">
        <f t="shared" si="257"/>
        <v>#REF!</v>
      </c>
      <c r="H358" s="143" t="str">
        <f t="shared" si="257"/>
        <v>#REF!</v>
      </c>
      <c r="I358" s="143" t="str">
        <f t="shared" si="257"/>
        <v>#REF!</v>
      </c>
    </row>
    <row r="359" ht="15.75" customHeight="1">
      <c r="A359" s="216" t="str">
        <f t="shared" ref="A359:I359" si="258">'2.18.'!A19</f>
        <v>#REF!</v>
      </c>
      <c r="B359" s="216" t="str">
        <f t="shared" si="258"/>
        <v>#REF!</v>
      </c>
      <c r="C359" s="216" t="str">
        <f t="shared" si="258"/>
        <v>#REF!</v>
      </c>
      <c r="D359" s="216" t="str">
        <f t="shared" si="258"/>
        <v>#REF!</v>
      </c>
      <c r="E359" s="216" t="str">
        <f t="shared" si="258"/>
        <v>#REF!</v>
      </c>
      <c r="F359" s="208" t="str">
        <f t="shared" si="258"/>
        <v>#REF!</v>
      </c>
      <c r="G359" s="3" t="str">
        <f t="shared" si="258"/>
        <v>#REF!</v>
      </c>
      <c r="H359" s="143" t="str">
        <f t="shared" si="258"/>
        <v>#REF!</v>
      </c>
      <c r="I359" s="143" t="str">
        <f t="shared" si="258"/>
        <v>#REF!</v>
      </c>
    </row>
    <row r="360" ht="15.75" customHeight="1">
      <c r="A360" s="209" t="str">
        <f t="shared" ref="A360:I360" si="259">'2.18.'!A20</f>
        <v>#REF!</v>
      </c>
      <c r="B360" s="210" t="str">
        <f t="shared" si="259"/>
        <v>#REF!</v>
      </c>
      <c r="C360" s="210" t="str">
        <f t="shared" si="259"/>
        <v>#REF!</v>
      </c>
      <c r="D360" s="210" t="str">
        <f t="shared" si="259"/>
        <v>#REF!</v>
      </c>
      <c r="E360" s="210" t="str">
        <f t="shared" si="259"/>
        <v>#REF!</v>
      </c>
      <c r="F360" s="210" t="str">
        <f t="shared" si="259"/>
        <v>#REF!</v>
      </c>
      <c r="G360" s="211" t="str">
        <f t="shared" si="259"/>
        <v>#REF!</v>
      </c>
      <c r="H360" s="210" t="str">
        <f t="shared" si="259"/>
        <v>#REF!</v>
      </c>
      <c r="I360" s="212" t="str">
        <f t="shared" si="259"/>
        <v>#REF!</v>
      </c>
    </row>
    <row r="361" ht="15.75" customHeight="1">
      <c r="G361" s="3"/>
    </row>
    <row r="362" ht="15.75" customHeight="1">
      <c r="G362" s="3"/>
    </row>
    <row r="363">
      <c r="A363" s="195" t="str">
        <f t="shared" ref="A363:B363" si="260">'2.19.'!A3</f>
        <v>#REF!</v>
      </c>
      <c r="B363" s="196" t="str">
        <f t="shared" si="260"/>
        <v>#REF!</v>
      </c>
      <c r="C363" s="197"/>
      <c r="D363" s="197"/>
      <c r="E363" s="197"/>
      <c r="F363" s="197"/>
      <c r="G363" s="198" t="str">
        <f t="shared" ref="G363:I363" si="261">'2.19.'!G3</f>
        <v>#REF!</v>
      </c>
      <c r="H363" s="199" t="str">
        <f t="shared" si="261"/>
        <v>#REF!</v>
      </c>
      <c r="I363" s="200" t="str">
        <f t="shared" si="261"/>
        <v>#REF!</v>
      </c>
    </row>
    <row r="364" ht="15.75" customHeight="1">
      <c r="A364" s="216" t="str">
        <f t="shared" ref="A364:I364" si="262">'2.19.'!A4</f>
        <v>#REF!</v>
      </c>
      <c r="B364" s="216" t="str">
        <f t="shared" si="262"/>
        <v>#REF!</v>
      </c>
      <c r="C364" s="216" t="str">
        <f t="shared" si="262"/>
        <v>#REF!</v>
      </c>
      <c r="D364" s="216" t="str">
        <f t="shared" si="262"/>
        <v>#REF!</v>
      </c>
      <c r="E364" s="216" t="str">
        <f t="shared" si="262"/>
        <v>#REF!</v>
      </c>
      <c r="F364" s="216" t="str">
        <f t="shared" si="262"/>
        <v>#REF!</v>
      </c>
      <c r="G364" s="3" t="str">
        <f t="shared" si="262"/>
        <v>#REF!</v>
      </c>
      <c r="H364" s="216" t="str">
        <f t="shared" si="262"/>
        <v>#REF!</v>
      </c>
      <c r="I364" s="216" t="str">
        <f t="shared" si="262"/>
        <v>#REF!</v>
      </c>
    </row>
    <row r="365" ht="15.75" customHeight="1">
      <c r="A365" s="201" t="str">
        <f t="shared" ref="A365:I365" si="263">'2.19.'!A5</f>
        <v>#REF!</v>
      </c>
      <c r="B365" s="94" t="str">
        <f t="shared" si="263"/>
        <v>#REF!</v>
      </c>
      <c r="C365" s="94" t="str">
        <f t="shared" si="263"/>
        <v>#REF!</v>
      </c>
      <c r="D365" s="94" t="str">
        <f t="shared" si="263"/>
        <v>#REF!</v>
      </c>
      <c r="E365" s="94" t="str">
        <f t="shared" si="263"/>
        <v>#REF!</v>
      </c>
      <c r="F365" s="94" t="str">
        <f t="shared" si="263"/>
        <v>#REF!</v>
      </c>
      <c r="G365" s="2" t="str">
        <f t="shared" si="263"/>
        <v>#REF!</v>
      </c>
      <c r="H365" s="94" t="str">
        <f t="shared" si="263"/>
        <v>#REF!</v>
      </c>
      <c r="I365" s="94" t="str">
        <f t="shared" si="263"/>
        <v>#REF!</v>
      </c>
    </row>
    <row r="366" ht="15.75" customHeight="1">
      <c r="A366" s="202" t="str">
        <f t="shared" ref="A366:D366" si="264">'2.19.'!A6</f>
        <v>#REF!</v>
      </c>
      <c r="B366" s="202" t="str">
        <f t="shared" si="264"/>
        <v>#REF!</v>
      </c>
      <c r="C366" s="202" t="str">
        <f t="shared" si="264"/>
        <v>#REF!</v>
      </c>
      <c r="D366" s="203" t="str">
        <f t="shared" si="264"/>
        <v>#REF!</v>
      </c>
      <c r="E366" s="197"/>
      <c r="F366" s="202" t="str">
        <f t="shared" ref="F366:I366" si="265">'2.19.'!F6</f>
        <v>#REF!</v>
      </c>
      <c r="G366" s="4" t="str">
        <f t="shared" si="265"/>
        <v>#REF!</v>
      </c>
      <c r="H366" s="202" t="str">
        <f t="shared" si="265"/>
        <v>#REF!</v>
      </c>
      <c r="I366" s="202" t="str">
        <f t="shared" si="265"/>
        <v>#REF!</v>
      </c>
    </row>
    <row r="367" ht="15.75" customHeight="1">
      <c r="A367" s="204" t="str">
        <f t="shared" ref="A367:I367" si="266">'2.19.'!A7</f>
        <v>#REF!</v>
      </c>
      <c r="B367" s="92" t="str">
        <f t="shared" si="266"/>
        <v>#REF!</v>
      </c>
      <c r="C367" s="92" t="str">
        <f t="shared" si="266"/>
        <v>#REF!</v>
      </c>
      <c r="D367" s="205" t="str">
        <f t="shared" si="266"/>
        <v>#REF!</v>
      </c>
      <c r="E367" s="204" t="str">
        <f t="shared" si="266"/>
        <v>#REF!</v>
      </c>
      <c r="F367" s="206" t="str">
        <f t="shared" si="266"/>
        <v>#REF!</v>
      </c>
      <c r="G367" s="207" t="str">
        <f t="shared" si="266"/>
        <v>#REF!</v>
      </c>
      <c r="H367" s="143" t="str">
        <f t="shared" si="266"/>
        <v>#REF!</v>
      </c>
      <c r="I367" s="143" t="str">
        <f t="shared" si="266"/>
        <v>#REF!</v>
      </c>
    </row>
    <row r="368" ht="15.75" customHeight="1">
      <c r="A368" s="204" t="str">
        <f t="shared" ref="A368:I368" si="267">'2.19.'!A8</f>
        <v>#REF!</v>
      </c>
      <c r="B368" s="92" t="str">
        <f t="shared" si="267"/>
        <v>#REF!</v>
      </c>
      <c r="C368" s="92" t="str">
        <f t="shared" si="267"/>
        <v>#REF!</v>
      </c>
      <c r="D368" s="205" t="str">
        <f t="shared" si="267"/>
        <v>#REF!</v>
      </c>
      <c r="E368" s="204" t="str">
        <f t="shared" si="267"/>
        <v>#REF!</v>
      </c>
      <c r="F368" s="206" t="str">
        <f t="shared" si="267"/>
        <v>#REF!</v>
      </c>
      <c r="G368" s="207" t="str">
        <f t="shared" si="267"/>
        <v>#REF!</v>
      </c>
      <c r="H368" s="143" t="str">
        <f t="shared" si="267"/>
        <v>#REF!</v>
      </c>
      <c r="I368" s="143" t="str">
        <f t="shared" si="267"/>
        <v>#REF!</v>
      </c>
    </row>
    <row r="369" ht="15.75" customHeight="1">
      <c r="A369" s="204" t="str">
        <f t="shared" ref="A369:I369" si="268">'2.19.'!A9</f>
        <v>#REF!</v>
      </c>
      <c r="B369" s="92" t="str">
        <f t="shared" si="268"/>
        <v>#REF!</v>
      </c>
      <c r="C369" s="92" t="str">
        <f t="shared" si="268"/>
        <v>#REF!</v>
      </c>
      <c r="D369" s="205" t="str">
        <f t="shared" si="268"/>
        <v>#REF!</v>
      </c>
      <c r="E369" s="204" t="str">
        <f t="shared" si="268"/>
        <v>#REF!</v>
      </c>
      <c r="F369" s="206" t="str">
        <f t="shared" si="268"/>
        <v>#REF!</v>
      </c>
      <c r="G369" s="207" t="str">
        <f t="shared" si="268"/>
        <v>#REF!</v>
      </c>
      <c r="H369" s="143" t="str">
        <f t="shared" si="268"/>
        <v>#REF!</v>
      </c>
      <c r="I369" s="143" t="str">
        <f t="shared" si="268"/>
        <v>#REF!</v>
      </c>
    </row>
    <row r="370" ht="15.75" customHeight="1">
      <c r="A370" s="204" t="str">
        <f t="shared" ref="A370:I370" si="269">'2.19.'!A10</f>
        <v>#REF!</v>
      </c>
      <c r="B370" s="92" t="str">
        <f t="shared" si="269"/>
        <v>#REF!</v>
      </c>
      <c r="C370" s="92" t="str">
        <f t="shared" si="269"/>
        <v>#REF!</v>
      </c>
      <c r="D370" s="204" t="str">
        <f t="shared" si="269"/>
        <v>#REF!</v>
      </c>
      <c r="E370" s="204" t="str">
        <f t="shared" si="269"/>
        <v>#REF!</v>
      </c>
      <c r="F370" s="206" t="str">
        <f t="shared" si="269"/>
        <v>#REF!</v>
      </c>
      <c r="G370" s="207" t="str">
        <f t="shared" si="269"/>
        <v>#REF!</v>
      </c>
      <c r="H370" s="143" t="str">
        <f t="shared" si="269"/>
        <v>#REF!</v>
      </c>
      <c r="I370" s="143" t="str">
        <f t="shared" si="269"/>
        <v>#REF!</v>
      </c>
    </row>
    <row r="371" ht="15.75" customHeight="1">
      <c r="A371" s="204" t="str">
        <f t="shared" ref="A371:I371" si="270">'2.19.'!A11</f>
        <v>#REF!</v>
      </c>
      <c r="B371" s="92" t="str">
        <f t="shared" si="270"/>
        <v>#REF!</v>
      </c>
      <c r="C371" s="92" t="str">
        <f t="shared" si="270"/>
        <v>#REF!</v>
      </c>
      <c r="D371" s="204" t="str">
        <f t="shared" si="270"/>
        <v>#REF!</v>
      </c>
      <c r="E371" s="204" t="str">
        <f t="shared" si="270"/>
        <v>#REF!</v>
      </c>
      <c r="F371" s="206" t="str">
        <f t="shared" si="270"/>
        <v>#REF!</v>
      </c>
      <c r="G371" s="207" t="str">
        <f t="shared" si="270"/>
        <v>#REF!</v>
      </c>
      <c r="H371" s="143" t="str">
        <f t="shared" si="270"/>
        <v>#REF!</v>
      </c>
      <c r="I371" s="143" t="str">
        <f t="shared" si="270"/>
        <v>#REF!</v>
      </c>
    </row>
    <row r="372" ht="15.75" customHeight="1">
      <c r="A372" s="204" t="str">
        <f t="shared" ref="A372:I372" si="271">'2.19.'!A12</f>
        <v>#REF!</v>
      </c>
      <c r="B372" s="92" t="str">
        <f t="shared" si="271"/>
        <v>#REF!</v>
      </c>
      <c r="C372" s="92" t="str">
        <f t="shared" si="271"/>
        <v>#REF!</v>
      </c>
      <c r="D372" s="204" t="str">
        <f t="shared" si="271"/>
        <v>#REF!</v>
      </c>
      <c r="E372" s="204" t="str">
        <f t="shared" si="271"/>
        <v>#REF!</v>
      </c>
      <c r="F372" s="206" t="str">
        <f t="shared" si="271"/>
        <v>#REF!</v>
      </c>
      <c r="G372" s="207" t="str">
        <f t="shared" si="271"/>
        <v>#REF!</v>
      </c>
      <c r="H372" s="143" t="str">
        <f t="shared" si="271"/>
        <v>#REF!</v>
      </c>
      <c r="I372" s="143" t="str">
        <f t="shared" si="271"/>
        <v>#REF!</v>
      </c>
    </row>
    <row r="373" ht="15.75" customHeight="1">
      <c r="A373" s="204" t="str">
        <f t="shared" ref="A373:I373" si="272">'2.19.'!A13</f>
        <v>#REF!</v>
      </c>
      <c r="B373" s="92" t="str">
        <f t="shared" si="272"/>
        <v>#REF!</v>
      </c>
      <c r="C373" s="92" t="str">
        <f t="shared" si="272"/>
        <v>#REF!</v>
      </c>
      <c r="D373" s="204" t="str">
        <f t="shared" si="272"/>
        <v>#REF!</v>
      </c>
      <c r="E373" s="204" t="str">
        <f t="shared" si="272"/>
        <v>#REF!</v>
      </c>
      <c r="F373" s="206" t="str">
        <f t="shared" si="272"/>
        <v>#REF!</v>
      </c>
      <c r="G373" s="207" t="str">
        <f t="shared" si="272"/>
        <v>#REF!</v>
      </c>
      <c r="H373" s="143" t="str">
        <f t="shared" si="272"/>
        <v>#REF!</v>
      </c>
      <c r="I373" s="143" t="str">
        <f t="shared" si="272"/>
        <v>#REF!</v>
      </c>
    </row>
    <row r="374" ht="15.75" customHeight="1">
      <c r="A374" s="204" t="str">
        <f t="shared" ref="A374:I374" si="273">'2.19.'!A14</f>
        <v>#REF!</v>
      </c>
      <c r="B374" s="92" t="str">
        <f t="shared" si="273"/>
        <v>#REF!</v>
      </c>
      <c r="C374" s="92" t="str">
        <f t="shared" si="273"/>
        <v>#REF!</v>
      </c>
      <c r="D374" s="204" t="str">
        <f t="shared" si="273"/>
        <v>#REF!</v>
      </c>
      <c r="E374" s="204" t="str">
        <f t="shared" si="273"/>
        <v>#REF!</v>
      </c>
      <c r="F374" s="206" t="str">
        <f t="shared" si="273"/>
        <v>#REF!</v>
      </c>
      <c r="G374" s="207" t="str">
        <f t="shared" si="273"/>
        <v>#REF!</v>
      </c>
      <c r="H374" s="143" t="str">
        <f t="shared" si="273"/>
        <v>#REF!</v>
      </c>
      <c r="I374" s="143" t="str">
        <f t="shared" si="273"/>
        <v>#REF!</v>
      </c>
    </row>
    <row r="375" ht="15.75" customHeight="1">
      <c r="A375" s="204" t="str">
        <f t="shared" ref="A375:I375" si="274">'2.19.'!A15</f>
        <v>#REF!</v>
      </c>
      <c r="B375" s="92" t="str">
        <f t="shared" si="274"/>
        <v>#REF!</v>
      </c>
      <c r="C375" s="92" t="str">
        <f t="shared" si="274"/>
        <v>#REF!</v>
      </c>
      <c r="D375" s="204" t="str">
        <f t="shared" si="274"/>
        <v>#REF!</v>
      </c>
      <c r="E375" s="204" t="str">
        <f t="shared" si="274"/>
        <v>#REF!</v>
      </c>
      <c r="F375" s="206" t="str">
        <f t="shared" si="274"/>
        <v>#REF!</v>
      </c>
      <c r="G375" s="207" t="str">
        <f t="shared" si="274"/>
        <v>#REF!</v>
      </c>
      <c r="H375" s="143" t="str">
        <f t="shared" si="274"/>
        <v>#REF!</v>
      </c>
      <c r="I375" s="143" t="str">
        <f t="shared" si="274"/>
        <v>#REF!</v>
      </c>
    </row>
    <row r="376" ht="15.75" customHeight="1">
      <c r="A376" s="204" t="str">
        <f t="shared" ref="A376:I376" si="275">'2.19.'!A16</f>
        <v>#REF!</v>
      </c>
      <c r="B376" s="92" t="str">
        <f t="shared" si="275"/>
        <v>#REF!</v>
      </c>
      <c r="C376" s="92" t="str">
        <f t="shared" si="275"/>
        <v>#REF!</v>
      </c>
      <c r="D376" s="204" t="str">
        <f t="shared" si="275"/>
        <v>#REF!</v>
      </c>
      <c r="E376" s="204" t="str">
        <f t="shared" si="275"/>
        <v>#REF!</v>
      </c>
      <c r="F376" s="206" t="str">
        <f t="shared" si="275"/>
        <v>#REF!</v>
      </c>
      <c r="G376" s="207" t="str">
        <f t="shared" si="275"/>
        <v>#REF!</v>
      </c>
      <c r="H376" s="143" t="str">
        <f t="shared" si="275"/>
        <v>#REF!</v>
      </c>
      <c r="I376" s="143" t="str">
        <f t="shared" si="275"/>
        <v>#REF!</v>
      </c>
    </row>
    <row r="377" ht="15.75" customHeight="1">
      <c r="A377" s="204" t="str">
        <f t="shared" ref="A377:I377" si="276">'2.19.'!A17</f>
        <v>#REF!</v>
      </c>
      <c r="B377" s="92" t="str">
        <f t="shared" si="276"/>
        <v>#REF!</v>
      </c>
      <c r="C377" s="92" t="str">
        <f t="shared" si="276"/>
        <v>#REF!</v>
      </c>
      <c r="D377" s="204" t="str">
        <f t="shared" si="276"/>
        <v>#REF!</v>
      </c>
      <c r="E377" s="204" t="str">
        <f t="shared" si="276"/>
        <v>#REF!</v>
      </c>
      <c r="F377" s="206" t="str">
        <f t="shared" si="276"/>
        <v>#REF!</v>
      </c>
      <c r="G377" s="207" t="str">
        <f t="shared" si="276"/>
        <v>#REF!</v>
      </c>
      <c r="H377" s="143" t="str">
        <f t="shared" si="276"/>
        <v>#REF!</v>
      </c>
      <c r="I377" s="143" t="str">
        <f t="shared" si="276"/>
        <v>#REF!</v>
      </c>
    </row>
    <row r="378" ht="15.75" customHeight="1">
      <c r="A378" s="204" t="str">
        <f t="shared" ref="A378:I378" si="277">'2.19.'!A18</f>
        <v>#REF!</v>
      </c>
      <c r="B378" s="92" t="str">
        <f t="shared" si="277"/>
        <v>#REF!</v>
      </c>
      <c r="C378" s="92" t="str">
        <f t="shared" si="277"/>
        <v>#REF!</v>
      </c>
      <c r="D378" s="204" t="str">
        <f t="shared" si="277"/>
        <v>#REF!</v>
      </c>
      <c r="E378" s="204" t="str">
        <f t="shared" si="277"/>
        <v>#REF!</v>
      </c>
      <c r="F378" s="206" t="str">
        <f t="shared" si="277"/>
        <v>#REF!</v>
      </c>
      <c r="G378" s="207" t="str">
        <f t="shared" si="277"/>
        <v>#REF!</v>
      </c>
      <c r="H378" s="143" t="str">
        <f t="shared" si="277"/>
        <v>#REF!</v>
      </c>
      <c r="I378" s="143" t="str">
        <f t="shared" si="277"/>
        <v>#REF!</v>
      </c>
    </row>
    <row r="379" ht="15.75" customHeight="1">
      <c r="A379" s="216" t="str">
        <f t="shared" ref="A379:I379" si="278">'2.19.'!A19</f>
        <v>#REF!</v>
      </c>
      <c r="B379" s="216" t="str">
        <f t="shared" si="278"/>
        <v>#REF!</v>
      </c>
      <c r="C379" s="216" t="str">
        <f t="shared" si="278"/>
        <v>#REF!</v>
      </c>
      <c r="D379" s="216" t="str">
        <f t="shared" si="278"/>
        <v>#REF!</v>
      </c>
      <c r="E379" s="216" t="str">
        <f t="shared" si="278"/>
        <v>#REF!</v>
      </c>
      <c r="F379" s="208" t="str">
        <f t="shared" si="278"/>
        <v>#REF!</v>
      </c>
      <c r="G379" s="3" t="str">
        <f t="shared" si="278"/>
        <v>#REF!</v>
      </c>
      <c r="H379" s="143" t="str">
        <f t="shared" si="278"/>
        <v>#REF!</v>
      </c>
      <c r="I379" s="143" t="str">
        <f t="shared" si="278"/>
        <v>#REF!</v>
      </c>
    </row>
    <row r="380" ht="15.75" customHeight="1">
      <c r="A380" s="209" t="str">
        <f t="shared" ref="A380:I380" si="279">'2.19.'!A20</f>
        <v>#REF!</v>
      </c>
      <c r="B380" s="210" t="str">
        <f t="shared" si="279"/>
        <v>#REF!</v>
      </c>
      <c r="C380" s="210" t="str">
        <f t="shared" si="279"/>
        <v>#REF!</v>
      </c>
      <c r="D380" s="210" t="str">
        <f t="shared" si="279"/>
        <v>#REF!</v>
      </c>
      <c r="E380" s="210" t="str">
        <f t="shared" si="279"/>
        <v>#REF!</v>
      </c>
      <c r="F380" s="210" t="str">
        <f t="shared" si="279"/>
        <v>#REF!</v>
      </c>
      <c r="G380" s="211" t="str">
        <f t="shared" si="279"/>
        <v>#REF!</v>
      </c>
      <c r="H380" s="210" t="str">
        <f t="shared" si="279"/>
        <v>#REF!</v>
      </c>
      <c r="I380" s="212" t="str">
        <f t="shared" si="279"/>
        <v>#REF!</v>
      </c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38">
    <mergeCell ref="B3:F3"/>
    <mergeCell ref="D6:E6"/>
    <mergeCell ref="B23:F23"/>
    <mergeCell ref="D26:E26"/>
    <mergeCell ref="B43:F43"/>
    <mergeCell ref="D46:E46"/>
    <mergeCell ref="B63:F63"/>
    <mergeCell ref="D66:E66"/>
    <mergeCell ref="B83:F83"/>
    <mergeCell ref="D86:E86"/>
    <mergeCell ref="B103:F103"/>
    <mergeCell ref="D106:E106"/>
    <mergeCell ref="B123:F123"/>
    <mergeCell ref="D126:E126"/>
    <mergeCell ref="B143:F143"/>
    <mergeCell ref="D146:E146"/>
    <mergeCell ref="B163:F163"/>
    <mergeCell ref="D166:E166"/>
    <mergeCell ref="B183:F183"/>
    <mergeCell ref="D186:E186"/>
    <mergeCell ref="B203:F203"/>
    <mergeCell ref="D206:E206"/>
    <mergeCell ref="B223:F223"/>
    <mergeCell ref="D226:E226"/>
    <mergeCell ref="B243:F243"/>
    <mergeCell ref="D246:E246"/>
    <mergeCell ref="B263:F263"/>
    <mergeCell ref="D266:E266"/>
    <mergeCell ref="D346:E346"/>
    <mergeCell ref="B363:F363"/>
    <mergeCell ref="D366:E366"/>
    <mergeCell ref="B283:F283"/>
    <mergeCell ref="D286:E286"/>
    <mergeCell ref="B303:F303"/>
    <mergeCell ref="D306:E306"/>
    <mergeCell ref="B323:F323"/>
    <mergeCell ref="D326:E326"/>
    <mergeCell ref="B343:F343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91" t="str">
        <f>'01_C&amp;P'!A1</f>
        <v>EDIFICIO LAS HERAS</v>
      </c>
      <c r="B1" s="91"/>
      <c r="C1" s="91"/>
      <c r="G1" s="3"/>
    </row>
    <row r="2" ht="14.25" customHeight="1">
      <c r="G2" s="3"/>
    </row>
    <row r="3" ht="23.25" customHeight="1">
      <c r="A3" s="195">
        <f>'2.1.'!A3</f>
        <v>45293</v>
      </c>
      <c r="B3" s="196" t="str">
        <f>'2.1.'!B3</f>
        <v>COLUMNAS Y TABIQUES</v>
      </c>
      <c r="C3" s="197"/>
      <c r="D3" s="197"/>
      <c r="E3" s="197"/>
      <c r="F3" s="197"/>
      <c r="G3" s="198" t="str">
        <f>'2.1.'!G3</f>
        <v/>
      </c>
      <c r="H3" s="199">
        <f>'2.1.'!H3</f>
        <v>31</v>
      </c>
      <c r="I3" s="200" t="str">
        <f>'2.1.'!I3</f>
        <v>m³</v>
      </c>
    </row>
    <row r="4" ht="14.25" customHeight="1">
      <c r="G4" s="3"/>
    </row>
    <row r="5" ht="14.25" customHeight="1">
      <c r="A5" s="220" t="str">
        <f>'2.1.'!A53</f>
        <v>MANO DE OBRA - MATERIALES</v>
      </c>
      <c r="B5" s="197"/>
      <c r="C5" s="94" t="str">
        <f>'2.1.'!C53</f>
        <v/>
      </c>
      <c r="D5" s="94" t="str">
        <f>'2.1.'!D53</f>
        <v/>
      </c>
      <c r="E5" s="94" t="str">
        <f>'2.1.'!E53</f>
        <v/>
      </c>
      <c r="F5" s="94" t="str">
        <f>'2.1.'!F53</f>
        <v/>
      </c>
      <c r="G5" s="2" t="str">
        <f>'2.1.'!G53</f>
        <v/>
      </c>
      <c r="H5" s="94" t="str">
        <f>'2.1.'!H53</f>
        <v/>
      </c>
      <c r="I5" s="94" t="str">
        <f>'2.1.'!I53</f>
        <v/>
      </c>
      <c r="J5" s="92"/>
      <c r="K5" s="92"/>
      <c r="L5" s="92"/>
    </row>
    <row r="6" ht="14.25" customHeight="1">
      <c r="A6" s="202" t="str">
        <f>'2.1.'!A54</f>
        <v>Código</v>
      </c>
      <c r="B6" s="202" t="str">
        <f>'2.1.'!B54</f>
        <v>Descripción</v>
      </c>
      <c r="C6" s="202" t="str">
        <f>'2.1.'!C54</f>
        <v>Unidad</v>
      </c>
      <c r="D6" s="202" t="str">
        <f>'2.1.'!D54</f>
        <v>Cantidad</v>
      </c>
      <c r="E6" s="202" t="str">
        <f>'2.1.'!E54</f>
        <v/>
      </c>
      <c r="F6" s="202" t="str">
        <f>'2.1.'!F54</f>
        <v>Desperdicio</v>
      </c>
      <c r="G6" s="4" t="str">
        <f>'2.1.'!G54</f>
        <v>Cantidad + Desperdicio</v>
      </c>
      <c r="H6" s="202" t="str">
        <f>'2.1.'!H54</f>
        <v>Precio Unitario</v>
      </c>
      <c r="I6" s="202" t="str">
        <f>'2.1.'!I54</f>
        <v>Subtotal</v>
      </c>
      <c r="J6" s="92"/>
      <c r="K6" s="92"/>
      <c r="L6" s="92"/>
    </row>
    <row r="7" ht="14.25" customHeight="1">
      <c r="A7" s="204" t="str">
        <f>'2.1.'!A55</f>
        <v/>
      </c>
      <c r="B7" s="92" t="str">
        <f>'2.1.'!B55</f>
        <v/>
      </c>
      <c r="C7" s="92" t="str">
        <f>'2.1.'!C55</f>
        <v/>
      </c>
      <c r="D7" s="205" t="str">
        <f>'2.1.'!D55</f>
        <v/>
      </c>
      <c r="E7" s="204" t="str">
        <f>'2.1.'!E55</f>
        <v/>
      </c>
      <c r="F7" s="206">
        <f>'2.1.'!F55</f>
        <v>0.1</v>
      </c>
      <c r="G7" s="221">
        <f>'2.1.'!G55</f>
        <v>0</v>
      </c>
      <c r="H7" s="143" t="str">
        <f>'2.1.'!H55</f>
        <v/>
      </c>
      <c r="I7" s="143">
        <f>'2.1.'!I55</f>
        <v>0</v>
      </c>
    </row>
    <row r="8" ht="14.25" customHeight="1">
      <c r="A8" s="204" t="str">
        <f>'2.1.'!A56</f>
        <v/>
      </c>
      <c r="B8" s="92" t="str">
        <f>'2.1.'!B56</f>
        <v/>
      </c>
      <c r="C8" s="92" t="str">
        <f>'2.1.'!C56</f>
        <v/>
      </c>
      <c r="D8" s="205" t="str">
        <f>'2.1.'!D56</f>
        <v/>
      </c>
      <c r="E8" s="204" t="str">
        <f>'2.1.'!E56</f>
        <v/>
      </c>
      <c r="F8" s="206">
        <f>'2.1.'!F56</f>
        <v>0.1</v>
      </c>
      <c r="G8" s="221">
        <f>'2.1.'!G56</f>
        <v>0</v>
      </c>
      <c r="H8" s="143" t="str">
        <f>'2.1.'!H56</f>
        <v/>
      </c>
      <c r="I8" s="143">
        <f>'2.1.'!I56</f>
        <v>0</v>
      </c>
    </row>
    <row r="9" ht="14.25" customHeight="1">
      <c r="A9" s="204" t="str">
        <f>'2.1.'!A57</f>
        <v>CL2</v>
      </c>
      <c r="B9" s="92" t="str">
        <f>'2.1.'!B57</f>
        <v>Clavos 2" punta paris (k)</v>
      </c>
      <c r="C9" s="92" t="str">
        <f>'2.1.'!C57</f>
        <v>k</v>
      </c>
      <c r="D9" s="205">
        <f>'2.1.'!D57</f>
        <v>10</v>
      </c>
      <c r="E9" s="204" t="str">
        <f>'2.1.'!E57</f>
        <v/>
      </c>
      <c r="F9" s="206">
        <f>'2.1.'!F57</f>
        <v>0.1</v>
      </c>
      <c r="G9" s="221">
        <f>'2.1.'!G57</f>
        <v>11</v>
      </c>
      <c r="H9" s="143">
        <f>'2.1.'!H57</f>
        <v>4500</v>
      </c>
      <c r="I9" s="143">
        <f>'2.1.'!I57</f>
        <v>49500</v>
      </c>
    </row>
    <row r="10" ht="14.25" customHeight="1">
      <c r="A10" s="204" t="str">
        <f t="shared" ref="A10:B10" si="1">#REF!</f>
        <v>#REF!</v>
      </c>
      <c r="B10" s="92" t="str">
        <f t="shared" si="1"/>
        <v>#REF!</v>
      </c>
      <c r="C10" s="92" t="str">
        <f>'2.1.'!C58</f>
        <v>k</v>
      </c>
      <c r="D10" s="205">
        <f>'2.1.'!D58</f>
        <v>1</v>
      </c>
      <c r="E10" s="204" t="str">
        <f>'2.1.'!E58</f>
        <v/>
      </c>
      <c r="F10" s="206">
        <f>'2.1.'!F58</f>
        <v>0.1</v>
      </c>
      <c r="G10" s="221">
        <f>'2.1.'!G58</f>
        <v>2</v>
      </c>
      <c r="H10" s="143">
        <f>'2.1.'!H58</f>
        <v>220000</v>
      </c>
      <c r="I10" s="143">
        <f>'2.1.'!I58</f>
        <v>440000</v>
      </c>
    </row>
    <row r="11" ht="14.25" customHeight="1">
      <c r="A11" s="204" t="str">
        <f>'2.1.'!A58</f>
        <v>AL-50k</v>
      </c>
      <c r="B11" s="92" t="str">
        <f>'2.1.'!B58</f>
        <v>Alambre Fardo (50 k)</v>
      </c>
      <c r="C11" s="92" t="str">
        <f>'2.1.'!C59</f>
        <v>k</v>
      </c>
      <c r="D11" s="205" t="str">
        <f>'2.1.'!D59</f>
        <v/>
      </c>
      <c r="E11" s="204" t="str">
        <f>'2.1.'!E59</f>
        <v/>
      </c>
      <c r="F11" s="206">
        <f>'2.1.'!F59</f>
        <v>0.1</v>
      </c>
      <c r="G11" s="221">
        <f>'2.1.'!G59</f>
        <v>0</v>
      </c>
      <c r="H11" s="143" t="str">
        <f>'2.1.'!H59</f>
        <v/>
      </c>
      <c r="I11" s="143">
        <f>'2.1.'!I59</f>
        <v>0</v>
      </c>
    </row>
    <row r="12" ht="14.25" customHeight="1">
      <c r="A12" s="204" t="str">
        <f>'2.1.'!A60</f>
        <v/>
      </c>
      <c r="B12" s="92" t="str">
        <f>'2.1.'!B60</f>
        <v/>
      </c>
      <c r="C12" s="92" t="str">
        <f>'2.1.'!C60</f>
        <v/>
      </c>
      <c r="D12" s="205" t="str">
        <f>'2.1.'!D60</f>
        <v/>
      </c>
      <c r="E12" s="204" t="str">
        <f>'2.1.'!E60</f>
        <v/>
      </c>
      <c r="F12" s="206" t="str">
        <f>'2.1.'!F60</f>
        <v/>
      </c>
      <c r="G12" s="221">
        <f>'2.1.'!G60</f>
        <v>0</v>
      </c>
      <c r="H12" s="143" t="str">
        <f>'2.1.'!H60</f>
        <v/>
      </c>
      <c r="I12" s="143">
        <f>'2.1.'!I60</f>
        <v>0</v>
      </c>
    </row>
    <row r="13" ht="14.25" customHeight="1">
      <c r="A13" s="216" t="str">
        <f>'2.1.'!A61</f>
        <v/>
      </c>
      <c r="B13" s="216" t="str">
        <f>'2.1.'!B61</f>
        <v/>
      </c>
      <c r="C13" s="216" t="str">
        <f>'2.1.'!C61</f>
        <v/>
      </c>
      <c r="D13" s="216" t="str">
        <f>'2.1.'!D61</f>
        <v/>
      </c>
      <c r="E13" s="216" t="str">
        <f>'2.1.'!E61</f>
        <v/>
      </c>
      <c r="F13" s="208" t="str">
        <f>'2.1.'!F61</f>
        <v/>
      </c>
      <c r="G13" s="3" t="str">
        <f>'2.1.'!G61</f>
        <v/>
      </c>
      <c r="H13" s="143" t="str">
        <f>'2.1.'!H61</f>
        <v/>
      </c>
      <c r="I13" s="143" t="str">
        <f>'2.1.'!I61</f>
        <v/>
      </c>
    </row>
    <row r="14" ht="14.25" customHeight="1">
      <c r="A14" s="222" t="str">
        <f>'2.1.'!A62</f>
        <v>TOTAL</v>
      </c>
      <c r="B14" s="223" t="str">
        <f>'2.1.'!B62</f>
        <v/>
      </c>
      <c r="C14" s="223" t="str">
        <f>'2.1.'!C62</f>
        <v/>
      </c>
      <c r="D14" s="223" t="str">
        <f>'2.1.'!D62</f>
        <v/>
      </c>
      <c r="E14" s="223" t="str">
        <f>'2.1.'!E62</f>
        <v/>
      </c>
      <c r="F14" s="223" t="str">
        <f>'2.1.'!F62</f>
        <v/>
      </c>
      <c r="G14" s="211" t="str">
        <f>'2.1.'!G62</f>
        <v/>
      </c>
      <c r="H14" s="223" t="str">
        <f>'2.1.'!H62</f>
        <v/>
      </c>
      <c r="I14" s="224">
        <f>'2.1.'!I62</f>
        <v>489500</v>
      </c>
    </row>
    <row r="15" ht="14.25" customHeight="1">
      <c r="G15" s="3"/>
    </row>
    <row r="16" ht="14.25" customHeight="1">
      <c r="G16" s="3"/>
    </row>
    <row r="17">
      <c r="A17" s="195" t="str">
        <f>'2.2.'!A3</f>
        <v>n</v>
      </c>
      <c r="B17" s="196" t="str">
        <f>'2.2.'!B3</f>
        <v>VIGAS </v>
      </c>
      <c r="C17" s="197"/>
      <c r="D17" s="197"/>
      <c r="E17" s="197"/>
      <c r="F17" s="197"/>
      <c r="G17" s="198" t="str">
        <f>'2.2.'!G3</f>
        <v/>
      </c>
      <c r="H17" s="199">
        <f>'2.2.'!H3</f>
        <v>14</v>
      </c>
      <c r="I17" s="200" t="str">
        <f>'2.2.'!I3</f>
        <v>m³</v>
      </c>
    </row>
    <row r="18" ht="14.25" customHeight="1">
      <c r="G18" s="3"/>
    </row>
    <row r="19" ht="14.25" customHeight="1">
      <c r="A19" s="220" t="str">
        <f>'2.2.'!A53</f>
        <v>MANO DE OBRA - MATERIALES</v>
      </c>
      <c r="B19" s="197"/>
      <c r="C19" s="94" t="str">
        <f>'2.2.'!C53</f>
        <v/>
      </c>
      <c r="D19" s="94" t="str">
        <f>'2.2.'!D53</f>
        <v/>
      </c>
      <c r="E19" s="94" t="str">
        <f>'2.2.'!E53</f>
        <v/>
      </c>
      <c r="F19" s="94" t="str">
        <f>'2.2.'!F53</f>
        <v/>
      </c>
      <c r="G19" s="2" t="str">
        <f>'2.2.'!G53</f>
        <v/>
      </c>
      <c r="H19" s="94" t="str">
        <f>'2.2.'!H53</f>
        <v/>
      </c>
      <c r="I19" s="94" t="str">
        <f>'2.2.'!I53</f>
        <v/>
      </c>
    </row>
    <row r="20" ht="14.25" customHeight="1">
      <c r="A20" s="202" t="str">
        <f>'2.2.'!A54</f>
        <v>Código</v>
      </c>
      <c r="B20" s="202" t="str">
        <f>'2.2.'!B54</f>
        <v>Descripción</v>
      </c>
      <c r="C20" s="202" t="str">
        <f>'2.2.'!C54</f>
        <v>Unidad</v>
      </c>
      <c r="D20" s="202" t="str">
        <f>'2.2.'!D54</f>
        <v>Cantidad</v>
      </c>
      <c r="E20" s="202" t="str">
        <f>'2.2.'!E54</f>
        <v/>
      </c>
      <c r="F20" s="202" t="str">
        <f>'2.2.'!F54</f>
        <v>Desperdicio</v>
      </c>
      <c r="G20" s="4" t="str">
        <f>'2.2.'!G54</f>
        <v>Cantidad + Desperdicio</v>
      </c>
      <c r="H20" s="202" t="str">
        <f>'2.2.'!H54</f>
        <v>Precio Unitario</v>
      </c>
      <c r="I20" s="202" t="str">
        <f>'2.2.'!I54</f>
        <v>Subtotal</v>
      </c>
    </row>
    <row r="21" ht="14.25" customHeight="1">
      <c r="A21" s="204" t="str">
        <f>'2.2.'!A55</f>
        <v/>
      </c>
      <c r="B21" s="92" t="str">
        <f>'2.2.'!B55</f>
        <v/>
      </c>
      <c r="C21" s="92" t="str">
        <f>'2.2.'!C55</f>
        <v/>
      </c>
      <c r="D21" s="205" t="str">
        <f>'2.2.'!D55</f>
        <v/>
      </c>
      <c r="E21" s="204" t="str">
        <f>'2.2.'!E55</f>
        <v/>
      </c>
      <c r="F21" s="206">
        <f>'2.2.'!F55</f>
        <v>0.1</v>
      </c>
      <c r="G21" s="221">
        <f>'2.2.'!G55</f>
        <v>0</v>
      </c>
      <c r="H21" s="143" t="str">
        <f>'2.2.'!H55</f>
        <v/>
      </c>
      <c r="I21" s="143">
        <f>'2.2.'!I55</f>
        <v>0</v>
      </c>
    </row>
    <row r="22" ht="14.25" customHeight="1">
      <c r="A22" s="204" t="str">
        <f>'2.2.'!A56</f>
        <v/>
      </c>
      <c r="B22" s="92" t="str">
        <f>'2.2.'!B56</f>
        <v/>
      </c>
      <c r="C22" s="92" t="str">
        <f>'2.2.'!C56</f>
        <v/>
      </c>
      <c r="D22" s="205" t="str">
        <f>'2.2.'!D56</f>
        <v/>
      </c>
      <c r="E22" s="204" t="str">
        <f>'2.2.'!E56</f>
        <v/>
      </c>
      <c r="F22" s="206">
        <f>'2.2.'!F56</f>
        <v>0.1</v>
      </c>
      <c r="G22" s="221">
        <f>'2.2.'!G56</f>
        <v>0</v>
      </c>
      <c r="H22" s="143" t="str">
        <f>'2.2.'!H56</f>
        <v/>
      </c>
      <c r="I22" s="143">
        <f>'2.2.'!I56</f>
        <v>0</v>
      </c>
    </row>
    <row r="23" ht="14.25" customHeight="1">
      <c r="A23" s="204" t="str">
        <f>'2.2.'!A57</f>
        <v>CL2</v>
      </c>
      <c r="B23" s="92" t="str">
        <f>'2.2.'!B57</f>
        <v>Clavos 2" punta paris (k)</v>
      </c>
      <c r="C23" s="92" t="str">
        <f>'2.2.'!C57</f>
        <v>k</v>
      </c>
      <c r="D23" s="205">
        <f>'2.2.'!D57</f>
        <v>10</v>
      </c>
      <c r="E23" s="204" t="str">
        <f>'2.2.'!E57</f>
        <v/>
      </c>
      <c r="F23" s="206">
        <f>'2.2.'!F57</f>
        <v>0.1</v>
      </c>
      <c r="G23" s="221">
        <f>'2.2.'!G57</f>
        <v>11</v>
      </c>
      <c r="H23" s="143">
        <f>'2.2.'!H57</f>
        <v>4500</v>
      </c>
      <c r="I23" s="143">
        <f>'2.2.'!I57</f>
        <v>49500</v>
      </c>
    </row>
    <row r="24" ht="14.25" customHeight="1">
      <c r="A24" s="204" t="str">
        <f>'2.2.'!A58</f>
        <v>AL-50k</v>
      </c>
      <c r="B24" s="92" t="str">
        <f>'2.2.'!B58</f>
        <v>Alambre Fardo (50 k)</v>
      </c>
      <c r="C24" s="92" t="str">
        <f>'2.2.'!C58</f>
        <v>k</v>
      </c>
      <c r="D24" s="205">
        <f>'2.2.'!D58</f>
        <v>1</v>
      </c>
      <c r="E24" s="204" t="str">
        <f>'2.2.'!E58</f>
        <v/>
      </c>
      <c r="F24" s="206" t="str">
        <f>'2.2.'!F58</f>
        <v/>
      </c>
      <c r="G24" s="221">
        <f>'2.2.'!G58</f>
        <v>1</v>
      </c>
      <c r="H24" s="143">
        <f>'2.2.'!H58</f>
        <v>220000</v>
      </c>
      <c r="I24" s="143">
        <f>'2.2.'!I58</f>
        <v>220000</v>
      </c>
    </row>
    <row r="25" ht="14.25" customHeight="1">
      <c r="A25" s="204" t="str">
        <f>'2.2.'!A59</f>
        <v/>
      </c>
      <c r="B25" s="92" t="str">
        <f>'2.2.'!B59</f>
        <v/>
      </c>
      <c r="C25" s="92" t="str">
        <f>'2.2.'!C59</f>
        <v/>
      </c>
      <c r="D25" s="205" t="str">
        <f>'2.2.'!D59</f>
        <v/>
      </c>
      <c r="E25" s="204" t="str">
        <f>'2.2.'!E59</f>
        <v/>
      </c>
      <c r="F25" s="206">
        <f>'2.2.'!F59</f>
        <v>0.1</v>
      </c>
      <c r="G25" s="221">
        <f>'2.2.'!G59</f>
        <v>0</v>
      </c>
      <c r="H25" s="143" t="str">
        <f>'2.2.'!H59</f>
        <v/>
      </c>
      <c r="I25" s="143">
        <f>'2.2.'!I59</f>
        <v>0</v>
      </c>
    </row>
    <row r="26" ht="14.25" customHeight="1">
      <c r="A26" s="204" t="str">
        <f>'2.2.'!A60</f>
        <v/>
      </c>
      <c r="B26" s="92" t="str">
        <f>'2.2.'!B60</f>
        <v/>
      </c>
      <c r="C26" s="92" t="str">
        <f>'2.2.'!C60</f>
        <v/>
      </c>
      <c r="D26" s="205" t="str">
        <f>'2.2.'!D60</f>
        <v/>
      </c>
      <c r="E26" s="204" t="str">
        <f>'2.2.'!E60</f>
        <v/>
      </c>
      <c r="F26" s="206">
        <f>'2.2.'!F60</f>
        <v>0.1</v>
      </c>
      <c r="G26" s="221">
        <f>'2.2.'!G60</f>
        <v>0</v>
      </c>
      <c r="H26" s="143" t="str">
        <f>'2.2.'!H60</f>
        <v/>
      </c>
      <c r="I26" s="143">
        <f>'2.2.'!I60</f>
        <v>0</v>
      </c>
    </row>
    <row r="27" ht="14.25" customHeight="1">
      <c r="A27" s="216" t="str">
        <f>'2.2.'!A61</f>
        <v/>
      </c>
      <c r="B27" s="216" t="str">
        <f>'2.2.'!B61</f>
        <v/>
      </c>
      <c r="C27" s="216" t="str">
        <f>'2.2.'!C61</f>
        <v/>
      </c>
      <c r="D27" s="216" t="str">
        <f>'2.2.'!D61</f>
        <v/>
      </c>
      <c r="E27" s="216" t="str">
        <f>'2.2.'!E61</f>
        <v/>
      </c>
      <c r="F27" s="208" t="str">
        <f>'2.2.'!F61</f>
        <v/>
      </c>
      <c r="G27" s="3" t="str">
        <f>'2.2.'!G61</f>
        <v/>
      </c>
      <c r="H27" s="143" t="str">
        <f>'2.2.'!H61</f>
        <v/>
      </c>
      <c r="I27" s="143" t="str">
        <f>'2.2.'!I61</f>
        <v/>
      </c>
      <c r="J27" s="92"/>
      <c r="K27" s="92"/>
      <c r="L27" s="92"/>
    </row>
    <row r="28" ht="14.25" customHeight="1">
      <c r="A28" s="222" t="str">
        <f>'2.2.'!A62</f>
        <v>TOTAL</v>
      </c>
      <c r="B28" s="223" t="str">
        <f>'2.2.'!B62</f>
        <v/>
      </c>
      <c r="C28" s="223" t="str">
        <f>'2.2.'!C62</f>
        <v/>
      </c>
      <c r="D28" s="223" t="str">
        <f>'2.2.'!D62</f>
        <v/>
      </c>
      <c r="E28" s="223" t="str">
        <f>'2.2.'!E62</f>
        <v/>
      </c>
      <c r="F28" s="223" t="str">
        <f>'2.2.'!F62</f>
        <v/>
      </c>
      <c r="G28" s="211" t="str">
        <f>'2.2.'!G62</f>
        <v/>
      </c>
      <c r="H28" s="223" t="str">
        <f>'2.2.'!H62</f>
        <v/>
      </c>
      <c r="I28" s="224">
        <f>'2.2.'!I62</f>
        <v>269500</v>
      </c>
      <c r="J28" s="92"/>
      <c r="K28" s="92"/>
      <c r="L28" s="92"/>
    </row>
    <row r="29" ht="14.25" customHeight="1">
      <c r="G29" s="3"/>
    </row>
    <row r="30" ht="14.25" customHeight="1">
      <c r="G30" s="3"/>
    </row>
    <row r="31">
      <c r="A31" s="195" t="str">
        <f t="shared" ref="A31:B31" si="2">'2.3.'!A3</f>
        <v>#REF!</v>
      </c>
      <c r="B31" s="196" t="str">
        <f t="shared" si="2"/>
        <v>#REF!</v>
      </c>
      <c r="C31" s="197"/>
      <c r="D31" s="197"/>
      <c r="E31" s="197"/>
      <c r="F31" s="197"/>
      <c r="G31" s="198" t="str">
        <f t="shared" ref="G31:I31" si="3">'2.3.'!G3</f>
        <v>#REF!</v>
      </c>
      <c r="H31" s="199" t="str">
        <f t="shared" si="3"/>
        <v>#REF!</v>
      </c>
      <c r="I31" s="200" t="str">
        <f t="shared" si="3"/>
        <v>#REF!</v>
      </c>
    </row>
    <row r="32" ht="14.25" customHeight="1">
      <c r="G32" s="3"/>
    </row>
    <row r="33" ht="14.25" customHeight="1">
      <c r="A33" s="220" t="str">
        <f t="shared" ref="A33:A42" si="5">'2.3.'!A53</f>
        <v>#REF!</v>
      </c>
      <c r="B33" s="197"/>
      <c r="C33" s="94" t="str">
        <f t="shared" ref="C33:I33" si="4">'2.3.'!C53</f>
        <v>#REF!</v>
      </c>
      <c r="D33" s="94" t="str">
        <f t="shared" si="4"/>
        <v>#REF!</v>
      </c>
      <c r="E33" s="94" t="str">
        <f t="shared" si="4"/>
        <v>#REF!</v>
      </c>
      <c r="F33" s="94" t="str">
        <f t="shared" si="4"/>
        <v>#REF!</v>
      </c>
      <c r="G33" s="2" t="str">
        <f t="shared" si="4"/>
        <v>#REF!</v>
      </c>
      <c r="H33" s="94" t="str">
        <f t="shared" si="4"/>
        <v>#REF!</v>
      </c>
      <c r="I33" s="94" t="str">
        <f t="shared" si="4"/>
        <v>#REF!</v>
      </c>
    </row>
    <row r="34" ht="14.25" customHeight="1">
      <c r="A34" s="202" t="str">
        <f t="shared" si="5"/>
        <v>#REF!</v>
      </c>
      <c r="B34" s="202" t="str">
        <f t="shared" ref="B34:I34" si="6">'2.3.'!B54</f>
        <v>#REF!</v>
      </c>
      <c r="C34" s="202" t="str">
        <f t="shared" si="6"/>
        <v>#REF!</v>
      </c>
      <c r="D34" s="202" t="str">
        <f t="shared" si="6"/>
        <v>#REF!</v>
      </c>
      <c r="E34" s="202" t="str">
        <f t="shared" si="6"/>
        <v>#REF!</v>
      </c>
      <c r="F34" s="202" t="str">
        <f t="shared" si="6"/>
        <v>#REF!</v>
      </c>
      <c r="G34" s="4" t="str">
        <f t="shared" si="6"/>
        <v>#REF!</v>
      </c>
      <c r="H34" s="202" t="str">
        <f t="shared" si="6"/>
        <v>#REF!</v>
      </c>
      <c r="I34" s="202" t="str">
        <f t="shared" si="6"/>
        <v>#REF!</v>
      </c>
    </row>
    <row r="35" ht="14.25" customHeight="1">
      <c r="A35" s="204" t="str">
        <f t="shared" si="5"/>
        <v>#REF!</v>
      </c>
      <c r="B35" s="92" t="str">
        <f t="shared" ref="B35:I35" si="7">'2.3.'!B55</f>
        <v>#REF!</v>
      </c>
      <c r="C35" s="92" t="str">
        <f t="shared" si="7"/>
        <v>#REF!</v>
      </c>
      <c r="D35" s="205" t="str">
        <f t="shared" si="7"/>
        <v>#REF!</v>
      </c>
      <c r="E35" s="204" t="str">
        <f t="shared" si="7"/>
        <v>#REF!</v>
      </c>
      <c r="F35" s="206" t="str">
        <f t="shared" si="7"/>
        <v>#REF!</v>
      </c>
      <c r="G35" s="221" t="str">
        <f t="shared" si="7"/>
        <v>#REF!</v>
      </c>
      <c r="H35" s="143" t="str">
        <f t="shared" si="7"/>
        <v>#REF!</v>
      </c>
      <c r="I35" s="143" t="str">
        <f t="shared" si="7"/>
        <v>#REF!</v>
      </c>
    </row>
    <row r="36" ht="14.25" customHeight="1">
      <c r="A36" s="204" t="str">
        <f t="shared" si="5"/>
        <v>#REF!</v>
      </c>
      <c r="B36" s="92" t="str">
        <f t="shared" ref="B36:I36" si="8">'2.3.'!B56</f>
        <v>#REF!</v>
      </c>
      <c r="C36" s="92" t="str">
        <f t="shared" si="8"/>
        <v>#REF!</v>
      </c>
      <c r="D36" s="205" t="str">
        <f t="shared" si="8"/>
        <v>#REF!</v>
      </c>
      <c r="E36" s="204" t="str">
        <f t="shared" si="8"/>
        <v>#REF!</v>
      </c>
      <c r="F36" s="206" t="str">
        <f t="shared" si="8"/>
        <v>#REF!</v>
      </c>
      <c r="G36" s="221" t="str">
        <f t="shared" si="8"/>
        <v>#REF!</v>
      </c>
      <c r="H36" s="143" t="str">
        <f t="shared" si="8"/>
        <v>#REF!</v>
      </c>
      <c r="I36" s="143" t="str">
        <f t="shared" si="8"/>
        <v>#REF!</v>
      </c>
    </row>
    <row r="37" ht="14.25" customHeight="1">
      <c r="A37" s="204" t="str">
        <f t="shared" si="5"/>
        <v>#REF!</v>
      </c>
      <c r="B37" s="92" t="str">
        <f t="shared" ref="B37:I37" si="9">'2.3.'!B57</f>
        <v>#REF!</v>
      </c>
      <c r="C37" s="92" t="str">
        <f t="shared" si="9"/>
        <v>#REF!</v>
      </c>
      <c r="D37" s="205" t="str">
        <f t="shared" si="9"/>
        <v>#REF!</v>
      </c>
      <c r="E37" s="204" t="str">
        <f t="shared" si="9"/>
        <v>#REF!</v>
      </c>
      <c r="F37" s="206" t="str">
        <f t="shared" si="9"/>
        <v>#REF!</v>
      </c>
      <c r="G37" s="221" t="str">
        <f t="shared" si="9"/>
        <v>#REF!</v>
      </c>
      <c r="H37" s="143" t="str">
        <f t="shared" si="9"/>
        <v>#REF!</v>
      </c>
      <c r="I37" s="143" t="str">
        <f t="shared" si="9"/>
        <v>#REF!</v>
      </c>
    </row>
    <row r="38" ht="14.25" customHeight="1">
      <c r="A38" s="204" t="str">
        <f t="shared" si="5"/>
        <v>#REF!</v>
      </c>
      <c r="B38" s="92" t="str">
        <f t="shared" ref="B38:I38" si="10">'2.3.'!B58</f>
        <v>#REF!</v>
      </c>
      <c r="C38" s="92" t="str">
        <f t="shared" si="10"/>
        <v>#REF!</v>
      </c>
      <c r="D38" s="205" t="str">
        <f t="shared" si="10"/>
        <v>#REF!</v>
      </c>
      <c r="E38" s="204" t="str">
        <f t="shared" si="10"/>
        <v>#REF!</v>
      </c>
      <c r="F38" s="206" t="str">
        <f t="shared" si="10"/>
        <v>#REF!</v>
      </c>
      <c r="G38" s="221" t="str">
        <f t="shared" si="10"/>
        <v>#REF!</v>
      </c>
      <c r="H38" s="143" t="str">
        <f t="shared" si="10"/>
        <v>#REF!</v>
      </c>
      <c r="I38" s="143" t="str">
        <f t="shared" si="10"/>
        <v>#REF!</v>
      </c>
    </row>
    <row r="39" ht="14.25" customHeight="1">
      <c r="A39" s="204" t="str">
        <f t="shared" si="5"/>
        <v>#REF!</v>
      </c>
      <c r="B39" s="92" t="str">
        <f t="shared" ref="B39:I39" si="11">'2.3.'!B59</f>
        <v>#REF!</v>
      </c>
      <c r="C39" s="92" t="str">
        <f t="shared" si="11"/>
        <v>#REF!</v>
      </c>
      <c r="D39" s="205" t="str">
        <f t="shared" si="11"/>
        <v>#REF!</v>
      </c>
      <c r="E39" s="204" t="str">
        <f t="shared" si="11"/>
        <v>#REF!</v>
      </c>
      <c r="F39" s="206" t="str">
        <f t="shared" si="11"/>
        <v>#REF!</v>
      </c>
      <c r="G39" s="221" t="str">
        <f t="shared" si="11"/>
        <v>#REF!</v>
      </c>
      <c r="H39" s="143" t="str">
        <f t="shared" si="11"/>
        <v>#REF!</v>
      </c>
      <c r="I39" s="143" t="str">
        <f t="shared" si="11"/>
        <v>#REF!</v>
      </c>
    </row>
    <row r="40" ht="14.25" customHeight="1">
      <c r="A40" s="204" t="str">
        <f t="shared" si="5"/>
        <v>#REF!</v>
      </c>
      <c r="B40" s="92" t="str">
        <f t="shared" ref="B40:I40" si="12">'2.3.'!B60</f>
        <v>#REF!</v>
      </c>
      <c r="C40" s="92" t="str">
        <f t="shared" si="12"/>
        <v>#REF!</v>
      </c>
      <c r="D40" s="205" t="str">
        <f t="shared" si="12"/>
        <v>#REF!</v>
      </c>
      <c r="E40" s="204" t="str">
        <f t="shared" si="12"/>
        <v>#REF!</v>
      </c>
      <c r="F40" s="206" t="str">
        <f t="shared" si="12"/>
        <v>#REF!</v>
      </c>
      <c r="G40" s="221" t="str">
        <f t="shared" si="12"/>
        <v>#REF!</v>
      </c>
      <c r="H40" s="143" t="str">
        <f t="shared" si="12"/>
        <v>#REF!</v>
      </c>
      <c r="I40" s="143" t="str">
        <f t="shared" si="12"/>
        <v>#REF!</v>
      </c>
    </row>
    <row r="41" ht="14.25" customHeight="1">
      <c r="A41" s="216" t="str">
        <f t="shared" si="5"/>
        <v>#REF!</v>
      </c>
      <c r="B41" s="216" t="str">
        <f t="shared" ref="B41:I41" si="13">'2.3.'!B61</f>
        <v>#REF!</v>
      </c>
      <c r="C41" s="216" t="str">
        <f t="shared" si="13"/>
        <v>#REF!</v>
      </c>
      <c r="D41" s="216" t="str">
        <f t="shared" si="13"/>
        <v>#REF!</v>
      </c>
      <c r="E41" s="216" t="str">
        <f t="shared" si="13"/>
        <v>#REF!</v>
      </c>
      <c r="F41" s="208" t="str">
        <f t="shared" si="13"/>
        <v>#REF!</v>
      </c>
      <c r="G41" s="3" t="str">
        <f t="shared" si="13"/>
        <v>#REF!</v>
      </c>
      <c r="H41" s="143" t="str">
        <f t="shared" si="13"/>
        <v>#REF!</v>
      </c>
      <c r="I41" s="143" t="str">
        <f t="shared" si="13"/>
        <v>#REF!</v>
      </c>
      <c r="J41" s="92"/>
      <c r="K41" s="92"/>
      <c r="L41" s="92"/>
    </row>
    <row r="42" ht="14.25" customHeight="1">
      <c r="A42" s="222" t="str">
        <f t="shared" si="5"/>
        <v>#REF!</v>
      </c>
      <c r="B42" s="223" t="str">
        <f t="shared" ref="B42:I42" si="14">'2.3.'!B62</f>
        <v>#REF!</v>
      </c>
      <c r="C42" s="223" t="str">
        <f t="shared" si="14"/>
        <v>#REF!</v>
      </c>
      <c r="D42" s="223" t="str">
        <f t="shared" si="14"/>
        <v>#REF!</v>
      </c>
      <c r="E42" s="223" t="str">
        <f t="shared" si="14"/>
        <v>#REF!</v>
      </c>
      <c r="F42" s="223" t="str">
        <f t="shared" si="14"/>
        <v>#REF!</v>
      </c>
      <c r="G42" s="211" t="str">
        <f t="shared" si="14"/>
        <v>#REF!</v>
      </c>
      <c r="H42" s="223" t="str">
        <f t="shared" si="14"/>
        <v>#REF!</v>
      </c>
      <c r="I42" s="224" t="str">
        <f t="shared" si="14"/>
        <v>#REF!</v>
      </c>
      <c r="J42" s="92"/>
      <c r="K42" s="92"/>
      <c r="L42" s="92"/>
    </row>
    <row r="43" ht="14.25" customHeight="1">
      <c r="G43" s="3"/>
    </row>
    <row r="44" ht="14.25" customHeight="1">
      <c r="G44" s="3"/>
    </row>
    <row r="45">
      <c r="A45" s="195" t="str">
        <f t="shared" ref="A45:B45" si="15">'2.4.'!A3</f>
        <v>#REF!</v>
      </c>
      <c r="B45" s="196" t="str">
        <f t="shared" si="15"/>
        <v>#REF!</v>
      </c>
      <c r="C45" s="197"/>
      <c r="D45" s="197"/>
      <c r="E45" s="197"/>
      <c r="F45" s="197"/>
      <c r="G45" s="198" t="str">
        <f t="shared" ref="G45:I45" si="16">'2.4.'!G3</f>
        <v>#REF!</v>
      </c>
      <c r="H45" s="199" t="str">
        <f t="shared" si="16"/>
        <v>#REF!</v>
      </c>
      <c r="I45" s="200" t="str">
        <f t="shared" si="16"/>
        <v>#REF!</v>
      </c>
    </row>
    <row r="46" ht="14.25" customHeight="1">
      <c r="G46" s="3"/>
    </row>
    <row r="47" ht="14.25" customHeight="1">
      <c r="A47" s="201" t="str">
        <f t="shared" ref="A47:I47" si="17">'2.4.'!A53</f>
        <v>#REF!</v>
      </c>
      <c r="B47" s="94" t="str">
        <f t="shared" si="17"/>
        <v>#REF!</v>
      </c>
      <c r="C47" s="94" t="str">
        <f t="shared" si="17"/>
        <v>#REF!</v>
      </c>
      <c r="D47" s="94" t="str">
        <f t="shared" si="17"/>
        <v>#REF!</v>
      </c>
      <c r="E47" s="94" t="str">
        <f t="shared" si="17"/>
        <v>#REF!</v>
      </c>
      <c r="F47" s="94" t="str">
        <f t="shared" si="17"/>
        <v>#REF!</v>
      </c>
      <c r="G47" s="2" t="str">
        <f t="shared" si="17"/>
        <v>#REF!</v>
      </c>
      <c r="H47" s="94" t="str">
        <f t="shared" si="17"/>
        <v>#REF!</v>
      </c>
      <c r="I47" s="94" t="str">
        <f t="shared" si="17"/>
        <v>#REF!</v>
      </c>
    </row>
    <row r="48" ht="14.25" customHeight="1">
      <c r="A48" s="202" t="str">
        <f t="shared" ref="A48:I48" si="18">'2.4.'!A54</f>
        <v>#REF!</v>
      </c>
      <c r="B48" s="202" t="str">
        <f t="shared" si="18"/>
        <v>#REF!</v>
      </c>
      <c r="C48" s="202" t="str">
        <f t="shared" si="18"/>
        <v>#REF!</v>
      </c>
      <c r="D48" s="202" t="str">
        <f t="shared" si="18"/>
        <v>#REF!</v>
      </c>
      <c r="E48" s="202" t="str">
        <f t="shared" si="18"/>
        <v>#REF!</v>
      </c>
      <c r="F48" s="202" t="str">
        <f t="shared" si="18"/>
        <v>#REF!</v>
      </c>
      <c r="G48" s="4" t="str">
        <f t="shared" si="18"/>
        <v>#REF!</v>
      </c>
      <c r="H48" s="202" t="str">
        <f t="shared" si="18"/>
        <v>#REF!</v>
      </c>
      <c r="I48" s="202" t="str">
        <f t="shared" si="18"/>
        <v>#REF!</v>
      </c>
    </row>
    <row r="49" ht="14.25" customHeight="1">
      <c r="A49" s="204" t="str">
        <f t="shared" ref="A49:I49" si="19">'2.4.'!A55</f>
        <v>#REF!</v>
      </c>
      <c r="B49" s="92" t="str">
        <f t="shared" si="19"/>
        <v>#REF!</v>
      </c>
      <c r="C49" s="92" t="str">
        <f t="shared" si="19"/>
        <v>#REF!</v>
      </c>
      <c r="D49" s="205" t="str">
        <f t="shared" si="19"/>
        <v>#REF!</v>
      </c>
      <c r="E49" s="204" t="str">
        <f t="shared" si="19"/>
        <v>#REF!</v>
      </c>
      <c r="F49" s="206" t="str">
        <f t="shared" si="19"/>
        <v>#REF!</v>
      </c>
      <c r="G49" s="221" t="str">
        <f t="shared" si="19"/>
        <v>#REF!</v>
      </c>
      <c r="H49" s="143" t="str">
        <f t="shared" si="19"/>
        <v>#REF!</v>
      </c>
      <c r="I49" s="143" t="str">
        <f t="shared" si="19"/>
        <v>#REF!</v>
      </c>
    </row>
    <row r="50" ht="14.25" customHeight="1">
      <c r="A50" s="204" t="str">
        <f t="shared" ref="A50:I50" si="20">'2.4.'!A56</f>
        <v>#REF!</v>
      </c>
      <c r="B50" s="92" t="str">
        <f t="shared" si="20"/>
        <v>#REF!</v>
      </c>
      <c r="C50" s="92" t="str">
        <f t="shared" si="20"/>
        <v>#REF!</v>
      </c>
      <c r="D50" s="205" t="str">
        <f t="shared" si="20"/>
        <v>#REF!</v>
      </c>
      <c r="E50" s="204" t="str">
        <f t="shared" si="20"/>
        <v>#REF!</v>
      </c>
      <c r="F50" s="206" t="str">
        <f t="shared" si="20"/>
        <v>#REF!</v>
      </c>
      <c r="G50" s="221" t="str">
        <f t="shared" si="20"/>
        <v>#REF!</v>
      </c>
      <c r="H50" s="143" t="str">
        <f t="shared" si="20"/>
        <v>#REF!</v>
      </c>
      <c r="I50" s="143" t="str">
        <f t="shared" si="20"/>
        <v>#REF!</v>
      </c>
    </row>
    <row r="51" ht="14.25" customHeight="1">
      <c r="A51" s="204" t="str">
        <f t="shared" ref="A51:I51" si="21">'2.4.'!A57</f>
        <v>#REF!</v>
      </c>
      <c r="B51" s="92" t="str">
        <f t="shared" si="21"/>
        <v>#REF!</v>
      </c>
      <c r="C51" s="92" t="str">
        <f t="shared" si="21"/>
        <v>#REF!</v>
      </c>
      <c r="D51" s="205" t="str">
        <f t="shared" si="21"/>
        <v>#REF!</v>
      </c>
      <c r="E51" s="204" t="str">
        <f t="shared" si="21"/>
        <v>#REF!</v>
      </c>
      <c r="F51" s="206" t="str">
        <f t="shared" si="21"/>
        <v>#REF!</v>
      </c>
      <c r="G51" s="221" t="str">
        <f t="shared" si="21"/>
        <v>#REF!</v>
      </c>
      <c r="H51" s="143" t="str">
        <f t="shared" si="21"/>
        <v>#REF!</v>
      </c>
      <c r="I51" s="143" t="str">
        <f t="shared" si="21"/>
        <v>#REF!</v>
      </c>
    </row>
    <row r="52" ht="14.25" customHeight="1">
      <c r="A52" s="204" t="str">
        <f t="shared" ref="A52:I52" si="22">'2.4.'!A58</f>
        <v>#REF!</v>
      </c>
      <c r="B52" s="92" t="str">
        <f t="shared" si="22"/>
        <v>#REF!</v>
      </c>
      <c r="C52" s="92" t="str">
        <f t="shared" si="22"/>
        <v>#REF!</v>
      </c>
      <c r="D52" s="205" t="str">
        <f t="shared" si="22"/>
        <v>#REF!</v>
      </c>
      <c r="E52" s="204" t="str">
        <f t="shared" si="22"/>
        <v>#REF!</v>
      </c>
      <c r="F52" s="206" t="str">
        <f t="shared" si="22"/>
        <v>#REF!</v>
      </c>
      <c r="G52" s="221" t="str">
        <f t="shared" si="22"/>
        <v>#REF!</v>
      </c>
      <c r="H52" s="143" t="str">
        <f t="shared" si="22"/>
        <v>#REF!</v>
      </c>
      <c r="I52" s="143" t="str">
        <f t="shared" si="22"/>
        <v>#REF!</v>
      </c>
    </row>
    <row r="53" ht="14.25" customHeight="1">
      <c r="A53" s="204" t="str">
        <f t="shared" ref="A53:I53" si="23">'2.4.'!A59</f>
        <v>#REF!</v>
      </c>
      <c r="B53" s="92" t="str">
        <f t="shared" si="23"/>
        <v>#REF!</v>
      </c>
      <c r="C53" s="92" t="str">
        <f t="shared" si="23"/>
        <v>#REF!</v>
      </c>
      <c r="D53" s="205" t="str">
        <f t="shared" si="23"/>
        <v>#REF!</v>
      </c>
      <c r="E53" s="204" t="str">
        <f t="shared" si="23"/>
        <v>#REF!</v>
      </c>
      <c r="F53" s="206" t="str">
        <f t="shared" si="23"/>
        <v>#REF!</v>
      </c>
      <c r="G53" s="221" t="str">
        <f t="shared" si="23"/>
        <v>#REF!</v>
      </c>
      <c r="H53" s="143" t="str">
        <f t="shared" si="23"/>
        <v>#REF!</v>
      </c>
      <c r="I53" s="143" t="str">
        <f t="shared" si="23"/>
        <v>#REF!</v>
      </c>
    </row>
    <row r="54" ht="14.25" customHeight="1">
      <c r="A54" s="204" t="str">
        <f t="shared" ref="A54:I54" si="24">'2.4.'!A60</f>
        <v>#REF!</v>
      </c>
      <c r="B54" s="92" t="str">
        <f t="shared" si="24"/>
        <v>#REF!</v>
      </c>
      <c r="C54" s="92" t="str">
        <f t="shared" si="24"/>
        <v>#REF!</v>
      </c>
      <c r="D54" s="205" t="str">
        <f t="shared" si="24"/>
        <v>#REF!</v>
      </c>
      <c r="E54" s="204" t="str">
        <f t="shared" si="24"/>
        <v>#REF!</v>
      </c>
      <c r="F54" s="206" t="str">
        <f t="shared" si="24"/>
        <v>#REF!</v>
      </c>
      <c r="G54" s="221" t="str">
        <f t="shared" si="24"/>
        <v>#REF!</v>
      </c>
      <c r="H54" s="143" t="str">
        <f t="shared" si="24"/>
        <v>#REF!</v>
      </c>
      <c r="I54" s="143" t="str">
        <f t="shared" si="24"/>
        <v>#REF!</v>
      </c>
    </row>
    <row r="55" ht="14.25" customHeight="1">
      <c r="A55" s="216" t="str">
        <f t="shared" ref="A55:I55" si="25">'2.4.'!A61</f>
        <v>#REF!</v>
      </c>
      <c r="B55" s="216" t="str">
        <f t="shared" si="25"/>
        <v>#REF!</v>
      </c>
      <c r="C55" s="216" t="str">
        <f t="shared" si="25"/>
        <v>#REF!</v>
      </c>
      <c r="D55" s="216" t="str">
        <f t="shared" si="25"/>
        <v>#REF!</v>
      </c>
      <c r="E55" s="216" t="str">
        <f t="shared" si="25"/>
        <v>#REF!</v>
      </c>
      <c r="F55" s="208" t="str">
        <f t="shared" si="25"/>
        <v>#REF!</v>
      </c>
      <c r="G55" s="3" t="str">
        <f t="shared" si="25"/>
        <v>#REF!</v>
      </c>
      <c r="H55" s="143" t="str">
        <f t="shared" si="25"/>
        <v>#REF!</v>
      </c>
      <c r="I55" s="143" t="str">
        <f t="shared" si="25"/>
        <v>#REF!</v>
      </c>
    </row>
    <row r="56" ht="14.25" customHeight="1">
      <c r="A56" s="222" t="str">
        <f t="shared" ref="A56:I56" si="26">'2.4.'!A62</f>
        <v>#REF!</v>
      </c>
      <c r="B56" s="223" t="str">
        <f t="shared" si="26"/>
        <v>#REF!</v>
      </c>
      <c r="C56" s="223" t="str">
        <f t="shared" si="26"/>
        <v>#REF!</v>
      </c>
      <c r="D56" s="223" t="str">
        <f t="shared" si="26"/>
        <v>#REF!</v>
      </c>
      <c r="E56" s="223" t="str">
        <f t="shared" si="26"/>
        <v>#REF!</v>
      </c>
      <c r="F56" s="223" t="str">
        <f t="shared" si="26"/>
        <v>#REF!</v>
      </c>
      <c r="G56" s="211" t="str">
        <f t="shared" si="26"/>
        <v>#REF!</v>
      </c>
      <c r="H56" s="223" t="str">
        <f t="shared" si="26"/>
        <v>#REF!</v>
      </c>
      <c r="I56" s="224" t="str">
        <f t="shared" si="26"/>
        <v>#REF!</v>
      </c>
    </row>
    <row r="57" ht="14.25" customHeight="1">
      <c r="A57" s="218"/>
      <c r="B57" s="219"/>
      <c r="C57" s="219"/>
      <c r="D57" s="219"/>
      <c r="E57" s="219"/>
      <c r="F57" s="219"/>
      <c r="G57" s="3"/>
      <c r="H57" s="219"/>
      <c r="I57" s="225"/>
    </row>
    <row r="58" ht="14.25" customHeight="1">
      <c r="G58" s="3"/>
      <c r="H58" s="208"/>
      <c r="I58" s="143"/>
    </row>
    <row r="59">
      <c r="A59" s="195" t="str">
        <f t="shared" ref="A59:B59" si="27">'2.5.'!A3</f>
        <v>#REF!</v>
      </c>
      <c r="B59" s="196" t="str">
        <f t="shared" si="27"/>
        <v>#REF!</v>
      </c>
      <c r="C59" s="197"/>
      <c r="D59" s="197"/>
      <c r="E59" s="197"/>
      <c r="F59" s="197"/>
      <c r="G59" s="198" t="str">
        <f t="shared" ref="G59:I59" si="28">'2.5.'!G3</f>
        <v>#REF!</v>
      </c>
      <c r="H59" s="199" t="str">
        <f t="shared" si="28"/>
        <v>#REF!</v>
      </c>
      <c r="I59" s="200" t="str">
        <f t="shared" si="28"/>
        <v>#REF!</v>
      </c>
    </row>
    <row r="60" ht="14.25" customHeight="1">
      <c r="G60" s="3"/>
    </row>
    <row r="61" ht="14.25" customHeight="1">
      <c r="A61" s="201" t="str">
        <f t="shared" ref="A61:I61" si="29">'2.5.'!A53</f>
        <v>#REF!</v>
      </c>
      <c r="B61" s="94" t="str">
        <f t="shared" si="29"/>
        <v>#REF!</v>
      </c>
      <c r="C61" s="94" t="str">
        <f t="shared" si="29"/>
        <v>#REF!</v>
      </c>
      <c r="D61" s="94" t="str">
        <f t="shared" si="29"/>
        <v>#REF!</v>
      </c>
      <c r="E61" s="94" t="str">
        <f t="shared" si="29"/>
        <v>#REF!</v>
      </c>
      <c r="F61" s="94" t="str">
        <f t="shared" si="29"/>
        <v>#REF!</v>
      </c>
      <c r="G61" s="2" t="str">
        <f t="shared" si="29"/>
        <v>#REF!</v>
      </c>
      <c r="H61" s="94" t="str">
        <f t="shared" si="29"/>
        <v>#REF!</v>
      </c>
      <c r="I61" s="94" t="str">
        <f t="shared" si="29"/>
        <v>#REF!</v>
      </c>
    </row>
    <row r="62" ht="14.25" customHeight="1">
      <c r="A62" s="202" t="str">
        <f t="shared" ref="A62:I62" si="30">'2.5.'!A54</f>
        <v>#REF!</v>
      </c>
      <c r="B62" s="202" t="str">
        <f t="shared" si="30"/>
        <v>#REF!</v>
      </c>
      <c r="C62" s="202" t="str">
        <f t="shared" si="30"/>
        <v>#REF!</v>
      </c>
      <c r="D62" s="202" t="str">
        <f t="shared" si="30"/>
        <v>#REF!</v>
      </c>
      <c r="E62" s="202" t="str">
        <f t="shared" si="30"/>
        <v>#REF!</v>
      </c>
      <c r="F62" s="202" t="str">
        <f t="shared" si="30"/>
        <v>#REF!</v>
      </c>
      <c r="G62" s="4" t="str">
        <f t="shared" si="30"/>
        <v>#REF!</v>
      </c>
      <c r="H62" s="202" t="str">
        <f t="shared" si="30"/>
        <v>#REF!</v>
      </c>
      <c r="I62" s="202" t="str">
        <f t="shared" si="30"/>
        <v>#REF!</v>
      </c>
    </row>
    <row r="63" ht="14.25" customHeight="1">
      <c r="A63" s="204" t="str">
        <f t="shared" ref="A63:I63" si="31">'2.5.'!A55</f>
        <v>#REF!</v>
      </c>
      <c r="B63" s="92" t="str">
        <f t="shared" si="31"/>
        <v>#REF!</v>
      </c>
      <c r="C63" s="92" t="str">
        <f t="shared" si="31"/>
        <v>#REF!</v>
      </c>
      <c r="D63" s="205" t="str">
        <f t="shared" si="31"/>
        <v>#REF!</v>
      </c>
      <c r="E63" s="204" t="str">
        <f t="shared" si="31"/>
        <v>#REF!</v>
      </c>
      <c r="F63" s="206" t="str">
        <f t="shared" si="31"/>
        <v>#REF!</v>
      </c>
      <c r="G63" s="221" t="str">
        <f t="shared" si="31"/>
        <v>#REF!</v>
      </c>
      <c r="H63" s="143" t="str">
        <f t="shared" si="31"/>
        <v>#REF!</v>
      </c>
      <c r="I63" s="143" t="str">
        <f t="shared" si="31"/>
        <v>#REF!</v>
      </c>
    </row>
    <row r="64" ht="14.25" customHeight="1">
      <c r="A64" s="204" t="str">
        <f t="shared" ref="A64:I64" si="32">'2.5.'!A56</f>
        <v>#REF!</v>
      </c>
      <c r="B64" s="92" t="str">
        <f t="shared" si="32"/>
        <v>#REF!</v>
      </c>
      <c r="C64" s="92" t="str">
        <f t="shared" si="32"/>
        <v>#REF!</v>
      </c>
      <c r="D64" s="205" t="str">
        <f t="shared" si="32"/>
        <v>#REF!</v>
      </c>
      <c r="E64" s="204" t="str">
        <f t="shared" si="32"/>
        <v>#REF!</v>
      </c>
      <c r="F64" s="206" t="str">
        <f t="shared" si="32"/>
        <v>#REF!</v>
      </c>
      <c r="G64" s="221" t="str">
        <f t="shared" si="32"/>
        <v>#REF!</v>
      </c>
      <c r="H64" s="143" t="str">
        <f t="shared" si="32"/>
        <v>#REF!</v>
      </c>
      <c r="I64" s="143" t="str">
        <f t="shared" si="32"/>
        <v>#REF!</v>
      </c>
    </row>
    <row r="65" ht="14.25" customHeight="1">
      <c r="A65" s="204" t="str">
        <f t="shared" ref="A65:I65" si="33">'2.5.'!A57</f>
        <v>#REF!</v>
      </c>
      <c r="B65" s="92" t="str">
        <f t="shared" si="33"/>
        <v>#REF!</v>
      </c>
      <c r="C65" s="92" t="str">
        <f t="shared" si="33"/>
        <v>#REF!</v>
      </c>
      <c r="D65" s="205" t="str">
        <f t="shared" si="33"/>
        <v>#REF!</v>
      </c>
      <c r="E65" s="204" t="str">
        <f t="shared" si="33"/>
        <v>#REF!</v>
      </c>
      <c r="F65" s="206" t="str">
        <f t="shared" si="33"/>
        <v>#REF!</v>
      </c>
      <c r="G65" s="221" t="str">
        <f t="shared" si="33"/>
        <v>#REF!</v>
      </c>
      <c r="H65" s="143" t="str">
        <f t="shared" si="33"/>
        <v>#REF!</v>
      </c>
      <c r="I65" s="143" t="str">
        <f t="shared" si="33"/>
        <v>#REF!</v>
      </c>
    </row>
    <row r="66" ht="14.25" customHeight="1">
      <c r="A66" s="204" t="str">
        <f t="shared" ref="A66:I66" si="34">'2.5.'!A58</f>
        <v>#REF!</v>
      </c>
      <c r="B66" s="92" t="str">
        <f t="shared" si="34"/>
        <v>#REF!</v>
      </c>
      <c r="C66" s="92" t="str">
        <f t="shared" si="34"/>
        <v>#REF!</v>
      </c>
      <c r="D66" s="205" t="str">
        <f t="shared" si="34"/>
        <v>#REF!</v>
      </c>
      <c r="E66" s="204" t="str">
        <f t="shared" si="34"/>
        <v>#REF!</v>
      </c>
      <c r="F66" s="206" t="str">
        <f t="shared" si="34"/>
        <v>#REF!</v>
      </c>
      <c r="G66" s="221" t="str">
        <f t="shared" si="34"/>
        <v>#REF!</v>
      </c>
      <c r="H66" s="143" t="str">
        <f t="shared" si="34"/>
        <v>#REF!</v>
      </c>
      <c r="I66" s="143" t="str">
        <f t="shared" si="34"/>
        <v>#REF!</v>
      </c>
    </row>
    <row r="67" ht="14.25" customHeight="1">
      <c r="A67" s="204" t="str">
        <f t="shared" ref="A67:I67" si="35">'2.5.'!A59</f>
        <v>#REF!</v>
      </c>
      <c r="B67" s="92" t="str">
        <f t="shared" si="35"/>
        <v>#REF!</v>
      </c>
      <c r="C67" s="92" t="str">
        <f t="shared" si="35"/>
        <v>#REF!</v>
      </c>
      <c r="D67" s="205" t="str">
        <f t="shared" si="35"/>
        <v>#REF!</v>
      </c>
      <c r="E67" s="204" t="str">
        <f t="shared" si="35"/>
        <v>#REF!</v>
      </c>
      <c r="F67" s="206" t="str">
        <f t="shared" si="35"/>
        <v>#REF!</v>
      </c>
      <c r="G67" s="221" t="str">
        <f t="shared" si="35"/>
        <v>#REF!</v>
      </c>
      <c r="H67" s="143" t="str">
        <f t="shared" si="35"/>
        <v>#REF!</v>
      </c>
      <c r="I67" s="143" t="str">
        <f t="shared" si="35"/>
        <v>#REF!</v>
      </c>
    </row>
    <row r="68" ht="14.25" customHeight="1">
      <c r="A68" s="204" t="str">
        <f t="shared" ref="A68:I68" si="36">'2.5.'!A60</f>
        <v>#REF!</v>
      </c>
      <c r="B68" s="92" t="str">
        <f t="shared" si="36"/>
        <v>#REF!</v>
      </c>
      <c r="C68" s="92" t="str">
        <f t="shared" si="36"/>
        <v>#REF!</v>
      </c>
      <c r="D68" s="205" t="str">
        <f t="shared" si="36"/>
        <v>#REF!</v>
      </c>
      <c r="E68" s="204" t="str">
        <f t="shared" si="36"/>
        <v>#REF!</v>
      </c>
      <c r="F68" s="206" t="str">
        <f t="shared" si="36"/>
        <v>#REF!</v>
      </c>
      <c r="G68" s="221" t="str">
        <f t="shared" si="36"/>
        <v>#REF!</v>
      </c>
      <c r="H68" s="143" t="str">
        <f t="shared" si="36"/>
        <v>#REF!</v>
      </c>
      <c r="I68" s="143" t="str">
        <f t="shared" si="36"/>
        <v>#REF!</v>
      </c>
    </row>
    <row r="69" ht="14.25" customHeight="1">
      <c r="A69" s="216" t="str">
        <f t="shared" ref="A69:I69" si="37">'2.5.'!A61</f>
        <v>#REF!</v>
      </c>
      <c r="B69" s="216" t="str">
        <f t="shared" si="37"/>
        <v>#REF!</v>
      </c>
      <c r="C69" s="216" t="str">
        <f t="shared" si="37"/>
        <v>#REF!</v>
      </c>
      <c r="D69" s="216" t="str">
        <f t="shared" si="37"/>
        <v>#REF!</v>
      </c>
      <c r="E69" s="216" t="str">
        <f t="shared" si="37"/>
        <v>#REF!</v>
      </c>
      <c r="F69" s="208" t="str">
        <f t="shared" si="37"/>
        <v>#REF!</v>
      </c>
      <c r="G69" s="3" t="str">
        <f t="shared" si="37"/>
        <v>#REF!</v>
      </c>
      <c r="H69" s="143" t="str">
        <f t="shared" si="37"/>
        <v>#REF!</v>
      </c>
      <c r="I69" s="143" t="str">
        <f t="shared" si="37"/>
        <v>#REF!</v>
      </c>
    </row>
    <row r="70" ht="14.25" customHeight="1">
      <c r="A70" s="222" t="str">
        <f t="shared" ref="A70:I70" si="38">'2.5.'!A62</f>
        <v>#REF!</v>
      </c>
      <c r="B70" s="223" t="str">
        <f t="shared" si="38"/>
        <v>#REF!</v>
      </c>
      <c r="C70" s="223" t="str">
        <f t="shared" si="38"/>
        <v>#REF!</v>
      </c>
      <c r="D70" s="223" t="str">
        <f t="shared" si="38"/>
        <v>#REF!</v>
      </c>
      <c r="E70" s="223" t="str">
        <f t="shared" si="38"/>
        <v>#REF!</v>
      </c>
      <c r="F70" s="223" t="str">
        <f t="shared" si="38"/>
        <v>#REF!</v>
      </c>
      <c r="G70" s="211" t="str">
        <f t="shared" si="38"/>
        <v>#REF!</v>
      </c>
      <c r="H70" s="223" t="str">
        <f t="shared" si="38"/>
        <v>#REF!</v>
      </c>
      <c r="I70" s="224" t="str">
        <f t="shared" si="38"/>
        <v>#REF!</v>
      </c>
    </row>
    <row r="71" ht="14.25" customHeight="1">
      <c r="G71" s="3"/>
    </row>
    <row r="72" ht="14.25" customHeight="1">
      <c r="G72" s="3"/>
    </row>
    <row r="73">
      <c r="A73" s="195" t="str">
        <f>'2.6.'!A3</f>
        <v>#REF!</v>
      </c>
      <c r="B73" s="196" t="str">
        <f>'2.1.'!B73</f>
        <v/>
      </c>
      <c r="C73" s="197"/>
      <c r="D73" s="197"/>
      <c r="E73" s="197"/>
      <c r="F73" s="197"/>
      <c r="G73" s="226">
        <f>'2.1.'!G73</f>
        <v>0</v>
      </c>
      <c r="H73" s="199" t="str">
        <f>'2.1.'!H73</f>
        <v/>
      </c>
      <c r="I73" s="227" t="str">
        <f>'2.1.'!I73</f>
        <v/>
      </c>
    </row>
    <row r="74" ht="14.25" customHeight="1">
      <c r="G74" s="3"/>
    </row>
    <row r="75" ht="14.25" customHeight="1">
      <c r="A75" s="201" t="str">
        <f t="shared" ref="A75:I75" si="39">'2.6.'!A53</f>
        <v>#REF!</v>
      </c>
      <c r="B75" s="94" t="str">
        <f t="shared" si="39"/>
        <v>#REF!</v>
      </c>
      <c r="C75" s="94" t="str">
        <f t="shared" si="39"/>
        <v>#REF!</v>
      </c>
      <c r="D75" s="94" t="str">
        <f t="shared" si="39"/>
        <v>#REF!</v>
      </c>
      <c r="E75" s="94" t="str">
        <f t="shared" si="39"/>
        <v>#REF!</v>
      </c>
      <c r="F75" s="94" t="str">
        <f t="shared" si="39"/>
        <v>#REF!</v>
      </c>
      <c r="G75" s="2" t="str">
        <f t="shared" si="39"/>
        <v>#REF!</v>
      </c>
      <c r="H75" s="94" t="str">
        <f t="shared" si="39"/>
        <v>#REF!</v>
      </c>
      <c r="I75" s="94" t="str">
        <f t="shared" si="39"/>
        <v>#REF!</v>
      </c>
    </row>
    <row r="76" ht="14.25" customHeight="1">
      <c r="A76" s="202" t="str">
        <f t="shared" ref="A76:I76" si="40">'2.6.'!A54</f>
        <v>#REF!</v>
      </c>
      <c r="B76" s="202" t="str">
        <f t="shared" si="40"/>
        <v>#REF!</v>
      </c>
      <c r="C76" s="202" t="str">
        <f t="shared" si="40"/>
        <v>#REF!</v>
      </c>
      <c r="D76" s="202" t="str">
        <f t="shared" si="40"/>
        <v>#REF!</v>
      </c>
      <c r="E76" s="202" t="str">
        <f t="shared" si="40"/>
        <v>#REF!</v>
      </c>
      <c r="F76" s="202" t="str">
        <f t="shared" si="40"/>
        <v>#REF!</v>
      </c>
      <c r="G76" s="4" t="str">
        <f t="shared" si="40"/>
        <v>#REF!</v>
      </c>
      <c r="H76" s="202" t="str">
        <f t="shared" si="40"/>
        <v>#REF!</v>
      </c>
      <c r="I76" s="202" t="str">
        <f t="shared" si="40"/>
        <v>#REF!</v>
      </c>
    </row>
    <row r="77" ht="14.25" customHeight="1">
      <c r="A77" s="204" t="str">
        <f t="shared" ref="A77:I77" si="41">'2.6.'!A55</f>
        <v>#REF!</v>
      </c>
      <c r="B77" s="92" t="str">
        <f t="shared" si="41"/>
        <v>#REF!</v>
      </c>
      <c r="C77" s="92" t="str">
        <f t="shared" si="41"/>
        <v>#REF!</v>
      </c>
      <c r="D77" s="205" t="str">
        <f t="shared" si="41"/>
        <v>#REF!</v>
      </c>
      <c r="E77" s="204" t="str">
        <f t="shared" si="41"/>
        <v>#REF!</v>
      </c>
      <c r="F77" s="206" t="str">
        <f t="shared" si="41"/>
        <v>#REF!</v>
      </c>
      <c r="G77" s="221" t="str">
        <f t="shared" si="41"/>
        <v>#REF!</v>
      </c>
      <c r="H77" s="143" t="str">
        <f t="shared" si="41"/>
        <v>#REF!</v>
      </c>
      <c r="I77" s="143" t="str">
        <f t="shared" si="41"/>
        <v>#REF!</v>
      </c>
    </row>
    <row r="78" ht="14.25" customHeight="1">
      <c r="A78" s="204" t="str">
        <f t="shared" ref="A78:I78" si="42">'2.6.'!A56</f>
        <v>#REF!</v>
      </c>
      <c r="B78" s="92" t="str">
        <f t="shared" si="42"/>
        <v>#REF!</v>
      </c>
      <c r="C78" s="92" t="str">
        <f t="shared" si="42"/>
        <v>#REF!</v>
      </c>
      <c r="D78" s="205" t="str">
        <f t="shared" si="42"/>
        <v>#REF!</v>
      </c>
      <c r="E78" s="204" t="str">
        <f t="shared" si="42"/>
        <v>#REF!</v>
      </c>
      <c r="F78" s="206" t="str">
        <f t="shared" si="42"/>
        <v>#REF!</v>
      </c>
      <c r="G78" s="221" t="str">
        <f t="shared" si="42"/>
        <v>#REF!</v>
      </c>
      <c r="H78" s="143" t="str">
        <f t="shared" si="42"/>
        <v>#REF!</v>
      </c>
      <c r="I78" s="143" t="str">
        <f t="shared" si="42"/>
        <v>#REF!</v>
      </c>
    </row>
    <row r="79" ht="14.25" customHeight="1">
      <c r="A79" s="204" t="str">
        <f t="shared" ref="A79:I79" si="43">'2.6.'!A57</f>
        <v>#REF!</v>
      </c>
      <c r="B79" s="92" t="str">
        <f t="shared" si="43"/>
        <v>#REF!</v>
      </c>
      <c r="C79" s="92" t="str">
        <f t="shared" si="43"/>
        <v>#REF!</v>
      </c>
      <c r="D79" s="205" t="str">
        <f t="shared" si="43"/>
        <v>#REF!</v>
      </c>
      <c r="E79" s="204" t="str">
        <f t="shared" si="43"/>
        <v>#REF!</v>
      </c>
      <c r="F79" s="206" t="str">
        <f t="shared" si="43"/>
        <v>#REF!</v>
      </c>
      <c r="G79" s="221" t="str">
        <f t="shared" si="43"/>
        <v>#REF!</v>
      </c>
      <c r="H79" s="143" t="str">
        <f t="shared" si="43"/>
        <v>#REF!</v>
      </c>
      <c r="I79" s="143" t="str">
        <f t="shared" si="43"/>
        <v>#REF!</v>
      </c>
    </row>
    <row r="80" ht="14.25" customHeight="1">
      <c r="A80" s="204" t="str">
        <f t="shared" ref="A80:I80" si="44">'2.6.'!A58</f>
        <v>#REF!</v>
      </c>
      <c r="B80" s="92" t="str">
        <f t="shared" si="44"/>
        <v>#REF!</v>
      </c>
      <c r="C80" s="92" t="str">
        <f t="shared" si="44"/>
        <v>#REF!</v>
      </c>
      <c r="D80" s="205" t="str">
        <f t="shared" si="44"/>
        <v>#REF!</v>
      </c>
      <c r="E80" s="204" t="str">
        <f t="shared" si="44"/>
        <v>#REF!</v>
      </c>
      <c r="F80" s="206" t="str">
        <f t="shared" si="44"/>
        <v>#REF!</v>
      </c>
      <c r="G80" s="221" t="str">
        <f t="shared" si="44"/>
        <v>#REF!</v>
      </c>
      <c r="H80" s="143" t="str">
        <f t="shared" si="44"/>
        <v>#REF!</v>
      </c>
      <c r="I80" s="143" t="str">
        <f t="shared" si="44"/>
        <v>#REF!</v>
      </c>
    </row>
    <row r="81" ht="14.25" customHeight="1">
      <c r="A81" s="204" t="str">
        <f t="shared" ref="A81:I81" si="45">'2.6.'!A59</f>
        <v>#REF!</v>
      </c>
      <c r="B81" s="92" t="str">
        <f t="shared" si="45"/>
        <v>#REF!</v>
      </c>
      <c r="C81" s="92" t="str">
        <f t="shared" si="45"/>
        <v>#REF!</v>
      </c>
      <c r="D81" s="205" t="str">
        <f t="shared" si="45"/>
        <v>#REF!</v>
      </c>
      <c r="E81" s="204" t="str">
        <f t="shared" si="45"/>
        <v>#REF!</v>
      </c>
      <c r="F81" s="206" t="str">
        <f t="shared" si="45"/>
        <v>#REF!</v>
      </c>
      <c r="G81" s="221" t="str">
        <f t="shared" si="45"/>
        <v>#REF!</v>
      </c>
      <c r="H81" s="143" t="str">
        <f t="shared" si="45"/>
        <v>#REF!</v>
      </c>
      <c r="I81" s="143" t="str">
        <f t="shared" si="45"/>
        <v>#REF!</v>
      </c>
    </row>
    <row r="82" ht="14.25" customHeight="1">
      <c r="A82" s="204" t="str">
        <f t="shared" ref="A82:I82" si="46">'2.6.'!A60</f>
        <v>#REF!</v>
      </c>
      <c r="B82" s="92" t="str">
        <f t="shared" si="46"/>
        <v>#REF!</v>
      </c>
      <c r="C82" s="92" t="str">
        <f t="shared" si="46"/>
        <v>#REF!</v>
      </c>
      <c r="D82" s="205" t="str">
        <f t="shared" si="46"/>
        <v>#REF!</v>
      </c>
      <c r="E82" s="204" t="str">
        <f t="shared" si="46"/>
        <v>#REF!</v>
      </c>
      <c r="F82" s="206" t="str">
        <f t="shared" si="46"/>
        <v>#REF!</v>
      </c>
      <c r="G82" s="221" t="str">
        <f t="shared" si="46"/>
        <v>#REF!</v>
      </c>
      <c r="H82" s="143" t="str">
        <f t="shared" si="46"/>
        <v>#REF!</v>
      </c>
      <c r="I82" s="143" t="str">
        <f t="shared" si="46"/>
        <v>#REF!</v>
      </c>
    </row>
    <row r="83" ht="14.25" customHeight="1">
      <c r="A83" s="216" t="str">
        <f t="shared" ref="A83:I83" si="47">'2.6.'!A61</f>
        <v>#REF!</v>
      </c>
      <c r="B83" s="216" t="str">
        <f t="shared" si="47"/>
        <v>#REF!</v>
      </c>
      <c r="C83" s="216" t="str">
        <f t="shared" si="47"/>
        <v>#REF!</v>
      </c>
      <c r="D83" s="216" t="str">
        <f t="shared" si="47"/>
        <v>#REF!</v>
      </c>
      <c r="E83" s="216" t="str">
        <f t="shared" si="47"/>
        <v>#REF!</v>
      </c>
      <c r="F83" s="208" t="str">
        <f t="shared" si="47"/>
        <v>#REF!</v>
      </c>
      <c r="G83" s="3" t="str">
        <f t="shared" si="47"/>
        <v>#REF!</v>
      </c>
      <c r="H83" s="143" t="str">
        <f t="shared" si="47"/>
        <v>#REF!</v>
      </c>
      <c r="I83" s="143" t="str">
        <f t="shared" si="47"/>
        <v>#REF!</v>
      </c>
    </row>
    <row r="84" ht="14.25" customHeight="1">
      <c r="A84" s="222" t="str">
        <f t="shared" ref="A84:I84" si="48">'2.6.'!A62</f>
        <v>#REF!</v>
      </c>
      <c r="B84" s="223" t="str">
        <f t="shared" si="48"/>
        <v>#REF!</v>
      </c>
      <c r="C84" s="223" t="str">
        <f t="shared" si="48"/>
        <v>#REF!</v>
      </c>
      <c r="D84" s="223" t="str">
        <f t="shared" si="48"/>
        <v>#REF!</v>
      </c>
      <c r="E84" s="223" t="str">
        <f t="shared" si="48"/>
        <v>#REF!</v>
      </c>
      <c r="F84" s="223" t="str">
        <f t="shared" si="48"/>
        <v>#REF!</v>
      </c>
      <c r="G84" s="211" t="str">
        <f t="shared" si="48"/>
        <v>#REF!</v>
      </c>
      <c r="H84" s="223" t="str">
        <f t="shared" si="48"/>
        <v>#REF!</v>
      </c>
      <c r="I84" s="224" t="str">
        <f t="shared" si="48"/>
        <v>#REF!</v>
      </c>
    </row>
    <row r="85" ht="14.25" customHeight="1">
      <c r="G85" s="3"/>
    </row>
    <row r="86" ht="14.25" customHeight="1">
      <c r="G86" s="3"/>
    </row>
    <row r="87">
      <c r="A87" s="195">
        <f>'2.6'!A3</f>
        <v>46175</v>
      </c>
      <c r="B87" s="196" t="str">
        <f>'2.1.'!B87</f>
        <v/>
      </c>
      <c r="C87" s="197"/>
      <c r="D87" s="197"/>
      <c r="E87" s="197"/>
      <c r="F87" s="197"/>
      <c r="G87" s="198" t="str">
        <f>'2.1.'!G87</f>
        <v/>
      </c>
      <c r="H87" s="199" t="str">
        <f>'2.1.'!H87</f>
        <v/>
      </c>
      <c r="I87" s="227" t="str">
        <f>'2.1.'!I87</f>
        <v/>
      </c>
    </row>
    <row r="88" ht="14.25" customHeight="1">
      <c r="G88" s="3"/>
    </row>
    <row r="89" ht="14.25" customHeight="1">
      <c r="A89" s="201" t="str">
        <f>'2.6'!A53</f>
        <v>MANO DE OBRA - MATERIALES</v>
      </c>
      <c r="B89" s="94" t="str">
        <f>'2.6'!B53</f>
        <v/>
      </c>
      <c r="C89" s="94" t="str">
        <f>'2.6'!C53</f>
        <v/>
      </c>
      <c r="D89" s="94" t="str">
        <f>'2.6'!D53</f>
        <v/>
      </c>
      <c r="E89" s="94" t="str">
        <f>'2.6'!E53</f>
        <v/>
      </c>
      <c r="F89" s="94" t="str">
        <f>'2.6'!F53</f>
        <v/>
      </c>
      <c r="G89" s="2" t="str">
        <f>'2.6'!G53</f>
        <v/>
      </c>
      <c r="H89" s="94" t="str">
        <f>'2.6'!H53</f>
        <v/>
      </c>
      <c r="I89" s="94" t="str">
        <f>'2.6'!I53</f>
        <v/>
      </c>
    </row>
    <row r="90" ht="14.25" customHeight="1">
      <c r="A90" s="202" t="str">
        <f>'2.6'!A54</f>
        <v>Código</v>
      </c>
      <c r="B90" s="202" t="str">
        <f>'2.6'!B54</f>
        <v>Descripción</v>
      </c>
      <c r="C90" s="202" t="str">
        <f>'2.6'!C54</f>
        <v>Unidad</v>
      </c>
      <c r="D90" s="202" t="str">
        <f>'2.6'!D54</f>
        <v>Cantidad</v>
      </c>
      <c r="E90" s="202" t="str">
        <f>'2.6'!E54</f>
        <v/>
      </c>
      <c r="F90" s="202" t="str">
        <f>'2.6'!F54</f>
        <v>Desperdicio</v>
      </c>
      <c r="G90" s="4" t="str">
        <f>'2.6'!G54</f>
        <v>Cantidad + Desperdicio</v>
      </c>
      <c r="H90" s="202" t="str">
        <f>'2.6'!H54</f>
        <v>Precio Unitario</v>
      </c>
      <c r="I90" s="202" t="str">
        <f>'2.6'!I54</f>
        <v>Subtotal</v>
      </c>
    </row>
    <row r="91" ht="14.25" customHeight="1">
      <c r="A91" s="204" t="str">
        <f>'2.6'!A55</f>
        <v/>
      </c>
      <c r="B91" s="92" t="str">
        <f>'2.6'!B55</f>
        <v/>
      </c>
      <c r="C91" s="92" t="str">
        <f>'2.6'!C55</f>
        <v/>
      </c>
      <c r="D91" s="205" t="str">
        <f>'2.6'!D55</f>
        <v/>
      </c>
      <c r="E91" s="204" t="str">
        <f>'2.6'!E55</f>
        <v/>
      </c>
      <c r="F91" s="206" t="str">
        <f>'2.6'!F55</f>
        <v/>
      </c>
      <c r="G91" s="221">
        <f>'2.6'!G55</f>
        <v>0</v>
      </c>
      <c r="H91" s="143" t="str">
        <f>'2.6'!H55</f>
        <v/>
      </c>
      <c r="I91" s="143">
        <f>'2.6'!I55</f>
        <v>0</v>
      </c>
    </row>
    <row r="92" ht="14.25" customHeight="1">
      <c r="A92" s="204" t="str">
        <f>'2.6'!A56</f>
        <v/>
      </c>
      <c r="B92" s="92" t="str">
        <f>'2.6'!B56</f>
        <v/>
      </c>
      <c r="C92" s="92" t="str">
        <f>'2.6'!C56</f>
        <v/>
      </c>
      <c r="D92" s="205" t="str">
        <f>'2.6'!D56</f>
        <v/>
      </c>
      <c r="E92" s="204" t="str">
        <f>'2.6'!E56</f>
        <v/>
      </c>
      <c r="F92" s="206" t="str">
        <f>'2.6'!F56</f>
        <v/>
      </c>
      <c r="G92" s="221">
        <f>'2.6'!G56</f>
        <v>0</v>
      </c>
      <c r="H92" s="143" t="str">
        <f>'2.6'!H56</f>
        <v/>
      </c>
      <c r="I92" s="143">
        <f>'2.6'!I56</f>
        <v>0</v>
      </c>
    </row>
    <row r="93" ht="14.25" customHeight="1">
      <c r="A93" s="204" t="str">
        <f>'2.6'!A57</f>
        <v/>
      </c>
      <c r="B93" s="92" t="str">
        <f>'2.6'!B57</f>
        <v/>
      </c>
      <c r="C93" s="92" t="str">
        <f>'2.6'!C57</f>
        <v/>
      </c>
      <c r="D93" s="205" t="str">
        <f>'2.6'!D57</f>
        <v/>
      </c>
      <c r="E93" s="204" t="str">
        <f>'2.6'!E57</f>
        <v/>
      </c>
      <c r="F93" s="206" t="str">
        <f>'2.6'!F57</f>
        <v/>
      </c>
      <c r="G93" s="221">
        <f>'2.6'!G57</f>
        <v>0</v>
      </c>
      <c r="H93" s="143" t="str">
        <f>'2.6'!H57</f>
        <v/>
      </c>
      <c r="I93" s="143" t="str">
        <f>'2.6'!I57</f>
        <v/>
      </c>
    </row>
    <row r="94" ht="14.25" customHeight="1">
      <c r="A94" s="204" t="str">
        <f>'2.6'!A58</f>
        <v/>
      </c>
      <c r="B94" s="92" t="str">
        <f>'2.6'!B58</f>
        <v/>
      </c>
      <c r="C94" s="92" t="str">
        <f>'2.6'!C58</f>
        <v/>
      </c>
      <c r="D94" s="205" t="str">
        <f>'2.6'!D58</f>
        <v/>
      </c>
      <c r="E94" s="204" t="str">
        <f>'2.6'!E58</f>
        <v/>
      </c>
      <c r="F94" s="206" t="str">
        <f>'2.6'!F58</f>
        <v/>
      </c>
      <c r="G94" s="221">
        <f>'2.6'!G58</f>
        <v>0</v>
      </c>
      <c r="H94" s="143" t="str">
        <f>'2.6'!H58</f>
        <v/>
      </c>
      <c r="I94" s="143" t="str">
        <f>'2.6'!I58</f>
        <v/>
      </c>
    </row>
    <row r="95" ht="14.25" customHeight="1">
      <c r="A95" s="204" t="str">
        <f>'2.6'!A59</f>
        <v/>
      </c>
      <c r="B95" s="92" t="str">
        <f>'2.6'!B59</f>
        <v/>
      </c>
      <c r="C95" s="92" t="str">
        <f>'2.6'!C59</f>
        <v/>
      </c>
      <c r="D95" s="205" t="str">
        <f>'2.6'!D59</f>
        <v/>
      </c>
      <c r="E95" s="204" t="str">
        <f>'2.6'!E59</f>
        <v/>
      </c>
      <c r="F95" s="206" t="str">
        <f>'2.6'!F59</f>
        <v/>
      </c>
      <c r="G95" s="221">
        <f>'2.6'!G59</f>
        <v>0</v>
      </c>
      <c r="H95" s="143" t="str">
        <f>'2.6'!H59</f>
        <v/>
      </c>
      <c r="I95" s="143" t="str">
        <f>'2.6'!I59</f>
        <v/>
      </c>
    </row>
    <row r="96" ht="14.25" customHeight="1">
      <c r="A96" s="204" t="str">
        <f>'2.6'!A60</f>
        <v/>
      </c>
      <c r="B96" s="92" t="str">
        <f>'2.6'!B60</f>
        <v/>
      </c>
      <c r="C96" s="92" t="str">
        <f>'2.6'!C60</f>
        <v/>
      </c>
      <c r="D96" s="205" t="str">
        <f>'2.6'!D60</f>
        <v/>
      </c>
      <c r="E96" s="204" t="str">
        <f>'2.6'!E60</f>
        <v/>
      </c>
      <c r="F96" s="206" t="str">
        <f>'2.6'!F60</f>
        <v/>
      </c>
      <c r="G96" s="221">
        <f>'2.6'!G60</f>
        <v>0</v>
      </c>
      <c r="H96" s="143" t="str">
        <f>'2.6'!H60</f>
        <v/>
      </c>
      <c r="I96" s="143" t="str">
        <f>'2.6'!I60</f>
        <v/>
      </c>
    </row>
    <row r="97" ht="14.25" customHeight="1">
      <c r="A97" s="216" t="str">
        <f>'2.6'!A61</f>
        <v/>
      </c>
      <c r="B97" s="216" t="str">
        <f>'2.6'!B61</f>
        <v/>
      </c>
      <c r="C97" s="216" t="str">
        <f>'2.6'!C61</f>
        <v/>
      </c>
      <c r="D97" s="216" t="str">
        <f>'2.6'!D61</f>
        <v/>
      </c>
      <c r="E97" s="216" t="str">
        <f>'2.6'!E61</f>
        <v/>
      </c>
      <c r="F97" s="208" t="str">
        <f>'2.6'!F61</f>
        <v/>
      </c>
      <c r="G97" s="3" t="str">
        <f>'2.6'!G61</f>
        <v/>
      </c>
      <c r="H97" s="143" t="str">
        <f>'2.6'!H61</f>
        <v/>
      </c>
      <c r="I97" s="143" t="str">
        <f>'2.6'!I61</f>
        <v/>
      </c>
    </row>
    <row r="98" ht="14.25" customHeight="1">
      <c r="A98" s="222" t="str">
        <f>'2.6'!A62</f>
        <v>TOTAL</v>
      </c>
      <c r="B98" s="223" t="str">
        <f>'2.6'!B62</f>
        <v/>
      </c>
      <c r="C98" s="223" t="str">
        <f>'2.6'!C62</f>
        <v/>
      </c>
      <c r="D98" s="223" t="str">
        <f>'2.6'!D62</f>
        <v/>
      </c>
      <c r="E98" s="223" t="str">
        <f>'2.6'!E62</f>
        <v/>
      </c>
      <c r="F98" s="223" t="str">
        <f>'2.6'!F62</f>
        <v/>
      </c>
      <c r="G98" s="211" t="str">
        <f>'2.6'!G62</f>
        <v/>
      </c>
      <c r="H98" s="223" t="str">
        <f>'2.6'!H62</f>
        <v/>
      </c>
      <c r="I98" s="224">
        <f>'2.6'!I62</f>
        <v>0</v>
      </c>
    </row>
    <row r="99" ht="14.25" customHeight="1">
      <c r="G99" s="3"/>
    </row>
    <row r="100" ht="14.25" customHeight="1">
      <c r="G100" s="3"/>
    </row>
    <row r="101">
      <c r="A101" s="195">
        <f>'2.7'!A3</f>
        <v>46205</v>
      </c>
      <c r="B101" s="196" t="str">
        <f>'2.1.'!B101</f>
        <v/>
      </c>
      <c r="C101" s="197"/>
      <c r="D101" s="197"/>
      <c r="E101" s="197"/>
      <c r="F101" s="197"/>
      <c r="G101" s="198" t="str">
        <f>'2.1.'!G101</f>
        <v/>
      </c>
      <c r="H101" s="199" t="str">
        <f>'2.1.'!H101</f>
        <v/>
      </c>
      <c r="I101" s="200" t="str">
        <f>'2.1.'!I101</f>
        <v/>
      </c>
    </row>
    <row r="102" ht="14.25" customHeight="1">
      <c r="G102" s="3"/>
    </row>
    <row r="103" ht="14.25" customHeight="1">
      <c r="A103" s="201" t="str">
        <f>'2.7'!A53</f>
        <v>MANO DE OBRA - MATERIALES</v>
      </c>
      <c r="B103" s="94" t="str">
        <f>'2.7'!B53</f>
        <v/>
      </c>
      <c r="C103" s="94" t="str">
        <f>'2.7'!C53</f>
        <v/>
      </c>
      <c r="D103" s="94" t="str">
        <f>'2.7'!D53</f>
        <v/>
      </c>
      <c r="E103" s="94" t="str">
        <f>'2.7'!E53</f>
        <v/>
      </c>
      <c r="F103" s="94" t="str">
        <f>'2.7'!F53</f>
        <v/>
      </c>
      <c r="G103" s="2" t="str">
        <f>'2.7'!G53</f>
        <v/>
      </c>
      <c r="H103" s="94" t="str">
        <f>'2.7'!H53</f>
        <v/>
      </c>
      <c r="I103" s="94" t="str">
        <f>'2.7'!I53</f>
        <v/>
      </c>
    </row>
    <row r="104" ht="14.25" customHeight="1">
      <c r="A104" s="202" t="str">
        <f>'2.7'!A54</f>
        <v>Código</v>
      </c>
      <c r="B104" s="202" t="str">
        <f>'2.7'!B54</f>
        <v>Descripción</v>
      </c>
      <c r="C104" s="202" t="str">
        <f>'2.7'!C54</f>
        <v>Unidad</v>
      </c>
      <c r="D104" s="202" t="str">
        <f>'2.7'!D54</f>
        <v>Cantidad</v>
      </c>
      <c r="E104" s="202" t="str">
        <f>'2.7'!E54</f>
        <v/>
      </c>
      <c r="F104" s="202" t="str">
        <f>'2.7'!F54</f>
        <v>Desperdicio</v>
      </c>
      <c r="G104" s="4" t="str">
        <f>'2.7'!G54</f>
        <v>Cantidad + Desperdicio</v>
      </c>
      <c r="H104" s="202" t="str">
        <f>'2.7'!H54</f>
        <v>Precio Unitario</v>
      </c>
      <c r="I104" s="202" t="str">
        <f>'2.7'!I54</f>
        <v>Subtotal</v>
      </c>
    </row>
    <row r="105" ht="14.25" customHeight="1">
      <c r="A105" s="204" t="str">
        <f>'2.7'!A55</f>
        <v/>
      </c>
      <c r="B105" s="92" t="str">
        <f>'2.7'!B55</f>
        <v/>
      </c>
      <c r="C105" s="92" t="str">
        <f>'2.7'!C55</f>
        <v/>
      </c>
      <c r="D105" s="205" t="str">
        <f>'2.7'!D55</f>
        <v/>
      </c>
      <c r="E105" s="204" t="str">
        <f>'2.7'!E55</f>
        <v/>
      </c>
      <c r="F105" s="206" t="str">
        <f>'2.7'!F55</f>
        <v/>
      </c>
      <c r="G105" s="221">
        <f>'2.7'!G55</f>
        <v>0</v>
      </c>
      <c r="H105" s="143" t="str">
        <f>'2.7'!H55</f>
        <v/>
      </c>
      <c r="I105" s="143" t="str">
        <f>'2.7'!I55</f>
        <v/>
      </c>
    </row>
    <row r="106" ht="14.25" customHeight="1">
      <c r="A106" s="204" t="str">
        <f>'2.7'!A56</f>
        <v/>
      </c>
      <c r="B106" s="92" t="str">
        <f>'2.7'!B56</f>
        <v/>
      </c>
      <c r="C106" s="92" t="str">
        <f>'2.7'!C56</f>
        <v/>
      </c>
      <c r="D106" s="205" t="str">
        <f>'2.7'!D56</f>
        <v/>
      </c>
      <c r="E106" s="204" t="str">
        <f>'2.7'!E56</f>
        <v/>
      </c>
      <c r="F106" s="206" t="str">
        <f>'2.7'!F56</f>
        <v/>
      </c>
      <c r="G106" s="221">
        <f>'2.7'!G56</f>
        <v>0</v>
      </c>
      <c r="H106" s="143" t="str">
        <f>'2.7'!H56</f>
        <v/>
      </c>
      <c r="I106" s="143" t="str">
        <f>'2.7'!I56</f>
        <v/>
      </c>
    </row>
    <row r="107" ht="14.25" customHeight="1">
      <c r="A107" s="204" t="str">
        <f>'2.7'!A57</f>
        <v/>
      </c>
      <c r="B107" s="92" t="str">
        <f>'2.7'!B57</f>
        <v/>
      </c>
      <c r="C107" s="92" t="str">
        <f>'2.7'!C57</f>
        <v/>
      </c>
      <c r="D107" s="205" t="str">
        <f>'2.7'!D57</f>
        <v/>
      </c>
      <c r="E107" s="204" t="str">
        <f>'2.7'!E57</f>
        <v/>
      </c>
      <c r="F107" s="206" t="str">
        <f>'2.7'!F57</f>
        <v/>
      </c>
      <c r="G107" s="221">
        <f>'2.7'!G57</f>
        <v>0</v>
      </c>
      <c r="H107" s="143" t="str">
        <f>'2.7'!H57</f>
        <v/>
      </c>
      <c r="I107" s="143" t="str">
        <f>'2.7'!I57</f>
        <v/>
      </c>
    </row>
    <row r="108" ht="14.25" customHeight="1">
      <c r="A108" s="204" t="str">
        <f>'2.7'!A58</f>
        <v/>
      </c>
      <c r="B108" s="92" t="str">
        <f>'2.7'!B58</f>
        <v/>
      </c>
      <c r="C108" s="92" t="str">
        <f>'2.7'!C58</f>
        <v/>
      </c>
      <c r="D108" s="205" t="str">
        <f>'2.7'!D58</f>
        <v/>
      </c>
      <c r="E108" s="204" t="str">
        <f>'2.7'!E58</f>
        <v/>
      </c>
      <c r="F108" s="206" t="str">
        <f>'2.7'!F58</f>
        <v/>
      </c>
      <c r="G108" s="221">
        <f>'2.7'!G58</f>
        <v>0</v>
      </c>
      <c r="H108" s="143" t="str">
        <f>'2.7'!H58</f>
        <v/>
      </c>
      <c r="I108" s="143" t="str">
        <f>'2.7'!I58</f>
        <v/>
      </c>
    </row>
    <row r="109" ht="14.25" customHeight="1">
      <c r="A109" s="204" t="str">
        <f>'2.7'!A59</f>
        <v/>
      </c>
      <c r="B109" s="92" t="str">
        <f>'2.7'!B59</f>
        <v/>
      </c>
      <c r="C109" s="92" t="str">
        <f>'2.7'!C59</f>
        <v/>
      </c>
      <c r="D109" s="205" t="str">
        <f>'2.7'!D59</f>
        <v/>
      </c>
      <c r="E109" s="204" t="str">
        <f>'2.7'!E59</f>
        <v/>
      </c>
      <c r="F109" s="206" t="str">
        <f>'2.7'!F59</f>
        <v/>
      </c>
      <c r="G109" s="221">
        <f>'2.7'!G59</f>
        <v>0</v>
      </c>
      <c r="H109" s="143" t="str">
        <f>'2.7'!H59</f>
        <v/>
      </c>
      <c r="I109" s="143" t="str">
        <f>'2.7'!I59</f>
        <v/>
      </c>
    </row>
    <row r="110" ht="14.25" customHeight="1">
      <c r="A110" s="204" t="str">
        <f>'2.7'!A60</f>
        <v/>
      </c>
      <c r="B110" s="92" t="str">
        <f>'2.7'!B60</f>
        <v/>
      </c>
      <c r="C110" s="92" t="str">
        <f>'2.7'!C60</f>
        <v/>
      </c>
      <c r="D110" s="205" t="str">
        <f>'2.7'!D60</f>
        <v/>
      </c>
      <c r="E110" s="204" t="str">
        <f>'2.7'!E60</f>
        <v/>
      </c>
      <c r="F110" s="206" t="str">
        <f>'2.7'!F60</f>
        <v/>
      </c>
      <c r="G110" s="221">
        <f>'2.7'!G60</f>
        <v>0</v>
      </c>
      <c r="H110" s="143" t="str">
        <f>'2.7'!H60</f>
        <v/>
      </c>
      <c r="I110" s="143" t="str">
        <f>'2.7'!I60</f>
        <v/>
      </c>
    </row>
    <row r="111" ht="14.25" customHeight="1">
      <c r="A111" s="216" t="str">
        <f>'2.7'!A61</f>
        <v/>
      </c>
      <c r="B111" s="216" t="str">
        <f>'2.7'!B61</f>
        <v/>
      </c>
      <c r="C111" s="216" t="str">
        <f>'2.7'!C61</f>
        <v/>
      </c>
      <c r="D111" s="216" t="str">
        <f>'2.7'!D61</f>
        <v/>
      </c>
      <c r="E111" s="216" t="str">
        <f>'2.7'!E61</f>
        <v/>
      </c>
      <c r="F111" s="208" t="str">
        <f>'2.7'!F61</f>
        <v/>
      </c>
      <c r="G111" s="3" t="str">
        <f>'2.7'!G61</f>
        <v/>
      </c>
      <c r="H111" s="143" t="str">
        <f>'2.7'!H61</f>
        <v/>
      </c>
      <c r="I111" s="143" t="str">
        <f>'2.7'!I61</f>
        <v/>
      </c>
    </row>
    <row r="112" ht="14.25" customHeight="1">
      <c r="A112" s="222" t="str">
        <f>'2.7'!A62</f>
        <v>TOTAL</v>
      </c>
      <c r="B112" s="223" t="str">
        <f>'2.7'!B62</f>
        <v/>
      </c>
      <c r="C112" s="223" t="str">
        <f>'2.7'!C62</f>
        <v/>
      </c>
      <c r="D112" s="223" t="str">
        <f>'2.7'!D62</f>
        <v/>
      </c>
      <c r="E112" s="223" t="str">
        <f>'2.7'!E62</f>
        <v/>
      </c>
      <c r="F112" s="223" t="str">
        <f>'2.7'!F62</f>
        <v/>
      </c>
      <c r="G112" s="211" t="str">
        <f>'2.7'!G62</f>
        <v/>
      </c>
      <c r="H112" s="223" t="str">
        <f>'2.7'!H62</f>
        <v/>
      </c>
      <c r="I112" s="224">
        <f>'2.7'!I62</f>
        <v>0</v>
      </c>
    </row>
    <row r="113" ht="14.25" customHeight="1">
      <c r="G113" s="3"/>
    </row>
    <row r="114" ht="14.25" customHeight="1">
      <c r="G114" s="3"/>
    </row>
    <row r="115">
      <c r="A115" s="195">
        <f>'2.8'!A3</f>
        <v>46236</v>
      </c>
      <c r="B115" s="196" t="str">
        <f>'2.1.'!B115</f>
        <v/>
      </c>
      <c r="C115" s="197"/>
      <c r="D115" s="197"/>
      <c r="E115" s="197"/>
      <c r="F115" s="197"/>
      <c r="G115" s="198" t="str">
        <f>'2.1.'!G115</f>
        <v/>
      </c>
      <c r="H115" s="199" t="str">
        <f>'2.1.'!H115</f>
        <v/>
      </c>
      <c r="I115" s="200" t="str">
        <f>'2.1.'!I115</f>
        <v/>
      </c>
    </row>
    <row r="116" ht="14.25" customHeight="1">
      <c r="G116" s="3"/>
    </row>
    <row r="117" ht="14.25" customHeight="1">
      <c r="A117" s="201" t="str">
        <f>'2.8'!A53</f>
        <v>MANO DE OBRA - MATERIALES</v>
      </c>
      <c r="B117" s="94" t="str">
        <f>'2.8'!B53</f>
        <v/>
      </c>
      <c r="C117" s="94" t="str">
        <f>'2.8'!C53</f>
        <v/>
      </c>
      <c r="D117" s="94" t="str">
        <f>'2.8'!D53</f>
        <v/>
      </c>
      <c r="E117" s="94" t="str">
        <f>'2.8'!E53</f>
        <v/>
      </c>
      <c r="F117" s="94" t="str">
        <f>'2.8'!F53</f>
        <v/>
      </c>
      <c r="G117" s="2" t="str">
        <f>'2.8'!G53</f>
        <v/>
      </c>
      <c r="H117" s="94" t="str">
        <f>'2.8'!H53</f>
        <v/>
      </c>
      <c r="I117" s="94" t="str">
        <f>'2.8'!I53</f>
        <v/>
      </c>
    </row>
    <row r="118" ht="14.25" customHeight="1">
      <c r="A118" s="202" t="str">
        <f>'2.8'!A54</f>
        <v>Código</v>
      </c>
      <c r="B118" s="202" t="str">
        <f>'2.8'!B54</f>
        <v>Descripción</v>
      </c>
      <c r="C118" s="202" t="str">
        <f>'2.8'!C54</f>
        <v>Unidad</v>
      </c>
      <c r="D118" s="202" t="str">
        <f>'2.8'!D54</f>
        <v>Cantidad</v>
      </c>
      <c r="E118" s="202" t="str">
        <f>'2.8'!E54</f>
        <v/>
      </c>
      <c r="F118" s="202" t="str">
        <f>'2.8'!F54</f>
        <v>Desperdicio</v>
      </c>
      <c r="G118" s="4" t="str">
        <f>'2.8'!G54</f>
        <v>Cantidad + Desperdicio</v>
      </c>
      <c r="H118" s="202" t="str">
        <f>'2.8'!H54</f>
        <v>Precio Unitario</v>
      </c>
      <c r="I118" s="202" t="str">
        <f>'2.8'!I54</f>
        <v>Subtotal</v>
      </c>
    </row>
    <row r="119" ht="14.25" customHeight="1">
      <c r="A119" s="204" t="str">
        <f>'2.8'!A55</f>
        <v/>
      </c>
      <c r="B119" s="92" t="str">
        <f>'2.8'!B55</f>
        <v/>
      </c>
      <c r="C119" s="92" t="str">
        <f>'2.8'!C55</f>
        <v/>
      </c>
      <c r="D119" s="205" t="str">
        <f>'2.8'!D55</f>
        <v/>
      </c>
      <c r="E119" s="204" t="str">
        <f>'2.8'!E55</f>
        <v/>
      </c>
      <c r="F119" s="206" t="str">
        <f>'2.8'!F55</f>
        <v/>
      </c>
      <c r="G119" s="221">
        <f>'2.8'!G55</f>
        <v>0</v>
      </c>
      <c r="H119" s="143" t="str">
        <f>'2.8'!H55</f>
        <v/>
      </c>
      <c r="I119" s="143">
        <f>'2.8'!I55</f>
        <v>0</v>
      </c>
    </row>
    <row r="120" ht="14.25" customHeight="1">
      <c r="A120" s="204" t="str">
        <f>'2.8'!A56</f>
        <v/>
      </c>
      <c r="B120" s="92" t="str">
        <f>'2.8'!B56</f>
        <v/>
      </c>
      <c r="C120" s="92" t="str">
        <f>'2.8'!C56</f>
        <v/>
      </c>
      <c r="D120" s="205" t="str">
        <f>'2.8'!D56</f>
        <v/>
      </c>
      <c r="E120" s="204" t="str">
        <f>'2.8'!E56</f>
        <v/>
      </c>
      <c r="F120" s="206" t="str">
        <f>'2.8'!F56</f>
        <v/>
      </c>
      <c r="G120" s="221">
        <f>'2.8'!G56</f>
        <v>0</v>
      </c>
      <c r="H120" s="143" t="str">
        <f>'2.8'!H56</f>
        <v/>
      </c>
      <c r="I120" s="143" t="str">
        <f>'2.8'!I56</f>
        <v/>
      </c>
    </row>
    <row r="121" ht="14.25" customHeight="1">
      <c r="A121" s="204" t="str">
        <f>'2.8'!A57</f>
        <v/>
      </c>
      <c r="B121" s="92" t="str">
        <f>'2.8'!B57</f>
        <v/>
      </c>
      <c r="C121" s="92" t="str">
        <f>'2.8'!C57</f>
        <v/>
      </c>
      <c r="D121" s="205" t="str">
        <f>'2.8'!D57</f>
        <v/>
      </c>
      <c r="E121" s="204" t="str">
        <f>'2.8'!E57</f>
        <v/>
      </c>
      <c r="F121" s="206" t="str">
        <f>'2.8'!F57</f>
        <v/>
      </c>
      <c r="G121" s="221">
        <f>'2.8'!G57</f>
        <v>0</v>
      </c>
      <c r="H121" s="143" t="str">
        <f>'2.8'!H57</f>
        <v/>
      </c>
      <c r="I121" s="143" t="str">
        <f>'2.8'!I57</f>
        <v/>
      </c>
    </row>
    <row r="122" ht="14.25" customHeight="1">
      <c r="A122" s="204" t="str">
        <f>'2.8'!A58</f>
        <v/>
      </c>
      <c r="B122" s="92" t="str">
        <f>'2.8'!B58</f>
        <v/>
      </c>
      <c r="C122" s="92" t="str">
        <f>'2.8'!C58</f>
        <v/>
      </c>
      <c r="D122" s="205" t="str">
        <f>'2.8'!D58</f>
        <v/>
      </c>
      <c r="E122" s="204" t="str">
        <f>'2.8'!E58</f>
        <v/>
      </c>
      <c r="F122" s="206" t="str">
        <f>'2.8'!F58</f>
        <v/>
      </c>
      <c r="G122" s="221">
        <f>'2.8'!G58</f>
        <v>0</v>
      </c>
      <c r="H122" s="143" t="str">
        <f>'2.8'!H58</f>
        <v/>
      </c>
      <c r="I122" s="143" t="str">
        <f>'2.8'!I58</f>
        <v/>
      </c>
    </row>
    <row r="123" ht="14.25" customHeight="1">
      <c r="A123" s="204" t="str">
        <f>'2.8'!A59</f>
        <v/>
      </c>
      <c r="B123" s="92" t="str">
        <f>'2.8'!B59</f>
        <v/>
      </c>
      <c r="C123" s="92" t="str">
        <f>'2.8'!C59</f>
        <v/>
      </c>
      <c r="D123" s="205" t="str">
        <f>'2.8'!D59</f>
        <v/>
      </c>
      <c r="E123" s="204" t="str">
        <f>'2.8'!E59</f>
        <v/>
      </c>
      <c r="F123" s="206" t="str">
        <f>'2.8'!F59</f>
        <v/>
      </c>
      <c r="G123" s="221">
        <f>'2.8'!G59</f>
        <v>0</v>
      </c>
      <c r="H123" s="143" t="str">
        <f>'2.8'!H59</f>
        <v/>
      </c>
      <c r="I123" s="143" t="str">
        <f>'2.8'!I59</f>
        <v/>
      </c>
    </row>
    <row r="124" ht="14.25" customHeight="1">
      <c r="A124" s="204" t="str">
        <f>'2.8'!A60</f>
        <v/>
      </c>
      <c r="B124" s="92" t="str">
        <f>'2.8'!B60</f>
        <v/>
      </c>
      <c r="C124" s="92" t="str">
        <f>'2.8'!C60</f>
        <v/>
      </c>
      <c r="D124" s="205" t="str">
        <f>'2.8'!D60</f>
        <v/>
      </c>
      <c r="E124" s="204" t="str">
        <f>'2.8'!E60</f>
        <v/>
      </c>
      <c r="F124" s="206" t="str">
        <f>'2.8'!F60</f>
        <v/>
      </c>
      <c r="G124" s="221">
        <f>'2.8'!G60</f>
        <v>0</v>
      </c>
      <c r="H124" s="143" t="str">
        <f>'2.8'!H60</f>
        <v/>
      </c>
      <c r="I124" s="143" t="str">
        <f>'2.8'!I60</f>
        <v/>
      </c>
    </row>
    <row r="125" ht="14.25" customHeight="1">
      <c r="A125" s="216" t="str">
        <f>'2.8'!A61</f>
        <v/>
      </c>
      <c r="B125" s="216" t="str">
        <f>'2.8'!B61</f>
        <v/>
      </c>
      <c r="C125" s="216" t="str">
        <f>'2.8'!C61</f>
        <v/>
      </c>
      <c r="D125" s="216" t="str">
        <f>'2.8'!D61</f>
        <v/>
      </c>
      <c r="E125" s="216" t="str">
        <f>'2.8'!E61</f>
        <v/>
      </c>
      <c r="F125" s="208" t="str">
        <f>'2.8'!F61</f>
        <v/>
      </c>
      <c r="G125" s="3" t="str">
        <f>'2.8'!G61</f>
        <v/>
      </c>
      <c r="H125" s="143" t="str">
        <f>'2.8'!H61</f>
        <v/>
      </c>
      <c r="I125" s="143" t="str">
        <f>'2.8'!I61</f>
        <v/>
      </c>
    </row>
    <row r="126" ht="14.25" customHeight="1">
      <c r="A126" s="222" t="str">
        <f>'2.8'!A62</f>
        <v>TOTAL</v>
      </c>
      <c r="B126" s="223" t="str">
        <f>'2.8'!B62</f>
        <v/>
      </c>
      <c r="C126" s="223" t="str">
        <f>'2.8'!C62</f>
        <v/>
      </c>
      <c r="D126" s="223" t="str">
        <f>'2.8'!D62</f>
        <v/>
      </c>
      <c r="E126" s="223" t="str">
        <f>'2.8'!E62</f>
        <v/>
      </c>
      <c r="F126" s="223" t="str">
        <f>'2.8'!F62</f>
        <v/>
      </c>
      <c r="G126" s="211" t="str">
        <f>'2.8'!G62</f>
        <v/>
      </c>
      <c r="H126" s="223" t="str">
        <f>'2.8'!H62</f>
        <v/>
      </c>
      <c r="I126" s="224">
        <f>'2.8'!I62</f>
        <v>0</v>
      </c>
    </row>
    <row r="127" ht="14.25" customHeight="1">
      <c r="G127" s="3"/>
    </row>
    <row r="128" ht="14.25" customHeight="1">
      <c r="G128" s="3"/>
    </row>
    <row r="129">
      <c r="A129" s="195" t="str">
        <f>'2.10.'!A3</f>
        <v>#REF!</v>
      </c>
      <c r="B129" s="196" t="str">
        <f>'2.1.'!B129</f>
        <v/>
      </c>
      <c r="C129" s="197"/>
      <c r="D129" s="197"/>
      <c r="E129" s="197"/>
      <c r="F129" s="197"/>
      <c r="G129" s="198" t="str">
        <f>'2.1.'!G129</f>
        <v/>
      </c>
      <c r="H129" s="199" t="str">
        <f>'2.1.'!H129</f>
        <v/>
      </c>
      <c r="I129" s="200" t="str">
        <f>'2.1.'!I129</f>
        <v/>
      </c>
    </row>
    <row r="130" ht="14.25" customHeight="1">
      <c r="G130" s="3"/>
    </row>
    <row r="131" ht="14.25" customHeight="1">
      <c r="A131" s="201" t="str">
        <f t="shared" ref="A131:I131" si="49">'2.10.'!A53</f>
        <v>#REF!</v>
      </c>
      <c r="B131" s="94" t="str">
        <f t="shared" si="49"/>
        <v>#REF!</v>
      </c>
      <c r="C131" s="94" t="str">
        <f t="shared" si="49"/>
        <v>#REF!</v>
      </c>
      <c r="D131" s="94" t="str">
        <f t="shared" si="49"/>
        <v>#REF!</v>
      </c>
      <c r="E131" s="94" t="str">
        <f t="shared" si="49"/>
        <v>#REF!</v>
      </c>
      <c r="F131" s="94" t="str">
        <f t="shared" si="49"/>
        <v>#REF!</v>
      </c>
      <c r="G131" s="2" t="str">
        <f t="shared" si="49"/>
        <v>#REF!</v>
      </c>
      <c r="H131" s="94" t="str">
        <f t="shared" si="49"/>
        <v>#REF!</v>
      </c>
      <c r="I131" s="94" t="str">
        <f t="shared" si="49"/>
        <v>#REF!</v>
      </c>
    </row>
    <row r="132" ht="14.25" customHeight="1">
      <c r="A132" s="202" t="str">
        <f t="shared" ref="A132:I132" si="50">'2.10.'!A54</f>
        <v>#REF!</v>
      </c>
      <c r="B132" s="202" t="str">
        <f t="shared" si="50"/>
        <v>#REF!</v>
      </c>
      <c r="C132" s="202" t="str">
        <f t="shared" si="50"/>
        <v>#REF!</v>
      </c>
      <c r="D132" s="202" t="str">
        <f t="shared" si="50"/>
        <v>#REF!</v>
      </c>
      <c r="E132" s="202" t="str">
        <f t="shared" si="50"/>
        <v>#REF!</v>
      </c>
      <c r="F132" s="202" t="str">
        <f t="shared" si="50"/>
        <v>#REF!</v>
      </c>
      <c r="G132" s="4" t="str">
        <f t="shared" si="50"/>
        <v>#REF!</v>
      </c>
      <c r="H132" s="202" t="str">
        <f t="shared" si="50"/>
        <v>#REF!</v>
      </c>
      <c r="I132" s="202" t="str">
        <f t="shared" si="50"/>
        <v>#REF!</v>
      </c>
    </row>
    <row r="133" ht="14.25" customHeight="1">
      <c r="A133" s="204" t="str">
        <f t="shared" ref="A133:I133" si="51">'2.10.'!A55</f>
        <v>#REF!</v>
      </c>
      <c r="B133" s="92" t="str">
        <f t="shared" si="51"/>
        <v>#REF!</v>
      </c>
      <c r="C133" s="92" t="str">
        <f t="shared" si="51"/>
        <v>#REF!</v>
      </c>
      <c r="D133" s="205" t="str">
        <f t="shared" si="51"/>
        <v>#REF!</v>
      </c>
      <c r="E133" s="204" t="str">
        <f t="shared" si="51"/>
        <v>#REF!</v>
      </c>
      <c r="F133" s="206" t="str">
        <f t="shared" si="51"/>
        <v>#REF!</v>
      </c>
      <c r="G133" s="221" t="str">
        <f t="shared" si="51"/>
        <v>#REF!</v>
      </c>
      <c r="H133" s="143" t="str">
        <f t="shared" si="51"/>
        <v>#REF!</v>
      </c>
      <c r="I133" s="143" t="str">
        <f t="shared" si="51"/>
        <v>#REF!</v>
      </c>
    </row>
    <row r="134" ht="14.25" customHeight="1">
      <c r="A134" s="204" t="str">
        <f t="shared" ref="A134:I134" si="52">'2.10.'!A56</f>
        <v>#REF!</v>
      </c>
      <c r="B134" s="92" t="str">
        <f t="shared" si="52"/>
        <v>#REF!</v>
      </c>
      <c r="C134" s="92" t="str">
        <f t="shared" si="52"/>
        <v>#REF!</v>
      </c>
      <c r="D134" s="205" t="str">
        <f t="shared" si="52"/>
        <v>#REF!</v>
      </c>
      <c r="E134" s="204" t="str">
        <f t="shared" si="52"/>
        <v>#REF!</v>
      </c>
      <c r="F134" s="206" t="str">
        <f t="shared" si="52"/>
        <v>#REF!</v>
      </c>
      <c r="G134" s="221" t="str">
        <f t="shared" si="52"/>
        <v>#REF!</v>
      </c>
      <c r="H134" s="143" t="str">
        <f t="shared" si="52"/>
        <v>#REF!</v>
      </c>
      <c r="I134" s="143" t="str">
        <f t="shared" si="52"/>
        <v>#REF!</v>
      </c>
    </row>
    <row r="135" ht="14.25" customHeight="1">
      <c r="A135" s="204" t="str">
        <f t="shared" ref="A135:I135" si="53">'2.10.'!A57</f>
        <v>#REF!</v>
      </c>
      <c r="B135" s="92" t="str">
        <f t="shared" si="53"/>
        <v>#REF!</v>
      </c>
      <c r="C135" s="92" t="str">
        <f t="shared" si="53"/>
        <v>#REF!</v>
      </c>
      <c r="D135" s="205" t="str">
        <f t="shared" si="53"/>
        <v>#REF!</v>
      </c>
      <c r="E135" s="204" t="str">
        <f t="shared" si="53"/>
        <v>#REF!</v>
      </c>
      <c r="F135" s="206" t="str">
        <f t="shared" si="53"/>
        <v>#REF!</v>
      </c>
      <c r="G135" s="221" t="str">
        <f t="shared" si="53"/>
        <v>#REF!</v>
      </c>
      <c r="H135" s="143" t="str">
        <f t="shared" si="53"/>
        <v>#REF!</v>
      </c>
      <c r="I135" s="143" t="str">
        <f t="shared" si="53"/>
        <v>#REF!</v>
      </c>
    </row>
    <row r="136" ht="14.25" customHeight="1">
      <c r="A136" s="204" t="str">
        <f t="shared" ref="A136:I136" si="54">'2.10.'!A58</f>
        <v>#REF!</v>
      </c>
      <c r="B136" s="92" t="str">
        <f t="shared" si="54"/>
        <v>#REF!</v>
      </c>
      <c r="C136" s="92" t="str">
        <f t="shared" si="54"/>
        <v>#REF!</v>
      </c>
      <c r="D136" s="205" t="str">
        <f t="shared" si="54"/>
        <v>#REF!</v>
      </c>
      <c r="E136" s="204" t="str">
        <f t="shared" si="54"/>
        <v>#REF!</v>
      </c>
      <c r="F136" s="206" t="str">
        <f t="shared" si="54"/>
        <v>#REF!</v>
      </c>
      <c r="G136" s="221" t="str">
        <f t="shared" si="54"/>
        <v>#REF!</v>
      </c>
      <c r="H136" s="143" t="str">
        <f t="shared" si="54"/>
        <v>#REF!</v>
      </c>
      <c r="I136" s="143" t="str">
        <f t="shared" si="54"/>
        <v>#REF!</v>
      </c>
    </row>
    <row r="137" ht="14.25" customHeight="1">
      <c r="A137" s="204" t="str">
        <f t="shared" ref="A137:I137" si="55">'2.10.'!A59</f>
        <v>#REF!</v>
      </c>
      <c r="B137" s="92" t="str">
        <f t="shared" si="55"/>
        <v>#REF!</v>
      </c>
      <c r="C137" s="92" t="str">
        <f t="shared" si="55"/>
        <v>#REF!</v>
      </c>
      <c r="D137" s="205" t="str">
        <f t="shared" si="55"/>
        <v>#REF!</v>
      </c>
      <c r="E137" s="204" t="str">
        <f t="shared" si="55"/>
        <v>#REF!</v>
      </c>
      <c r="F137" s="206" t="str">
        <f t="shared" si="55"/>
        <v>#REF!</v>
      </c>
      <c r="G137" s="221" t="str">
        <f t="shared" si="55"/>
        <v>#REF!</v>
      </c>
      <c r="H137" s="143" t="str">
        <f t="shared" si="55"/>
        <v>#REF!</v>
      </c>
      <c r="I137" s="143" t="str">
        <f t="shared" si="55"/>
        <v>#REF!</v>
      </c>
    </row>
    <row r="138" ht="14.25" customHeight="1">
      <c r="A138" s="204" t="str">
        <f t="shared" ref="A138:I138" si="56">'2.10.'!A60</f>
        <v>#REF!</v>
      </c>
      <c r="B138" s="92" t="str">
        <f t="shared" si="56"/>
        <v>#REF!</v>
      </c>
      <c r="C138" s="92" t="str">
        <f t="shared" si="56"/>
        <v>#REF!</v>
      </c>
      <c r="D138" s="205" t="str">
        <f t="shared" si="56"/>
        <v>#REF!</v>
      </c>
      <c r="E138" s="204" t="str">
        <f t="shared" si="56"/>
        <v>#REF!</v>
      </c>
      <c r="F138" s="206" t="str">
        <f t="shared" si="56"/>
        <v>#REF!</v>
      </c>
      <c r="G138" s="221" t="str">
        <f t="shared" si="56"/>
        <v>#REF!</v>
      </c>
      <c r="H138" s="143" t="str">
        <f t="shared" si="56"/>
        <v>#REF!</v>
      </c>
      <c r="I138" s="143" t="str">
        <f t="shared" si="56"/>
        <v>#REF!</v>
      </c>
    </row>
    <row r="139" ht="14.25" customHeight="1">
      <c r="A139" s="216" t="str">
        <f t="shared" ref="A139:I139" si="57">'2.10.'!A61</f>
        <v>#REF!</v>
      </c>
      <c r="B139" s="216" t="str">
        <f t="shared" si="57"/>
        <v>#REF!</v>
      </c>
      <c r="C139" s="216" t="str">
        <f t="shared" si="57"/>
        <v>#REF!</v>
      </c>
      <c r="D139" s="216" t="str">
        <f t="shared" si="57"/>
        <v>#REF!</v>
      </c>
      <c r="E139" s="216" t="str">
        <f t="shared" si="57"/>
        <v>#REF!</v>
      </c>
      <c r="F139" s="208" t="str">
        <f t="shared" si="57"/>
        <v>#REF!</v>
      </c>
      <c r="G139" s="3" t="str">
        <f t="shared" si="57"/>
        <v>#REF!</v>
      </c>
      <c r="H139" s="143" t="str">
        <f t="shared" si="57"/>
        <v>#REF!</v>
      </c>
      <c r="I139" s="143" t="str">
        <f t="shared" si="57"/>
        <v>#REF!</v>
      </c>
    </row>
    <row r="140" ht="14.25" customHeight="1">
      <c r="A140" s="222" t="str">
        <f t="shared" ref="A140:I140" si="58">'2.10.'!A62</f>
        <v>#REF!</v>
      </c>
      <c r="B140" s="223" t="str">
        <f t="shared" si="58"/>
        <v>#REF!</v>
      </c>
      <c r="C140" s="223" t="str">
        <f t="shared" si="58"/>
        <v>#REF!</v>
      </c>
      <c r="D140" s="223" t="str">
        <f t="shared" si="58"/>
        <v>#REF!</v>
      </c>
      <c r="E140" s="223" t="str">
        <f t="shared" si="58"/>
        <v>#REF!</v>
      </c>
      <c r="F140" s="223" t="str">
        <f t="shared" si="58"/>
        <v>#REF!</v>
      </c>
      <c r="G140" s="211" t="str">
        <f t="shared" si="58"/>
        <v>#REF!</v>
      </c>
      <c r="H140" s="223" t="str">
        <f t="shared" si="58"/>
        <v>#REF!</v>
      </c>
      <c r="I140" s="224" t="str">
        <f t="shared" si="58"/>
        <v>#REF!</v>
      </c>
    </row>
    <row r="141" ht="14.25" customHeight="1">
      <c r="G141" s="3"/>
    </row>
    <row r="142" ht="14.25" customHeight="1">
      <c r="G142" s="3"/>
    </row>
    <row r="143">
      <c r="A143" s="195" t="str">
        <f>'2.11.'!A3</f>
        <v>#REF!</v>
      </c>
      <c r="B143" s="196" t="str">
        <f>'2.1.'!B143</f>
        <v/>
      </c>
      <c r="C143" s="197"/>
      <c r="D143" s="197"/>
      <c r="E143" s="197"/>
      <c r="F143" s="197"/>
      <c r="G143" s="198" t="str">
        <f>'2.1.'!G143</f>
        <v/>
      </c>
      <c r="H143" s="199" t="str">
        <f>'2.1.'!H143</f>
        <v/>
      </c>
      <c r="I143" s="200" t="str">
        <f>'2.1.'!I143</f>
        <v/>
      </c>
    </row>
    <row r="144" ht="14.25" customHeight="1">
      <c r="G144" s="3"/>
    </row>
    <row r="145" ht="14.25" customHeight="1">
      <c r="A145" s="201" t="str">
        <f t="shared" ref="A145:I145" si="59">'2.11.'!A53</f>
        <v>#REF!</v>
      </c>
      <c r="B145" s="94" t="str">
        <f t="shared" si="59"/>
        <v>#REF!</v>
      </c>
      <c r="C145" s="94" t="str">
        <f t="shared" si="59"/>
        <v>#REF!</v>
      </c>
      <c r="D145" s="94" t="str">
        <f t="shared" si="59"/>
        <v>#REF!</v>
      </c>
      <c r="E145" s="94" t="str">
        <f t="shared" si="59"/>
        <v>#REF!</v>
      </c>
      <c r="F145" s="94" t="str">
        <f t="shared" si="59"/>
        <v>#REF!</v>
      </c>
      <c r="G145" s="2" t="str">
        <f t="shared" si="59"/>
        <v>#REF!</v>
      </c>
      <c r="H145" s="94" t="str">
        <f t="shared" si="59"/>
        <v>#REF!</v>
      </c>
      <c r="I145" s="94" t="str">
        <f t="shared" si="59"/>
        <v>#REF!</v>
      </c>
    </row>
    <row r="146" ht="14.25" customHeight="1">
      <c r="A146" s="202" t="str">
        <f t="shared" ref="A146:I146" si="60">'2.11.'!A54</f>
        <v>#REF!</v>
      </c>
      <c r="B146" s="202" t="str">
        <f t="shared" si="60"/>
        <v>#REF!</v>
      </c>
      <c r="C146" s="202" t="str">
        <f t="shared" si="60"/>
        <v>#REF!</v>
      </c>
      <c r="D146" s="202" t="str">
        <f t="shared" si="60"/>
        <v>#REF!</v>
      </c>
      <c r="E146" s="202" t="str">
        <f t="shared" si="60"/>
        <v>#REF!</v>
      </c>
      <c r="F146" s="202" t="str">
        <f t="shared" si="60"/>
        <v>#REF!</v>
      </c>
      <c r="G146" s="4" t="str">
        <f t="shared" si="60"/>
        <v>#REF!</v>
      </c>
      <c r="H146" s="202" t="str">
        <f t="shared" si="60"/>
        <v>#REF!</v>
      </c>
      <c r="I146" s="202" t="str">
        <f t="shared" si="60"/>
        <v>#REF!</v>
      </c>
    </row>
    <row r="147" ht="14.25" customHeight="1">
      <c r="A147" s="204" t="str">
        <f t="shared" ref="A147:I147" si="61">'2.11.'!A55</f>
        <v>#REF!</v>
      </c>
      <c r="B147" s="92" t="str">
        <f t="shared" si="61"/>
        <v>#REF!</v>
      </c>
      <c r="C147" s="92" t="str">
        <f t="shared" si="61"/>
        <v>#REF!</v>
      </c>
      <c r="D147" s="205" t="str">
        <f t="shared" si="61"/>
        <v>#REF!</v>
      </c>
      <c r="E147" s="204" t="str">
        <f t="shared" si="61"/>
        <v>#REF!</v>
      </c>
      <c r="F147" s="206" t="str">
        <f t="shared" si="61"/>
        <v>#REF!</v>
      </c>
      <c r="G147" s="221" t="str">
        <f t="shared" si="61"/>
        <v>#REF!</v>
      </c>
      <c r="H147" s="143" t="str">
        <f t="shared" si="61"/>
        <v>#REF!</v>
      </c>
      <c r="I147" s="143" t="str">
        <f t="shared" si="61"/>
        <v>#REF!</v>
      </c>
    </row>
    <row r="148" ht="14.25" customHeight="1">
      <c r="A148" s="204" t="str">
        <f t="shared" ref="A148:I148" si="62">'2.11.'!A56</f>
        <v>#REF!</v>
      </c>
      <c r="B148" s="92" t="str">
        <f t="shared" si="62"/>
        <v>#REF!</v>
      </c>
      <c r="C148" s="92" t="str">
        <f t="shared" si="62"/>
        <v>#REF!</v>
      </c>
      <c r="D148" s="205" t="str">
        <f t="shared" si="62"/>
        <v>#REF!</v>
      </c>
      <c r="E148" s="204" t="str">
        <f t="shared" si="62"/>
        <v>#REF!</v>
      </c>
      <c r="F148" s="206" t="str">
        <f t="shared" si="62"/>
        <v>#REF!</v>
      </c>
      <c r="G148" s="221" t="str">
        <f t="shared" si="62"/>
        <v>#REF!</v>
      </c>
      <c r="H148" s="143" t="str">
        <f t="shared" si="62"/>
        <v>#REF!</v>
      </c>
      <c r="I148" s="143" t="str">
        <f t="shared" si="62"/>
        <v>#REF!</v>
      </c>
    </row>
    <row r="149" ht="14.25" customHeight="1">
      <c r="A149" s="204" t="str">
        <f t="shared" ref="A149:I149" si="63">'2.11.'!A57</f>
        <v>#REF!</v>
      </c>
      <c r="B149" s="92" t="str">
        <f t="shared" si="63"/>
        <v>#REF!</v>
      </c>
      <c r="C149" s="92" t="str">
        <f t="shared" si="63"/>
        <v>#REF!</v>
      </c>
      <c r="D149" s="205" t="str">
        <f t="shared" si="63"/>
        <v>#REF!</v>
      </c>
      <c r="E149" s="204" t="str">
        <f t="shared" si="63"/>
        <v>#REF!</v>
      </c>
      <c r="F149" s="206" t="str">
        <f t="shared" si="63"/>
        <v>#REF!</v>
      </c>
      <c r="G149" s="221" t="str">
        <f t="shared" si="63"/>
        <v>#REF!</v>
      </c>
      <c r="H149" s="143" t="str">
        <f t="shared" si="63"/>
        <v>#REF!</v>
      </c>
      <c r="I149" s="143" t="str">
        <f t="shared" si="63"/>
        <v>#REF!</v>
      </c>
    </row>
    <row r="150" ht="14.25" customHeight="1">
      <c r="A150" s="204" t="str">
        <f t="shared" ref="A150:I150" si="64">'2.11.'!A58</f>
        <v>#REF!</v>
      </c>
      <c r="B150" s="92" t="str">
        <f t="shared" si="64"/>
        <v>#REF!</v>
      </c>
      <c r="C150" s="92" t="str">
        <f t="shared" si="64"/>
        <v>#REF!</v>
      </c>
      <c r="D150" s="205" t="str">
        <f t="shared" si="64"/>
        <v>#REF!</v>
      </c>
      <c r="E150" s="204" t="str">
        <f t="shared" si="64"/>
        <v>#REF!</v>
      </c>
      <c r="F150" s="206" t="str">
        <f t="shared" si="64"/>
        <v>#REF!</v>
      </c>
      <c r="G150" s="221" t="str">
        <f t="shared" si="64"/>
        <v>#REF!</v>
      </c>
      <c r="H150" s="143" t="str">
        <f t="shared" si="64"/>
        <v>#REF!</v>
      </c>
      <c r="I150" s="143" t="str">
        <f t="shared" si="64"/>
        <v>#REF!</v>
      </c>
    </row>
    <row r="151" ht="14.25" customHeight="1">
      <c r="A151" s="204" t="str">
        <f t="shared" ref="A151:I151" si="65">'2.11.'!A59</f>
        <v>#REF!</v>
      </c>
      <c r="B151" s="92" t="str">
        <f t="shared" si="65"/>
        <v>#REF!</v>
      </c>
      <c r="C151" s="92" t="str">
        <f t="shared" si="65"/>
        <v>#REF!</v>
      </c>
      <c r="D151" s="205" t="str">
        <f t="shared" si="65"/>
        <v>#REF!</v>
      </c>
      <c r="E151" s="204" t="str">
        <f t="shared" si="65"/>
        <v>#REF!</v>
      </c>
      <c r="F151" s="206" t="str">
        <f t="shared" si="65"/>
        <v>#REF!</v>
      </c>
      <c r="G151" s="221" t="str">
        <f t="shared" si="65"/>
        <v>#REF!</v>
      </c>
      <c r="H151" s="143" t="str">
        <f t="shared" si="65"/>
        <v>#REF!</v>
      </c>
      <c r="I151" s="143" t="str">
        <f t="shared" si="65"/>
        <v>#REF!</v>
      </c>
    </row>
    <row r="152" ht="14.25" customHeight="1">
      <c r="A152" s="204" t="str">
        <f t="shared" ref="A152:I152" si="66">'2.11.'!A60</f>
        <v>#REF!</v>
      </c>
      <c r="B152" s="92" t="str">
        <f t="shared" si="66"/>
        <v>#REF!</v>
      </c>
      <c r="C152" s="92" t="str">
        <f t="shared" si="66"/>
        <v>#REF!</v>
      </c>
      <c r="D152" s="205" t="str">
        <f t="shared" si="66"/>
        <v>#REF!</v>
      </c>
      <c r="E152" s="204" t="str">
        <f t="shared" si="66"/>
        <v>#REF!</v>
      </c>
      <c r="F152" s="206" t="str">
        <f t="shared" si="66"/>
        <v>#REF!</v>
      </c>
      <c r="G152" s="221" t="str">
        <f t="shared" si="66"/>
        <v>#REF!</v>
      </c>
      <c r="H152" s="143" t="str">
        <f t="shared" si="66"/>
        <v>#REF!</v>
      </c>
      <c r="I152" s="143" t="str">
        <f t="shared" si="66"/>
        <v>#REF!</v>
      </c>
    </row>
    <row r="153" ht="14.25" customHeight="1">
      <c r="A153" s="216" t="str">
        <f t="shared" ref="A153:I153" si="67">'2.11.'!A61</f>
        <v>#REF!</v>
      </c>
      <c r="B153" s="216" t="str">
        <f t="shared" si="67"/>
        <v>#REF!</v>
      </c>
      <c r="C153" s="216" t="str">
        <f t="shared" si="67"/>
        <v>#REF!</v>
      </c>
      <c r="D153" s="216" t="str">
        <f t="shared" si="67"/>
        <v>#REF!</v>
      </c>
      <c r="E153" s="216" t="str">
        <f t="shared" si="67"/>
        <v>#REF!</v>
      </c>
      <c r="F153" s="208" t="str">
        <f t="shared" si="67"/>
        <v>#REF!</v>
      </c>
      <c r="G153" s="3" t="str">
        <f t="shared" si="67"/>
        <v>#REF!</v>
      </c>
      <c r="H153" s="143" t="str">
        <f t="shared" si="67"/>
        <v>#REF!</v>
      </c>
      <c r="I153" s="143" t="str">
        <f t="shared" si="67"/>
        <v>#REF!</v>
      </c>
    </row>
    <row r="154" ht="14.25" customHeight="1">
      <c r="A154" s="222" t="str">
        <f t="shared" ref="A154:I154" si="68">'2.11.'!A62</f>
        <v>#REF!</v>
      </c>
      <c r="B154" s="223" t="str">
        <f t="shared" si="68"/>
        <v>#REF!</v>
      </c>
      <c r="C154" s="223" t="str">
        <f t="shared" si="68"/>
        <v>#REF!</v>
      </c>
      <c r="D154" s="223" t="str">
        <f t="shared" si="68"/>
        <v>#REF!</v>
      </c>
      <c r="E154" s="223" t="str">
        <f t="shared" si="68"/>
        <v>#REF!</v>
      </c>
      <c r="F154" s="223" t="str">
        <f t="shared" si="68"/>
        <v>#REF!</v>
      </c>
      <c r="G154" s="211" t="str">
        <f t="shared" si="68"/>
        <v>#REF!</v>
      </c>
      <c r="H154" s="223" t="str">
        <f t="shared" si="68"/>
        <v>#REF!</v>
      </c>
      <c r="I154" s="224" t="str">
        <f t="shared" si="68"/>
        <v>#REF!</v>
      </c>
    </row>
    <row r="155" ht="14.25" customHeight="1">
      <c r="G155" s="3"/>
    </row>
    <row r="156" ht="14.25" customHeight="1">
      <c r="G156" s="3"/>
    </row>
    <row r="157">
      <c r="A157" s="195" t="str">
        <f>'2.12.'!A3</f>
        <v>#REF!</v>
      </c>
      <c r="B157" s="196" t="str">
        <f>'2.1.'!B157</f>
        <v/>
      </c>
      <c r="C157" s="197"/>
      <c r="D157" s="197"/>
      <c r="E157" s="197"/>
      <c r="F157" s="197"/>
      <c r="G157" s="198" t="str">
        <f>'2.1.'!G157</f>
        <v/>
      </c>
      <c r="H157" s="199" t="str">
        <f>'2.1.'!H157</f>
        <v/>
      </c>
      <c r="I157" s="200" t="str">
        <f>'2.1.'!I157</f>
        <v/>
      </c>
    </row>
    <row r="158" ht="14.25" customHeight="1">
      <c r="G158" s="3"/>
    </row>
    <row r="159" ht="14.25" customHeight="1">
      <c r="A159" s="201" t="str">
        <f t="shared" ref="A159:I159" si="69">'2.12.'!A53</f>
        <v>#REF!</v>
      </c>
      <c r="B159" s="94" t="str">
        <f t="shared" si="69"/>
        <v>#REF!</v>
      </c>
      <c r="C159" s="94" t="str">
        <f t="shared" si="69"/>
        <v>#REF!</v>
      </c>
      <c r="D159" s="94" t="str">
        <f t="shared" si="69"/>
        <v>#REF!</v>
      </c>
      <c r="E159" s="94" t="str">
        <f t="shared" si="69"/>
        <v>#REF!</v>
      </c>
      <c r="F159" s="94" t="str">
        <f t="shared" si="69"/>
        <v>#REF!</v>
      </c>
      <c r="G159" s="2" t="str">
        <f t="shared" si="69"/>
        <v>#REF!</v>
      </c>
      <c r="H159" s="94" t="str">
        <f t="shared" si="69"/>
        <v>#REF!</v>
      </c>
      <c r="I159" s="94" t="str">
        <f t="shared" si="69"/>
        <v>#REF!</v>
      </c>
    </row>
    <row r="160" ht="14.25" customHeight="1">
      <c r="A160" s="202" t="str">
        <f t="shared" ref="A160:I160" si="70">'2.12.'!A54</f>
        <v>#REF!</v>
      </c>
      <c r="B160" s="202" t="str">
        <f t="shared" si="70"/>
        <v>#REF!</v>
      </c>
      <c r="C160" s="202" t="str">
        <f t="shared" si="70"/>
        <v>#REF!</v>
      </c>
      <c r="D160" s="202" t="str">
        <f t="shared" si="70"/>
        <v>#REF!</v>
      </c>
      <c r="E160" s="202" t="str">
        <f t="shared" si="70"/>
        <v>#REF!</v>
      </c>
      <c r="F160" s="202" t="str">
        <f t="shared" si="70"/>
        <v>#REF!</v>
      </c>
      <c r="G160" s="4" t="str">
        <f t="shared" si="70"/>
        <v>#REF!</v>
      </c>
      <c r="H160" s="202" t="str">
        <f t="shared" si="70"/>
        <v>#REF!</v>
      </c>
      <c r="I160" s="202" t="str">
        <f t="shared" si="70"/>
        <v>#REF!</v>
      </c>
    </row>
    <row r="161" ht="14.25" customHeight="1">
      <c r="A161" s="204" t="str">
        <f t="shared" ref="A161:I161" si="71">'2.12.'!A55</f>
        <v>#REF!</v>
      </c>
      <c r="B161" s="92" t="str">
        <f t="shared" si="71"/>
        <v>#REF!</v>
      </c>
      <c r="C161" s="92" t="str">
        <f t="shared" si="71"/>
        <v>#REF!</v>
      </c>
      <c r="D161" s="205" t="str">
        <f t="shared" si="71"/>
        <v>#REF!</v>
      </c>
      <c r="E161" s="204" t="str">
        <f t="shared" si="71"/>
        <v>#REF!</v>
      </c>
      <c r="F161" s="206" t="str">
        <f t="shared" si="71"/>
        <v>#REF!</v>
      </c>
      <c r="G161" s="221" t="str">
        <f t="shared" si="71"/>
        <v>#REF!</v>
      </c>
      <c r="H161" s="143" t="str">
        <f t="shared" si="71"/>
        <v>#REF!</v>
      </c>
      <c r="I161" s="143" t="str">
        <f t="shared" si="71"/>
        <v>#REF!</v>
      </c>
    </row>
    <row r="162" ht="14.25" customHeight="1">
      <c r="A162" s="204" t="str">
        <f t="shared" ref="A162:I162" si="72">'2.12.'!A56</f>
        <v>#REF!</v>
      </c>
      <c r="B162" s="92" t="str">
        <f t="shared" si="72"/>
        <v>#REF!</v>
      </c>
      <c r="C162" s="92" t="str">
        <f t="shared" si="72"/>
        <v>#REF!</v>
      </c>
      <c r="D162" s="205" t="str">
        <f t="shared" si="72"/>
        <v>#REF!</v>
      </c>
      <c r="E162" s="204" t="str">
        <f t="shared" si="72"/>
        <v>#REF!</v>
      </c>
      <c r="F162" s="206" t="str">
        <f t="shared" si="72"/>
        <v>#REF!</v>
      </c>
      <c r="G162" s="221" t="str">
        <f t="shared" si="72"/>
        <v>#REF!</v>
      </c>
      <c r="H162" s="143" t="str">
        <f t="shared" si="72"/>
        <v>#REF!</v>
      </c>
      <c r="I162" s="143" t="str">
        <f t="shared" si="72"/>
        <v>#REF!</v>
      </c>
    </row>
    <row r="163" ht="14.25" customHeight="1">
      <c r="A163" s="204" t="str">
        <f t="shared" ref="A163:I163" si="73">'2.12.'!A57</f>
        <v>#REF!</v>
      </c>
      <c r="B163" s="92" t="str">
        <f t="shared" si="73"/>
        <v>#REF!</v>
      </c>
      <c r="C163" s="92" t="str">
        <f t="shared" si="73"/>
        <v>#REF!</v>
      </c>
      <c r="D163" s="205" t="str">
        <f t="shared" si="73"/>
        <v>#REF!</v>
      </c>
      <c r="E163" s="204" t="str">
        <f t="shared" si="73"/>
        <v>#REF!</v>
      </c>
      <c r="F163" s="206" t="str">
        <f t="shared" si="73"/>
        <v>#REF!</v>
      </c>
      <c r="G163" s="221" t="str">
        <f t="shared" si="73"/>
        <v>#REF!</v>
      </c>
      <c r="H163" s="143" t="str">
        <f t="shared" si="73"/>
        <v>#REF!</v>
      </c>
      <c r="I163" s="143" t="str">
        <f t="shared" si="73"/>
        <v>#REF!</v>
      </c>
    </row>
    <row r="164" ht="14.25" customHeight="1">
      <c r="A164" s="204" t="str">
        <f t="shared" ref="A164:I164" si="74">'2.12.'!A58</f>
        <v>#REF!</v>
      </c>
      <c r="B164" s="92" t="str">
        <f t="shared" si="74"/>
        <v>#REF!</v>
      </c>
      <c r="C164" s="92" t="str">
        <f t="shared" si="74"/>
        <v>#REF!</v>
      </c>
      <c r="D164" s="205" t="str">
        <f t="shared" si="74"/>
        <v>#REF!</v>
      </c>
      <c r="E164" s="204" t="str">
        <f t="shared" si="74"/>
        <v>#REF!</v>
      </c>
      <c r="F164" s="206" t="str">
        <f t="shared" si="74"/>
        <v>#REF!</v>
      </c>
      <c r="G164" s="221" t="str">
        <f t="shared" si="74"/>
        <v>#REF!</v>
      </c>
      <c r="H164" s="143" t="str">
        <f t="shared" si="74"/>
        <v>#REF!</v>
      </c>
      <c r="I164" s="143" t="str">
        <f t="shared" si="74"/>
        <v>#REF!</v>
      </c>
    </row>
    <row r="165" ht="14.25" customHeight="1">
      <c r="A165" s="204" t="str">
        <f t="shared" ref="A165:I165" si="75">'2.12.'!A59</f>
        <v>#REF!</v>
      </c>
      <c r="B165" s="92" t="str">
        <f t="shared" si="75"/>
        <v>#REF!</v>
      </c>
      <c r="C165" s="92" t="str">
        <f t="shared" si="75"/>
        <v>#REF!</v>
      </c>
      <c r="D165" s="205" t="str">
        <f t="shared" si="75"/>
        <v>#REF!</v>
      </c>
      <c r="E165" s="204" t="str">
        <f t="shared" si="75"/>
        <v>#REF!</v>
      </c>
      <c r="F165" s="206" t="str">
        <f t="shared" si="75"/>
        <v>#REF!</v>
      </c>
      <c r="G165" s="221" t="str">
        <f t="shared" si="75"/>
        <v>#REF!</v>
      </c>
      <c r="H165" s="143" t="str">
        <f t="shared" si="75"/>
        <v>#REF!</v>
      </c>
      <c r="I165" s="143" t="str">
        <f t="shared" si="75"/>
        <v>#REF!</v>
      </c>
    </row>
    <row r="166" ht="14.25" customHeight="1">
      <c r="A166" s="204" t="str">
        <f t="shared" ref="A166:I166" si="76">'2.12.'!A60</f>
        <v>#REF!</v>
      </c>
      <c r="B166" s="92" t="str">
        <f t="shared" si="76"/>
        <v>#REF!</v>
      </c>
      <c r="C166" s="92" t="str">
        <f t="shared" si="76"/>
        <v>#REF!</v>
      </c>
      <c r="D166" s="205" t="str">
        <f t="shared" si="76"/>
        <v>#REF!</v>
      </c>
      <c r="E166" s="204" t="str">
        <f t="shared" si="76"/>
        <v>#REF!</v>
      </c>
      <c r="F166" s="206" t="str">
        <f t="shared" si="76"/>
        <v>#REF!</v>
      </c>
      <c r="G166" s="221" t="str">
        <f t="shared" si="76"/>
        <v>#REF!</v>
      </c>
      <c r="H166" s="143" t="str">
        <f t="shared" si="76"/>
        <v>#REF!</v>
      </c>
      <c r="I166" s="143" t="str">
        <f t="shared" si="76"/>
        <v>#REF!</v>
      </c>
    </row>
    <row r="167" ht="14.25" customHeight="1">
      <c r="A167" s="216" t="str">
        <f t="shared" ref="A167:I167" si="77">'2.12.'!A61</f>
        <v>#REF!</v>
      </c>
      <c r="B167" s="216" t="str">
        <f t="shared" si="77"/>
        <v>#REF!</v>
      </c>
      <c r="C167" s="216" t="str">
        <f t="shared" si="77"/>
        <v>#REF!</v>
      </c>
      <c r="D167" s="216" t="str">
        <f t="shared" si="77"/>
        <v>#REF!</v>
      </c>
      <c r="E167" s="216" t="str">
        <f t="shared" si="77"/>
        <v>#REF!</v>
      </c>
      <c r="F167" s="208" t="str">
        <f t="shared" si="77"/>
        <v>#REF!</v>
      </c>
      <c r="G167" s="3" t="str">
        <f t="shared" si="77"/>
        <v>#REF!</v>
      </c>
      <c r="H167" s="143" t="str">
        <f t="shared" si="77"/>
        <v>#REF!</v>
      </c>
      <c r="I167" s="143" t="str">
        <f t="shared" si="77"/>
        <v>#REF!</v>
      </c>
    </row>
    <row r="168" ht="14.25" customHeight="1">
      <c r="A168" s="222" t="str">
        <f t="shared" ref="A168:I168" si="78">'2.12.'!A62</f>
        <v>#REF!</v>
      </c>
      <c r="B168" s="223" t="str">
        <f t="shared" si="78"/>
        <v>#REF!</v>
      </c>
      <c r="C168" s="223" t="str">
        <f t="shared" si="78"/>
        <v>#REF!</v>
      </c>
      <c r="D168" s="223" t="str">
        <f t="shared" si="78"/>
        <v>#REF!</v>
      </c>
      <c r="E168" s="223" t="str">
        <f t="shared" si="78"/>
        <v>#REF!</v>
      </c>
      <c r="F168" s="223" t="str">
        <f t="shared" si="78"/>
        <v>#REF!</v>
      </c>
      <c r="G168" s="211" t="str">
        <f t="shared" si="78"/>
        <v>#REF!</v>
      </c>
      <c r="H168" s="223" t="str">
        <f t="shared" si="78"/>
        <v>#REF!</v>
      </c>
      <c r="I168" s="224" t="str">
        <f t="shared" si="78"/>
        <v>#REF!</v>
      </c>
    </row>
    <row r="169" ht="14.25" customHeight="1">
      <c r="G169" s="3"/>
    </row>
    <row r="170" ht="14.25" customHeight="1">
      <c r="G170" s="3"/>
    </row>
    <row r="171">
      <c r="A171" s="195" t="str">
        <f>'2.13.'!A3</f>
        <v>#REF!</v>
      </c>
      <c r="B171" s="196" t="str">
        <f>'2.1.'!B171</f>
        <v/>
      </c>
      <c r="C171" s="197"/>
      <c r="D171" s="197"/>
      <c r="E171" s="197"/>
      <c r="F171" s="197"/>
      <c r="G171" s="198" t="str">
        <f>'2.1.'!G171</f>
        <v/>
      </c>
      <c r="H171" s="199" t="str">
        <f>'2.1.'!H171</f>
        <v/>
      </c>
      <c r="I171" s="200" t="str">
        <f>'2.1.'!I171</f>
        <v/>
      </c>
    </row>
    <row r="172" ht="14.25" customHeight="1">
      <c r="G172" s="3"/>
    </row>
    <row r="173" ht="14.25" customHeight="1">
      <c r="A173" s="201" t="str">
        <f t="shared" ref="A173:I173" si="79">'2.13.'!A53</f>
        <v>#REF!</v>
      </c>
      <c r="B173" s="94" t="str">
        <f t="shared" si="79"/>
        <v>#REF!</v>
      </c>
      <c r="C173" s="94" t="str">
        <f t="shared" si="79"/>
        <v>#REF!</v>
      </c>
      <c r="D173" s="94" t="str">
        <f t="shared" si="79"/>
        <v>#REF!</v>
      </c>
      <c r="E173" s="94" t="str">
        <f t="shared" si="79"/>
        <v>#REF!</v>
      </c>
      <c r="F173" s="94" t="str">
        <f t="shared" si="79"/>
        <v>#REF!</v>
      </c>
      <c r="G173" s="2" t="str">
        <f t="shared" si="79"/>
        <v>#REF!</v>
      </c>
      <c r="H173" s="94" t="str">
        <f t="shared" si="79"/>
        <v>#REF!</v>
      </c>
      <c r="I173" s="94" t="str">
        <f t="shared" si="79"/>
        <v>#REF!</v>
      </c>
    </row>
    <row r="174" ht="14.25" customHeight="1">
      <c r="A174" s="202" t="str">
        <f t="shared" ref="A174:I174" si="80">'2.13.'!A54</f>
        <v>#REF!</v>
      </c>
      <c r="B174" s="202" t="str">
        <f t="shared" si="80"/>
        <v>#REF!</v>
      </c>
      <c r="C174" s="202" t="str">
        <f t="shared" si="80"/>
        <v>#REF!</v>
      </c>
      <c r="D174" s="202" t="str">
        <f t="shared" si="80"/>
        <v>#REF!</v>
      </c>
      <c r="E174" s="202" t="str">
        <f t="shared" si="80"/>
        <v>#REF!</v>
      </c>
      <c r="F174" s="202" t="str">
        <f t="shared" si="80"/>
        <v>#REF!</v>
      </c>
      <c r="G174" s="4" t="str">
        <f t="shared" si="80"/>
        <v>#REF!</v>
      </c>
      <c r="H174" s="202" t="str">
        <f t="shared" si="80"/>
        <v>#REF!</v>
      </c>
      <c r="I174" s="202" t="str">
        <f t="shared" si="80"/>
        <v>#REF!</v>
      </c>
    </row>
    <row r="175" ht="14.25" customHeight="1">
      <c r="A175" s="204" t="str">
        <f t="shared" ref="A175:I175" si="81">'2.13.'!A55</f>
        <v>#REF!</v>
      </c>
      <c r="B175" s="92" t="str">
        <f t="shared" si="81"/>
        <v>#REF!</v>
      </c>
      <c r="C175" s="92" t="str">
        <f t="shared" si="81"/>
        <v>#REF!</v>
      </c>
      <c r="D175" s="205" t="str">
        <f t="shared" si="81"/>
        <v>#REF!</v>
      </c>
      <c r="E175" s="204" t="str">
        <f t="shared" si="81"/>
        <v>#REF!</v>
      </c>
      <c r="F175" s="206" t="str">
        <f t="shared" si="81"/>
        <v>#REF!</v>
      </c>
      <c r="G175" s="221" t="str">
        <f t="shared" si="81"/>
        <v>#REF!</v>
      </c>
      <c r="H175" s="143" t="str">
        <f t="shared" si="81"/>
        <v>#REF!</v>
      </c>
      <c r="I175" s="143" t="str">
        <f t="shared" si="81"/>
        <v>#REF!</v>
      </c>
    </row>
    <row r="176" ht="14.25" customHeight="1">
      <c r="A176" s="204" t="str">
        <f t="shared" ref="A176:I176" si="82">'2.13.'!A56</f>
        <v>#REF!</v>
      </c>
      <c r="B176" s="92" t="str">
        <f t="shared" si="82"/>
        <v>#REF!</v>
      </c>
      <c r="C176" s="92" t="str">
        <f t="shared" si="82"/>
        <v>#REF!</v>
      </c>
      <c r="D176" s="205" t="str">
        <f t="shared" si="82"/>
        <v>#REF!</v>
      </c>
      <c r="E176" s="204" t="str">
        <f t="shared" si="82"/>
        <v>#REF!</v>
      </c>
      <c r="F176" s="206" t="str">
        <f t="shared" si="82"/>
        <v>#REF!</v>
      </c>
      <c r="G176" s="221" t="str">
        <f t="shared" si="82"/>
        <v>#REF!</v>
      </c>
      <c r="H176" s="143" t="str">
        <f t="shared" si="82"/>
        <v>#REF!</v>
      </c>
      <c r="I176" s="143" t="str">
        <f t="shared" si="82"/>
        <v>#REF!</v>
      </c>
    </row>
    <row r="177" ht="14.25" customHeight="1">
      <c r="A177" s="204" t="str">
        <f t="shared" ref="A177:I177" si="83">'2.13.'!A57</f>
        <v>#REF!</v>
      </c>
      <c r="B177" s="92" t="str">
        <f t="shared" si="83"/>
        <v>#REF!</v>
      </c>
      <c r="C177" s="92" t="str">
        <f t="shared" si="83"/>
        <v>#REF!</v>
      </c>
      <c r="D177" s="205" t="str">
        <f t="shared" si="83"/>
        <v>#REF!</v>
      </c>
      <c r="E177" s="204" t="str">
        <f t="shared" si="83"/>
        <v>#REF!</v>
      </c>
      <c r="F177" s="206" t="str">
        <f t="shared" si="83"/>
        <v>#REF!</v>
      </c>
      <c r="G177" s="221" t="str">
        <f t="shared" si="83"/>
        <v>#REF!</v>
      </c>
      <c r="H177" s="143" t="str">
        <f t="shared" si="83"/>
        <v>#REF!</v>
      </c>
      <c r="I177" s="143" t="str">
        <f t="shared" si="83"/>
        <v>#REF!</v>
      </c>
    </row>
    <row r="178" ht="14.25" customHeight="1">
      <c r="A178" s="204" t="str">
        <f t="shared" ref="A178:I178" si="84">'2.13.'!A58</f>
        <v>#REF!</v>
      </c>
      <c r="B178" s="92" t="str">
        <f t="shared" si="84"/>
        <v>#REF!</v>
      </c>
      <c r="C178" s="92" t="str">
        <f t="shared" si="84"/>
        <v>#REF!</v>
      </c>
      <c r="D178" s="205" t="str">
        <f t="shared" si="84"/>
        <v>#REF!</v>
      </c>
      <c r="E178" s="204" t="str">
        <f t="shared" si="84"/>
        <v>#REF!</v>
      </c>
      <c r="F178" s="206" t="str">
        <f t="shared" si="84"/>
        <v>#REF!</v>
      </c>
      <c r="G178" s="221" t="str">
        <f t="shared" si="84"/>
        <v>#REF!</v>
      </c>
      <c r="H178" s="143" t="str">
        <f t="shared" si="84"/>
        <v>#REF!</v>
      </c>
      <c r="I178" s="143" t="str">
        <f t="shared" si="84"/>
        <v>#REF!</v>
      </c>
    </row>
    <row r="179" ht="14.25" customHeight="1">
      <c r="A179" s="204" t="str">
        <f t="shared" ref="A179:I179" si="85">'2.13.'!A59</f>
        <v>#REF!</v>
      </c>
      <c r="B179" s="92" t="str">
        <f t="shared" si="85"/>
        <v>#REF!</v>
      </c>
      <c r="C179" s="92" t="str">
        <f t="shared" si="85"/>
        <v>#REF!</v>
      </c>
      <c r="D179" s="205" t="str">
        <f t="shared" si="85"/>
        <v>#REF!</v>
      </c>
      <c r="E179" s="204" t="str">
        <f t="shared" si="85"/>
        <v>#REF!</v>
      </c>
      <c r="F179" s="206" t="str">
        <f t="shared" si="85"/>
        <v>#REF!</v>
      </c>
      <c r="G179" s="221" t="str">
        <f t="shared" si="85"/>
        <v>#REF!</v>
      </c>
      <c r="H179" s="143" t="str">
        <f t="shared" si="85"/>
        <v>#REF!</v>
      </c>
      <c r="I179" s="143" t="str">
        <f t="shared" si="85"/>
        <v>#REF!</v>
      </c>
    </row>
    <row r="180" ht="14.25" customHeight="1">
      <c r="A180" s="204" t="str">
        <f t="shared" ref="A180:I180" si="86">'2.13.'!A60</f>
        <v>#REF!</v>
      </c>
      <c r="B180" s="92" t="str">
        <f t="shared" si="86"/>
        <v>#REF!</v>
      </c>
      <c r="C180" s="92" t="str">
        <f t="shared" si="86"/>
        <v>#REF!</v>
      </c>
      <c r="D180" s="205" t="str">
        <f t="shared" si="86"/>
        <v>#REF!</v>
      </c>
      <c r="E180" s="204" t="str">
        <f t="shared" si="86"/>
        <v>#REF!</v>
      </c>
      <c r="F180" s="206" t="str">
        <f t="shared" si="86"/>
        <v>#REF!</v>
      </c>
      <c r="G180" s="221" t="str">
        <f t="shared" si="86"/>
        <v>#REF!</v>
      </c>
      <c r="H180" s="143" t="str">
        <f t="shared" si="86"/>
        <v>#REF!</v>
      </c>
      <c r="I180" s="143" t="str">
        <f t="shared" si="86"/>
        <v>#REF!</v>
      </c>
    </row>
    <row r="181" ht="14.25" customHeight="1">
      <c r="A181" s="216" t="str">
        <f t="shared" ref="A181:I181" si="87">'2.13.'!A61</f>
        <v>#REF!</v>
      </c>
      <c r="B181" s="216" t="str">
        <f t="shared" si="87"/>
        <v>#REF!</v>
      </c>
      <c r="C181" s="216" t="str">
        <f t="shared" si="87"/>
        <v>#REF!</v>
      </c>
      <c r="D181" s="216" t="str">
        <f t="shared" si="87"/>
        <v>#REF!</v>
      </c>
      <c r="E181" s="216" t="str">
        <f t="shared" si="87"/>
        <v>#REF!</v>
      </c>
      <c r="F181" s="208" t="str">
        <f t="shared" si="87"/>
        <v>#REF!</v>
      </c>
      <c r="G181" s="3" t="str">
        <f t="shared" si="87"/>
        <v>#REF!</v>
      </c>
      <c r="H181" s="143" t="str">
        <f t="shared" si="87"/>
        <v>#REF!</v>
      </c>
      <c r="I181" s="143" t="str">
        <f t="shared" si="87"/>
        <v>#REF!</v>
      </c>
    </row>
    <row r="182" ht="14.25" customHeight="1">
      <c r="A182" s="222" t="str">
        <f t="shared" ref="A182:I182" si="88">'2.13.'!A62</f>
        <v>#REF!</v>
      </c>
      <c r="B182" s="223" t="str">
        <f t="shared" si="88"/>
        <v>#REF!</v>
      </c>
      <c r="C182" s="223" t="str">
        <f t="shared" si="88"/>
        <v>#REF!</v>
      </c>
      <c r="D182" s="223" t="str">
        <f t="shared" si="88"/>
        <v>#REF!</v>
      </c>
      <c r="E182" s="223" t="str">
        <f t="shared" si="88"/>
        <v>#REF!</v>
      </c>
      <c r="F182" s="223" t="str">
        <f t="shared" si="88"/>
        <v>#REF!</v>
      </c>
      <c r="G182" s="211" t="str">
        <f t="shared" si="88"/>
        <v>#REF!</v>
      </c>
      <c r="H182" s="223" t="str">
        <f t="shared" si="88"/>
        <v>#REF!</v>
      </c>
      <c r="I182" s="224" t="str">
        <f t="shared" si="88"/>
        <v>#REF!</v>
      </c>
    </row>
    <row r="183" ht="14.25" customHeight="1">
      <c r="G183" s="3"/>
    </row>
    <row r="184" ht="14.25" customHeight="1">
      <c r="G184" s="3"/>
    </row>
    <row r="185">
      <c r="A185" s="195" t="str">
        <f>'2.14.'!A3</f>
        <v>#REF!</v>
      </c>
      <c r="B185" s="196" t="str">
        <f>'2.1.'!B185</f>
        <v/>
      </c>
      <c r="C185" s="197"/>
      <c r="D185" s="197"/>
      <c r="E185" s="197"/>
      <c r="F185" s="197"/>
      <c r="G185" s="198" t="str">
        <f>'2.1.'!G185</f>
        <v/>
      </c>
      <c r="H185" s="199" t="str">
        <f>'2.1.'!H185</f>
        <v/>
      </c>
      <c r="I185" s="200" t="str">
        <f>'2.1.'!I185</f>
        <v/>
      </c>
    </row>
    <row r="186" ht="14.25" customHeight="1">
      <c r="G186" s="3"/>
    </row>
    <row r="187" ht="14.25" customHeight="1">
      <c r="A187" s="201" t="str">
        <f t="shared" ref="A187:I187" si="89">'2.14.'!A53</f>
        <v>#REF!</v>
      </c>
      <c r="B187" s="94" t="str">
        <f t="shared" si="89"/>
        <v>#REF!</v>
      </c>
      <c r="C187" s="94" t="str">
        <f t="shared" si="89"/>
        <v>#REF!</v>
      </c>
      <c r="D187" s="94" t="str">
        <f t="shared" si="89"/>
        <v>#REF!</v>
      </c>
      <c r="E187" s="94" t="str">
        <f t="shared" si="89"/>
        <v>#REF!</v>
      </c>
      <c r="F187" s="94" t="str">
        <f t="shared" si="89"/>
        <v>#REF!</v>
      </c>
      <c r="G187" s="2" t="str">
        <f t="shared" si="89"/>
        <v>#REF!</v>
      </c>
      <c r="H187" s="94" t="str">
        <f t="shared" si="89"/>
        <v>#REF!</v>
      </c>
      <c r="I187" s="94" t="str">
        <f t="shared" si="89"/>
        <v>#REF!</v>
      </c>
    </row>
    <row r="188" ht="14.25" customHeight="1">
      <c r="A188" s="202" t="str">
        <f t="shared" ref="A188:I188" si="90">'2.14.'!A54</f>
        <v>#REF!</v>
      </c>
      <c r="B188" s="202" t="str">
        <f t="shared" si="90"/>
        <v>#REF!</v>
      </c>
      <c r="C188" s="202" t="str">
        <f t="shared" si="90"/>
        <v>#REF!</v>
      </c>
      <c r="D188" s="202" t="str">
        <f t="shared" si="90"/>
        <v>#REF!</v>
      </c>
      <c r="E188" s="202" t="str">
        <f t="shared" si="90"/>
        <v>#REF!</v>
      </c>
      <c r="F188" s="202" t="str">
        <f t="shared" si="90"/>
        <v>#REF!</v>
      </c>
      <c r="G188" s="4" t="str">
        <f t="shared" si="90"/>
        <v>#REF!</v>
      </c>
      <c r="H188" s="202" t="str">
        <f t="shared" si="90"/>
        <v>#REF!</v>
      </c>
      <c r="I188" s="202" t="str">
        <f t="shared" si="90"/>
        <v>#REF!</v>
      </c>
    </row>
    <row r="189" ht="14.25" customHeight="1">
      <c r="A189" s="204" t="str">
        <f t="shared" ref="A189:I189" si="91">'2.14.'!A55</f>
        <v>#REF!</v>
      </c>
      <c r="B189" s="92" t="str">
        <f t="shared" si="91"/>
        <v>#REF!</v>
      </c>
      <c r="C189" s="92" t="str">
        <f t="shared" si="91"/>
        <v>#REF!</v>
      </c>
      <c r="D189" s="205" t="str">
        <f t="shared" si="91"/>
        <v>#REF!</v>
      </c>
      <c r="E189" s="204" t="str">
        <f t="shared" si="91"/>
        <v>#REF!</v>
      </c>
      <c r="F189" s="206" t="str">
        <f t="shared" si="91"/>
        <v>#REF!</v>
      </c>
      <c r="G189" s="221" t="str">
        <f t="shared" si="91"/>
        <v>#REF!</v>
      </c>
      <c r="H189" s="143" t="str">
        <f t="shared" si="91"/>
        <v>#REF!</v>
      </c>
      <c r="I189" s="143" t="str">
        <f t="shared" si="91"/>
        <v>#REF!</v>
      </c>
    </row>
    <row r="190" ht="14.25" customHeight="1">
      <c r="A190" s="204" t="str">
        <f t="shared" ref="A190:I190" si="92">'2.14.'!A56</f>
        <v>#REF!</v>
      </c>
      <c r="B190" s="92" t="str">
        <f t="shared" si="92"/>
        <v>#REF!</v>
      </c>
      <c r="C190" s="92" t="str">
        <f t="shared" si="92"/>
        <v>#REF!</v>
      </c>
      <c r="D190" s="205" t="str">
        <f t="shared" si="92"/>
        <v>#REF!</v>
      </c>
      <c r="E190" s="204" t="str">
        <f t="shared" si="92"/>
        <v>#REF!</v>
      </c>
      <c r="F190" s="206" t="str">
        <f t="shared" si="92"/>
        <v>#REF!</v>
      </c>
      <c r="G190" s="221" t="str">
        <f t="shared" si="92"/>
        <v>#REF!</v>
      </c>
      <c r="H190" s="143" t="str">
        <f t="shared" si="92"/>
        <v>#REF!</v>
      </c>
      <c r="I190" s="143" t="str">
        <f t="shared" si="92"/>
        <v>#REF!</v>
      </c>
    </row>
    <row r="191" ht="14.25" customHeight="1">
      <c r="A191" s="204" t="str">
        <f t="shared" ref="A191:I191" si="93">'2.14.'!A57</f>
        <v>#REF!</v>
      </c>
      <c r="B191" s="92" t="str">
        <f t="shared" si="93"/>
        <v>#REF!</v>
      </c>
      <c r="C191" s="92" t="str">
        <f t="shared" si="93"/>
        <v>#REF!</v>
      </c>
      <c r="D191" s="205" t="str">
        <f t="shared" si="93"/>
        <v>#REF!</v>
      </c>
      <c r="E191" s="204" t="str">
        <f t="shared" si="93"/>
        <v>#REF!</v>
      </c>
      <c r="F191" s="206" t="str">
        <f t="shared" si="93"/>
        <v>#REF!</v>
      </c>
      <c r="G191" s="221" t="str">
        <f t="shared" si="93"/>
        <v>#REF!</v>
      </c>
      <c r="H191" s="143" t="str">
        <f t="shared" si="93"/>
        <v>#REF!</v>
      </c>
      <c r="I191" s="143" t="str">
        <f t="shared" si="93"/>
        <v>#REF!</v>
      </c>
    </row>
    <row r="192" ht="14.25" customHeight="1">
      <c r="A192" s="204" t="str">
        <f t="shared" ref="A192:I192" si="94">'2.14.'!A58</f>
        <v>#REF!</v>
      </c>
      <c r="B192" s="92" t="str">
        <f t="shared" si="94"/>
        <v>#REF!</v>
      </c>
      <c r="C192" s="92" t="str">
        <f t="shared" si="94"/>
        <v>#REF!</v>
      </c>
      <c r="D192" s="205" t="str">
        <f t="shared" si="94"/>
        <v>#REF!</v>
      </c>
      <c r="E192" s="204" t="str">
        <f t="shared" si="94"/>
        <v>#REF!</v>
      </c>
      <c r="F192" s="206" t="str">
        <f t="shared" si="94"/>
        <v>#REF!</v>
      </c>
      <c r="G192" s="221" t="str">
        <f t="shared" si="94"/>
        <v>#REF!</v>
      </c>
      <c r="H192" s="143" t="str">
        <f t="shared" si="94"/>
        <v>#REF!</v>
      </c>
      <c r="I192" s="143" t="str">
        <f t="shared" si="94"/>
        <v>#REF!</v>
      </c>
    </row>
    <row r="193" ht="14.25" customHeight="1">
      <c r="A193" s="204" t="str">
        <f t="shared" ref="A193:I193" si="95">'2.14.'!A59</f>
        <v>#REF!</v>
      </c>
      <c r="B193" s="92" t="str">
        <f t="shared" si="95"/>
        <v>#REF!</v>
      </c>
      <c r="C193" s="92" t="str">
        <f t="shared" si="95"/>
        <v>#REF!</v>
      </c>
      <c r="D193" s="205" t="str">
        <f t="shared" si="95"/>
        <v>#REF!</v>
      </c>
      <c r="E193" s="204" t="str">
        <f t="shared" si="95"/>
        <v>#REF!</v>
      </c>
      <c r="F193" s="206" t="str">
        <f t="shared" si="95"/>
        <v>#REF!</v>
      </c>
      <c r="G193" s="221" t="str">
        <f t="shared" si="95"/>
        <v>#REF!</v>
      </c>
      <c r="H193" s="143" t="str">
        <f t="shared" si="95"/>
        <v>#REF!</v>
      </c>
      <c r="I193" s="143" t="str">
        <f t="shared" si="95"/>
        <v>#REF!</v>
      </c>
    </row>
    <row r="194" ht="14.25" customHeight="1">
      <c r="A194" s="204" t="str">
        <f t="shared" ref="A194:I194" si="96">'2.14.'!A60</f>
        <v>#REF!</v>
      </c>
      <c r="B194" s="92" t="str">
        <f t="shared" si="96"/>
        <v>#REF!</v>
      </c>
      <c r="C194" s="92" t="str">
        <f t="shared" si="96"/>
        <v>#REF!</v>
      </c>
      <c r="D194" s="205" t="str">
        <f t="shared" si="96"/>
        <v>#REF!</v>
      </c>
      <c r="E194" s="204" t="str">
        <f t="shared" si="96"/>
        <v>#REF!</v>
      </c>
      <c r="F194" s="206" t="str">
        <f t="shared" si="96"/>
        <v>#REF!</v>
      </c>
      <c r="G194" s="221" t="str">
        <f t="shared" si="96"/>
        <v>#REF!</v>
      </c>
      <c r="H194" s="143" t="str">
        <f t="shared" si="96"/>
        <v>#REF!</v>
      </c>
      <c r="I194" s="143" t="str">
        <f t="shared" si="96"/>
        <v>#REF!</v>
      </c>
    </row>
    <row r="195" ht="14.25" customHeight="1">
      <c r="A195" s="216" t="str">
        <f t="shared" ref="A195:I195" si="97">'2.14.'!A61</f>
        <v>#REF!</v>
      </c>
      <c r="B195" s="216" t="str">
        <f t="shared" si="97"/>
        <v>#REF!</v>
      </c>
      <c r="C195" s="216" t="str">
        <f t="shared" si="97"/>
        <v>#REF!</v>
      </c>
      <c r="D195" s="216" t="str">
        <f t="shared" si="97"/>
        <v>#REF!</v>
      </c>
      <c r="E195" s="216" t="str">
        <f t="shared" si="97"/>
        <v>#REF!</v>
      </c>
      <c r="F195" s="208" t="str">
        <f t="shared" si="97"/>
        <v>#REF!</v>
      </c>
      <c r="G195" s="3" t="str">
        <f t="shared" si="97"/>
        <v>#REF!</v>
      </c>
      <c r="H195" s="143" t="str">
        <f t="shared" si="97"/>
        <v>#REF!</v>
      </c>
      <c r="I195" s="143" t="str">
        <f t="shared" si="97"/>
        <v>#REF!</v>
      </c>
    </row>
    <row r="196" ht="14.25" customHeight="1">
      <c r="A196" s="222" t="str">
        <f t="shared" ref="A196:I196" si="98">'2.14.'!A62</f>
        <v>#REF!</v>
      </c>
      <c r="B196" s="223" t="str">
        <f t="shared" si="98"/>
        <v>#REF!</v>
      </c>
      <c r="C196" s="223" t="str">
        <f t="shared" si="98"/>
        <v>#REF!</v>
      </c>
      <c r="D196" s="223" t="str">
        <f t="shared" si="98"/>
        <v>#REF!</v>
      </c>
      <c r="E196" s="223" t="str">
        <f t="shared" si="98"/>
        <v>#REF!</v>
      </c>
      <c r="F196" s="223" t="str">
        <f t="shared" si="98"/>
        <v>#REF!</v>
      </c>
      <c r="G196" s="211" t="str">
        <f t="shared" si="98"/>
        <v>#REF!</v>
      </c>
      <c r="H196" s="223" t="str">
        <f t="shared" si="98"/>
        <v>#REF!</v>
      </c>
      <c r="I196" s="224" t="str">
        <f t="shared" si="98"/>
        <v>#REF!</v>
      </c>
    </row>
    <row r="197" ht="14.25" customHeight="1">
      <c r="G197" s="3"/>
    </row>
    <row r="198" ht="14.25" customHeight="1">
      <c r="G198" s="3"/>
    </row>
    <row r="199">
      <c r="A199" s="195" t="str">
        <f>'2.15.'!A3</f>
        <v>#REF!</v>
      </c>
      <c r="B199" s="196" t="str">
        <f>'2.1.'!B199</f>
        <v/>
      </c>
      <c r="C199" s="197"/>
      <c r="D199" s="197"/>
      <c r="E199" s="197"/>
      <c r="F199" s="197"/>
      <c r="G199" s="198" t="str">
        <f>'2.1.'!G199</f>
        <v/>
      </c>
      <c r="H199" s="199" t="str">
        <f>'2.1.'!H199</f>
        <v/>
      </c>
      <c r="I199" s="200" t="str">
        <f>'2.1.'!I199</f>
        <v/>
      </c>
    </row>
    <row r="200" ht="14.25" customHeight="1">
      <c r="G200" s="3"/>
    </row>
    <row r="201" ht="14.25" customHeight="1">
      <c r="A201" s="201" t="str">
        <f t="shared" ref="A201:I201" si="99">'2.15.'!A53</f>
        <v>#REF!</v>
      </c>
      <c r="B201" s="94" t="str">
        <f t="shared" si="99"/>
        <v>#REF!</v>
      </c>
      <c r="C201" s="94" t="str">
        <f t="shared" si="99"/>
        <v>#REF!</v>
      </c>
      <c r="D201" s="94" t="str">
        <f t="shared" si="99"/>
        <v>#REF!</v>
      </c>
      <c r="E201" s="94" t="str">
        <f t="shared" si="99"/>
        <v>#REF!</v>
      </c>
      <c r="F201" s="94" t="str">
        <f t="shared" si="99"/>
        <v>#REF!</v>
      </c>
      <c r="G201" s="2" t="str">
        <f t="shared" si="99"/>
        <v>#REF!</v>
      </c>
      <c r="H201" s="94" t="str">
        <f t="shared" si="99"/>
        <v>#REF!</v>
      </c>
      <c r="I201" s="94" t="str">
        <f t="shared" si="99"/>
        <v>#REF!</v>
      </c>
    </row>
    <row r="202" ht="14.25" customHeight="1">
      <c r="A202" s="202" t="str">
        <f t="shared" ref="A202:I202" si="100">'2.15.'!A54</f>
        <v>#REF!</v>
      </c>
      <c r="B202" s="202" t="str">
        <f t="shared" si="100"/>
        <v>#REF!</v>
      </c>
      <c r="C202" s="202" t="str">
        <f t="shared" si="100"/>
        <v>#REF!</v>
      </c>
      <c r="D202" s="202" t="str">
        <f t="shared" si="100"/>
        <v>#REF!</v>
      </c>
      <c r="E202" s="202" t="str">
        <f t="shared" si="100"/>
        <v>#REF!</v>
      </c>
      <c r="F202" s="202" t="str">
        <f t="shared" si="100"/>
        <v>#REF!</v>
      </c>
      <c r="G202" s="4" t="str">
        <f t="shared" si="100"/>
        <v>#REF!</v>
      </c>
      <c r="H202" s="202" t="str">
        <f t="shared" si="100"/>
        <v>#REF!</v>
      </c>
      <c r="I202" s="202" t="str">
        <f t="shared" si="100"/>
        <v>#REF!</v>
      </c>
    </row>
    <row r="203" ht="14.25" customHeight="1">
      <c r="A203" s="204" t="str">
        <f t="shared" ref="A203:I203" si="101">'2.15.'!A55</f>
        <v>#REF!</v>
      </c>
      <c r="B203" s="92" t="str">
        <f t="shared" si="101"/>
        <v>#REF!</v>
      </c>
      <c r="C203" s="92" t="str">
        <f t="shared" si="101"/>
        <v>#REF!</v>
      </c>
      <c r="D203" s="205" t="str">
        <f t="shared" si="101"/>
        <v>#REF!</v>
      </c>
      <c r="E203" s="204" t="str">
        <f t="shared" si="101"/>
        <v>#REF!</v>
      </c>
      <c r="F203" s="206" t="str">
        <f t="shared" si="101"/>
        <v>#REF!</v>
      </c>
      <c r="G203" s="221" t="str">
        <f t="shared" si="101"/>
        <v>#REF!</v>
      </c>
      <c r="H203" s="143" t="str">
        <f t="shared" si="101"/>
        <v>#REF!</v>
      </c>
      <c r="I203" s="143" t="str">
        <f t="shared" si="101"/>
        <v>#REF!</v>
      </c>
    </row>
    <row r="204" ht="14.25" customHeight="1">
      <c r="A204" s="204" t="str">
        <f t="shared" ref="A204:I204" si="102">'2.15.'!A56</f>
        <v>#REF!</v>
      </c>
      <c r="B204" s="92" t="str">
        <f t="shared" si="102"/>
        <v>#REF!</v>
      </c>
      <c r="C204" s="92" t="str">
        <f t="shared" si="102"/>
        <v>#REF!</v>
      </c>
      <c r="D204" s="205" t="str">
        <f t="shared" si="102"/>
        <v>#REF!</v>
      </c>
      <c r="E204" s="204" t="str">
        <f t="shared" si="102"/>
        <v>#REF!</v>
      </c>
      <c r="F204" s="206" t="str">
        <f t="shared" si="102"/>
        <v>#REF!</v>
      </c>
      <c r="G204" s="221" t="str">
        <f t="shared" si="102"/>
        <v>#REF!</v>
      </c>
      <c r="H204" s="143" t="str">
        <f t="shared" si="102"/>
        <v>#REF!</v>
      </c>
      <c r="I204" s="143" t="str">
        <f t="shared" si="102"/>
        <v>#REF!</v>
      </c>
    </row>
    <row r="205" ht="14.25" customHeight="1">
      <c r="A205" s="204" t="str">
        <f t="shared" ref="A205:I205" si="103">'2.15.'!A57</f>
        <v>#REF!</v>
      </c>
      <c r="B205" s="92" t="str">
        <f t="shared" si="103"/>
        <v>#REF!</v>
      </c>
      <c r="C205" s="92" t="str">
        <f t="shared" si="103"/>
        <v>#REF!</v>
      </c>
      <c r="D205" s="205" t="str">
        <f t="shared" si="103"/>
        <v>#REF!</v>
      </c>
      <c r="E205" s="204" t="str">
        <f t="shared" si="103"/>
        <v>#REF!</v>
      </c>
      <c r="F205" s="206" t="str">
        <f t="shared" si="103"/>
        <v>#REF!</v>
      </c>
      <c r="G205" s="221" t="str">
        <f t="shared" si="103"/>
        <v>#REF!</v>
      </c>
      <c r="H205" s="143" t="str">
        <f t="shared" si="103"/>
        <v>#REF!</v>
      </c>
      <c r="I205" s="143" t="str">
        <f t="shared" si="103"/>
        <v>#REF!</v>
      </c>
    </row>
    <row r="206" ht="14.25" customHeight="1">
      <c r="A206" s="204" t="str">
        <f t="shared" ref="A206:I206" si="104">'2.15.'!A58</f>
        <v>#REF!</v>
      </c>
      <c r="B206" s="92" t="str">
        <f t="shared" si="104"/>
        <v>#REF!</v>
      </c>
      <c r="C206" s="92" t="str">
        <f t="shared" si="104"/>
        <v>#REF!</v>
      </c>
      <c r="D206" s="205" t="str">
        <f t="shared" si="104"/>
        <v>#REF!</v>
      </c>
      <c r="E206" s="204" t="str">
        <f t="shared" si="104"/>
        <v>#REF!</v>
      </c>
      <c r="F206" s="206" t="str">
        <f t="shared" si="104"/>
        <v>#REF!</v>
      </c>
      <c r="G206" s="221" t="str">
        <f t="shared" si="104"/>
        <v>#REF!</v>
      </c>
      <c r="H206" s="143" t="str">
        <f t="shared" si="104"/>
        <v>#REF!</v>
      </c>
      <c r="I206" s="143" t="str">
        <f t="shared" si="104"/>
        <v>#REF!</v>
      </c>
    </row>
    <row r="207" ht="14.25" customHeight="1">
      <c r="A207" s="204" t="str">
        <f t="shared" ref="A207:I207" si="105">'2.15.'!A59</f>
        <v>#REF!</v>
      </c>
      <c r="B207" s="92" t="str">
        <f t="shared" si="105"/>
        <v>#REF!</v>
      </c>
      <c r="C207" s="92" t="str">
        <f t="shared" si="105"/>
        <v>#REF!</v>
      </c>
      <c r="D207" s="205" t="str">
        <f t="shared" si="105"/>
        <v>#REF!</v>
      </c>
      <c r="E207" s="204" t="str">
        <f t="shared" si="105"/>
        <v>#REF!</v>
      </c>
      <c r="F207" s="206" t="str">
        <f t="shared" si="105"/>
        <v>#REF!</v>
      </c>
      <c r="G207" s="221" t="str">
        <f t="shared" si="105"/>
        <v>#REF!</v>
      </c>
      <c r="H207" s="143" t="str">
        <f t="shared" si="105"/>
        <v>#REF!</v>
      </c>
      <c r="I207" s="143" t="str">
        <f t="shared" si="105"/>
        <v>#REF!</v>
      </c>
    </row>
    <row r="208" ht="14.25" customHeight="1">
      <c r="A208" s="204" t="str">
        <f t="shared" ref="A208:I208" si="106">'2.15.'!A60</f>
        <v>#REF!</v>
      </c>
      <c r="B208" s="92" t="str">
        <f t="shared" si="106"/>
        <v>#REF!</v>
      </c>
      <c r="C208" s="92" t="str">
        <f t="shared" si="106"/>
        <v>#REF!</v>
      </c>
      <c r="D208" s="205" t="str">
        <f t="shared" si="106"/>
        <v>#REF!</v>
      </c>
      <c r="E208" s="204" t="str">
        <f t="shared" si="106"/>
        <v>#REF!</v>
      </c>
      <c r="F208" s="206" t="str">
        <f t="shared" si="106"/>
        <v>#REF!</v>
      </c>
      <c r="G208" s="221" t="str">
        <f t="shared" si="106"/>
        <v>#REF!</v>
      </c>
      <c r="H208" s="143" t="str">
        <f t="shared" si="106"/>
        <v>#REF!</v>
      </c>
      <c r="I208" s="143" t="str">
        <f t="shared" si="106"/>
        <v>#REF!</v>
      </c>
    </row>
    <row r="209" ht="14.25" customHeight="1">
      <c r="A209" s="216" t="str">
        <f t="shared" ref="A209:I209" si="107">'2.15.'!A61</f>
        <v>#REF!</v>
      </c>
      <c r="B209" s="216" t="str">
        <f t="shared" si="107"/>
        <v>#REF!</v>
      </c>
      <c r="C209" s="216" t="str">
        <f t="shared" si="107"/>
        <v>#REF!</v>
      </c>
      <c r="D209" s="216" t="str">
        <f t="shared" si="107"/>
        <v>#REF!</v>
      </c>
      <c r="E209" s="216" t="str">
        <f t="shared" si="107"/>
        <v>#REF!</v>
      </c>
      <c r="F209" s="208" t="str">
        <f t="shared" si="107"/>
        <v>#REF!</v>
      </c>
      <c r="G209" s="3" t="str">
        <f t="shared" si="107"/>
        <v>#REF!</v>
      </c>
      <c r="H209" s="143" t="str">
        <f t="shared" si="107"/>
        <v>#REF!</v>
      </c>
      <c r="I209" s="143" t="str">
        <f t="shared" si="107"/>
        <v>#REF!</v>
      </c>
    </row>
    <row r="210" ht="14.25" customHeight="1">
      <c r="A210" s="222" t="str">
        <f t="shared" ref="A210:I210" si="108">'2.15.'!A62</f>
        <v>#REF!</v>
      </c>
      <c r="B210" s="223" t="str">
        <f t="shared" si="108"/>
        <v>#REF!</v>
      </c>
      <c r="C210" s="223" t="str">
        <f t="shared" si="108"/>
        <v>#REF!</v>
      </c>
      <c r="D210" s="223" t="str">
        <f t="shared" si="108"/>
        <v>#REF!</v>
      </c>
      <c r="E210" s="223" t="str">
        <f t="shared" si="108"/>
        <v>#REF!</v>
      </c>
      <c r="F210" s="223" t="str">
        <f t="shared" si="108"/>
        <v>#REF!</v>
      </c>
      <c r="G210" s="211" t="str">
        <f t="shared" si="108"/>
        <v>#REF!</v>
      </c>
      <c r="H210" s="223" t="str">
        <f t="shared" si="108"/>
        <v>#REF!</v>
      </c>
      <c r="I210" s="224" t="str">
        <f t="shared" si="108"/>
        <v>#REF!</v>
      </c>
    </row>
    <row r="211" ht="14.25" customHeight="1">
      <c r="G211" s="3"/>
    </row>
    <row r="212" ht="14.25" customHeight="1">
      <c r="G212" s="3"/>
    </row>
    <row r="213">
      <c r="A213" s="195" t="str">
        <f>'2.16.'!A3</f>
        <v>#REF!</v>
      </c>
      <c r="B213" s="196" t="str">
        <f>'2.1.'!B213</f>
        <v/>
      </c>
      <c r="C213" s="197"/>
      <c r="D213" s="197"/>
      <c r="E213" s="197"/>
      <c r="F213" s="197"/>
      <c r="G213" s="198" t="str">
        <f>'2.1.'!G213</f>
        <v/>
      </c>
      <c r="H213" s="199" t="str">
        <f>'2.1.'!H213</f>
        <v/>
      </c>
      <c r="I213" s="200" t="str">
        <f>'2.1.'!I213</f>
        <v/>
      </c>
    </row>
    <row r="214" ht="14.25" customHeight="1">
      <c r="G214" s="3"/>
    </row>
    <row r="215" ht="14.25" customHeight="1">
      <c r="A215" s="201" t="str">
        <f t="shared" ref="A215:I215" si="109">'2.16.'!A53</f>
        <v>#REF!</v>
      </c>
      <c r="B215" s="94" t="str">
        <f t="shared" si="109"/>
        <v>#REF!</v>
      </c>
      <c r="C215" s="94" t="str">
        <f t="shared" si="109"/>
        <v>#REF!</v>
      </c>
      <c r="D215" s="94" t="str">
        <f t="shared" si="109"/>
        <v>#REF!</v>
      </c>
      <c r="E215" s="94" t="str">
        <f t="shared" si="109"/>
        <v>#REF!</v>
      </c>
      <c r="F215" s="94" t="str">
        <f t="shared" si="109"/>
        <v>#REF!</v>
      </c>
      <c r="G215" s="2" t="str">
        <f t="shared" si="109"/>
        <v>#REF!</v>
      </c>
      <c r="H215" s="94" t="str">
        <f t="shared" si="109"/>
        <v>#REF!</v>
      </c>
      <c r="I215" s="94" t="str">
        <f t="shared" si="109"/>
        <v>#REF!</v>
      </c>
    </row>
    <row r="216" ht="14.25" customHeight="1">
      <c r="A216" s="202" t="str">
        <f t="shared" ref="A216:I216" si="110">'2.16.'!A54</f>
        <v>#REF!</v>
      </c>
      <c r="B216" s="202" t="str">
        <f t="shared" si="110"/>
        <v>#REF!</v>
      </c>
      <c r="C216" s="202" t="str">
        <f t="shared" si="110"/>
        <v>#REF!</v>
      </c>
      <c r="D216" s="202" t="str">
        <f t="shared" si="110"/>
        <v>#REF!</v>
      </c>
      <c r="E216" s="202" t="str">
        <f t="shared" si="110"/>
        <v>#REF!</v>
      </c>
      <c r="F216" s="202" t="str">
        <f t="shared" si="110"/>
        <v>#REF!</v>
      </c>
      <c r="G216" s="4" t="str">
        <f t="shared" si="110"/>
        <v>#REF!</v>
      </c>
      <c r="H216" s="202" t="str">
        <f t="shared" si="110"/>
        <v>#REF!</v>
      </c>
      <c r="I216" s="202" t="str">
        <f t="shared" si="110"/>
        <v>#REF!</v>
      </c>
    </row>
    <row r="217" ht="14.25" customHeight="1">
      <c r="A217" s="204" t="str">
        <f t="shared" ref="A217:I217" si="111">'2.16.'!A55</f>
        <v>#REF!</v>
      </c>
      <c r="B217" s="92" t="str">
        <f t="shared" si="111"/>
        <v>#REF!</v>
      </c>
      <c r="C217" s="92" t="str">
        <f t="shared" si="111"/>
        <v>#REF!</v>
      </c>
      <c r="D217" s="205" t="str">
        <f t="shared" si="111"/>
        <v>#REF!</v>
      </c>
      <c r="E217" s="204" t="str">
        <f t="shared" si="111"/>
        <v>#REF!</v>
      </c>
      <c r="F217" s="206" t="str">
        <f t="shared" si="111"/>
        <v>#REF!</v>
      </c>
      <c r="G217" s="221" t="str">
        <f t="shared" si="111"/>
        <v>#REF!</v>
      </c>
      <c r="H217" s="143" t="str">
        <f t="shared" si="111"/>
        <v>#REF!</v>
      </c>
      <c r="I217" s="143" t="str">
        <f t="shared" si="111"/>
        <v>#REF!</v>
      </c>
    </row>
    <row r="218" ht="14.25" customHeight="1">
      <c r="A218" s="204" t="str">
        <f t="shared" ref="A218:I218" si="112">'2.16.'!A56</f>
        <v>#REF!</v>
      </c>
      <c r="B218" s="92" t="str">
        <f t="shared" si="112"/>
        <v>#REF!</v>
      </c>
      <c r="C218" s="92" t="str">
        <f t="shared" si="112"/>
        <v>#REF!</v>
      </c>
      <c r="D218" s="205" t="str">
        <f t="shared" si="112"/>
        <v>#REF!</v>
      </c>
      <c r="E218" s="204" t="str">
        <f t="shared" si="112"/>
        <v>#REF!</v>
      </c>
      <c r="F218" s="206" t="str">
        <f t="shared" si="112"/>
        <v>#REF!</v>
      </c>
      <c r="G218" s="221" t="str">
        <f t="shared" si="112"/>
        <v>#REF!</v>
      </c>
      <c r="H218" s="143" t="str">
        <f t="shared" si="112"/>
        <v>#REF!</v>
      </c>
      <c r="I218" s="143" t="str">
        <f t="shared" si="112"/>
        <v>#REF!</v>
      </c>
    </row>
    <row r="219" ht="14.25" customHeight="1">
      <c r="A219" s="204" t="str">
        <f t="shared" ref="A219:I219" si="113">'2.16.'!A57</f>
        <v>#REF!</v>
      </c>
      <c r="B219" s="92" t="str">
        <f t="shared" si="113"/>
        <v>#REF!</v>
      </c>
      <c r="C219" s="92" t="str">
        <f t="shared" si="113"/>
        <v>#REF!</v>
      </c>
      <c r="D219" s="205" t="str">
        <f t="shared" si="113"/>
        <v>#REF!</v>
      </c>
      <c r="E219" s="204" t="str">
        <f t="shared" si="113"/>
        <v>#REF!</v>
      </c>
      <c r="F219" s="206" t="str">
        <f t="shared" si="113"/>
        <v>#REF!</v>
      </c>
      <c r="G219" s="221" t="str">
        <f t="shared" si="113"/>
        <v>#REF!</v>
      </c>
      <c r="H219" s="143" t="str">
        <f t="shared" si="113"/>
        <v>#REF!</v>
      </c>
      <c r="I219" s="143" t="str">
        <f t="shared" si="113"/>
        <v>#REF!</v>
      </c>
    </row>
    <row r="220" ht="14.25" customHeight="1">
      <c r="A220" s="204" t="str">
        <f t="shared" ref="A220:I220" si="114">'2.16.'!A58</f>
        <v>#REF!</v>
      </c>
      <c r="B220" s="92" t="str">
        <f t="shared" si="114"/>
        <v>#REF!</v>
      </c>
      <c r="C220" s="92" t="str">
        <f t="shared" si="114"/>
        <v>#REF!</v>
      </c>
      <c r="D220" s="205" t="str">
        <f t="shared" si="114"/>
        <v>#REF!</v>
      </c>
      <c r="E220" s="204" t="str">
        <f t="shared" si="114"/>
        <v>#REF!</v>
      </c>
      <c r="F220" s="206" t="str">
        <f t="shared" si="114"/>
        <v>#REF!</v>
      </c>
      <c r="G220" s="221" t="str">
        <f t="shared" si="114"/>
        <v>#REF!</v>
      </c>
      <c r="H220" s="143" t="str">
        <f t="shared" si="114"/>
        <v>#REF!</v>
      </c>
      <c r="I220" s="143" t="str">
        <f t="shared" si="114"/>
        <v>#REF!</v>
      </c>
    </row>
    <row r="221" ht="14.25" customHeight="1">
      <c r="A221" s="204" t="str">
        <f t="shared" ref="A221:I221" si="115">'2.16.'!A59</f>
        <v>#REF!</v>
      </c>
      <c r="B221" s="92" t="str">
        <f t="shared" si="115"/>
        <v>#REF!</v>
      </c>
      <c r="C221" s="92" t="str">
        <f t="shared" si="115"/>
        <v>#REF!</v>
      </c>
      <c r="D221" s="205" t="str">
        <f t="shared" si="115"/>
        <v>#REF!</v>
      </c>
      <c r="E221" s="204" t="str">
        <f t="shared" si="115"/>
        <v>#REF!</v>
      </c>
      <c r="F221" s="206" t="str">
        <f t="shared" si="115"/>
        <v>#REF!</v>
      </c>
      <c r="G221" s="221" t="str">
        <f t="shared" si="115"/>
        <v>#REF!</v>
      </c>
      <c r="H221" s="143" t="str">
        <f t="shared" si="115"/>
        <v>#REF!</v>
      </c>
      <c r="I221" s="143" t="str">
        <f t="shared" si="115"/>
        <v>#REF!</v>
      </c>
    </row>
    <row r="222" ht="14.25" customHeight="1">
      <c r="A222" s="204" t="str">
        <f t="shared" ref="A222:I222" si="116">'2.16.'!A60</f>
        <v>#REF!</v>
      </c>
      <c r="B222" s="92" t="str">
        <f t="shared" si="116"/>
        <v>#REF!</v>
      </c>
      <c r="C222" s="92" t="str">
        <f t="shared" si="116"/>
        <v>#REF!</v>
      </c>
      <c r="D222" s="205" t="str">
        <f t="shared" si="116"/>
        <v>#REF!</v>
      </c>
      <c r="E222" s="204" t="str">
        <f t="shared" si="116"/>
        <v>#REF!</v>
      </c>
      <c r="F222" s="206" t="str">
        <f t="shared" si="116"/>
        <v>#REF!</v>
      </c>
      <c r="G222" s="221" t="str">
        <f t="shared" si="116"/>
        <v>#REF!</v>
      </c>
      <c r="H222" s="143" t="str">
        <f t="shared" si="116"/>
        <v>#REF!</v>
      </c>
      <c r="I222" s="143" t="str">
        <f t="shared" si="116"/>
        <v>#REF!</v>
      </c>
    </row>
    <row r="223" ht="14.25" customHeight="1">
      <c r="A223" s="216" t="str">
        <f t="shared" ref="A223:I223" si="117">'2.16.'!A61</f>
        <v>#REF!</v>
      </c>
      <c r="B223" s="216" t="str">
        <f t="shared" si="117"/>
        <v>#REF!</v>
      </c>
      <c r="C223" s="216" t="str">
        <f t="shared" si="117"/>
        <v>#REF!</v>
      </c>
      <c r="D223" s="216" t="str">
        <f t="shared" si="117"/>
        <v>#REF!</v>
      </c>
      <c r="E223" s="216" t="str">
        <f t="shared" si="117"/>
        <v>#REF!</v>
      </c>
      <c r="F223" s="208" t="str">
        <f t="shared" si="117"/>
        <v>#REF!</v>
      </c>
      <c r="G223" s="3" t="str">
        <f t="shared" si="117"/>
        <v>#REF!</v>
      </c>
      <c r="H223" s="143" t="str">
        <f t="shared" si="117"/>
        <v>#REF!</v>
      </c>
      <c r="I223" s="143" t="str">
        <f t="shared" si="117"/>
        <v>#REF!</v>
      </c>
    </row>
    <row r="224" ht="14.25" customHeight="1">
      <c r="A224" s="222" t="str">
        <f t="shared" ref="A224:I224" si="118">'2.16.'!A62</f>
        <v>#REF!</v>
      </c>
      <c r="B224" s="223" t="str">
        <f t="shared" si="118"/>
        <v>#REF!</v>
      </c>
      <c r="C224" s="223" t="str">
        <f t="shared" si="118"/>
        <v>#REF!</v>
      </c>
      <c r="D224" s="223" t="str">
        <f t="shared" si="118"/>
        <v>#REF!</v>
      </c>
      <c r="E224" s="223" t="str">
        <f t="shared" si="118"/>
        <v>#REF!</v>
      </c>
      <c r="F224" s="223" t="str">
        <f t="shared" si="118"/>
        <v>#REF!</v>
      </c>
      <c r="G224" s="211" t="str">
        <f t="shared" si="118"/>
        <v>#REF!</v>
      </c>
      <c r="H224" s="223" t="str">
        <f t="shared" si="118"/>
        <v>#REF!</v>
      </c>
      <c r="I224" s="224" t="str">
        <f t="shared" si="118"/>
        <v>#REF!</v>
      </c>
    </row>
    <row r="225" ht="14.25" customHeight="1">
      <c r="G225" s="3"/>
    </row>
    <row r="226" ht="14.25" customHeight="1">
      <c r="G226" s="3"/>
    </row>
    <row r="227">
      <c r="A227" s="195" t="str">
        <f>'2.17.'!A3</f>
        <v>#REF!</v>
      </c>
      <c r="B227" s="196" t="str">
        <f>'2.1.'!B227</f>
        <v/>
      </c>
      <c r="C227" s="197"/>
      <c r="D227" s="197"/>
      <c r="E227" s="197"/>
      <c r="F227" s="197"/>
      <c r="G227" s="198" t="str">
        <f>'2.1.'!G227</f>
        <v/>
      </c>
      <c r="H227" s="199" t="str">
        <f>'2.1.'!H227</f>
        <v/>
      </c>
      <c r="I227" s="200" t="str">
        <f>'2.1.'!I227</f>
        <v/>
      </c>
    </row>
    <row r="228" ht="14.25" customHeight="1">
      <c r="G228" s="3"/>
    </row>
    <row r="229" ht="14.25" customHeight="1">
      <c r="A229" s="201" t="str">
        <f t="shared" ref="A229:I229" si="119">'2.17.'!A53</f>
        <v>#REF!</v>
      </c>
      <c r="B229" s="94" t="str">
        <f t="shared" si="119"/>
        <v>#REF!</v>
      </c>
      <c r="C229" s="94" t="str">
        <f t="shared" si="119"/>
        <v>#REF!</v>
      </c>
      <c r="D229" s="94" t="str">
        <f t="shared" si="119"/>
        <v>#REF!</v>
      </c>
      <c r="E229" s="94" t="str">
        <f t="shared" si="119"/>
        <v>#REF!</v>
      </c>
      <c r="F229" s="94" t="str">
        <f t="shared" si="119"/>
        <v>#REF!</v>
      </c>
      <c r="G229" s="2" t="str">
        <f t="shared" si="119"/>
        <v>#REF!</v>
      </c>
      <c r="H229" s="94" t="str">
        <f t="shared" si="119"/>
        <v>#REF!</v>
      </c>
      <c r="I229" s="94" t="str">
        <f t="shared" si="119"/>
        <v>#REF!</v>
      </c>
    </row>
    <row r="230" ht="14.25" customHeight="1">
      <c r="A230" s="202" t="str">
        <f t="shared" ref="A230:I230" si="120">'2.17.'!A54</f>
        <v>#REF!</v>
      </c>
      <c r="B230" s="202" t="str">
        <f t="shared" si="120"/>
        <v>#REF!</v>
      </c>
      <c r="C230" s="202" t="str">
        <f t="shared" si="120"/>
        <v>#REF!</v>
      </c>
      <c r="D230" s="202" t="str">
        <f t="shared" si="120"/>
        <v>#REF!</v>
      </c>
      <c r="E230" s="202" t="str">
        <f t="shared" si="120"/>
        <v>#REF!</v>
      </c>
      <c r="F230" s="202" t="str">
        <f t="shared" si="120"/>
        <v>#REF!</v>
      </c>
      <c r="G230" s="4" t="str">
        <f t="shared" si="120"/>
        <v>#REF!</v>
      </c>
      <c r="H230" s="202" t="str">
        <f t="shared" si="120"/>
        <v>#REF!</v>
      </c>
      <c r="I230" s="202" t="str">
        <f t="shared" si="120"/>
        <v>#REF!</v>
      </c>
    </row>
    <row r="231" ht="14.25" customHeight="1">
      <c r="A231" s="204" t="str">
        <f t="shared" ref="A231:I231" si="121">'2.17.'!A55</f>
        <v>#REF!</v>
      </c>
      <c r="B231" s="92" t="str">
        <f t="shared" si="121"/>
        <v>#REF!</v>
      </c>
      <c r="C231" s="92" t="str">
        <f t="shared" si="121"/>
        <v>#REF!</v>
      </c>
      <c r="D231" s="205" t="str">
        <f t="shared" si="121"/>
        <v>#REF!</v>
      </c>
      <c r="E231" s="204" t="str">
        <f t="shared" si="121"/>
        <v>#REF!</v>
      </c>
      <c r="F231" s="206" t="str">
        <f t="shared" si="121"/>
        <v>#REF!</v>
      </c>
      <c r="G231" s="221" t="str">
        <f t="shared" si="121"/>
        <v>#REF!</v>
      </c>
      <c r="H231" s="143" t="str">
        <f t="shared" si="121"/>
        <v>#REF!</v>
      </c>
      <c r="I231" s="143" t="str">
        <f t="shared" si="121"/>
        <v>#REF!</v>
      </c>
    </row>
    <row r="232" ht="14.25" customHeight="1">
      <c r="A232" s="204" t="str">
        <f t="shared" ref="A232:I232" si="122">'2.17.'!A56</f>
        <v>#REF!</v>
      </c>
      <c r="B232" s="92" t="str">
        <f t="shared" si="122"/>
        <v>#REF!</v>
      </c>
      <c r="C232" s="92" t="str">
        <f t="shared" si="122"/>
        <v>#REF!</v>
      </c>
      <c r="D232" s="205" t="str">
        <f t="shared" si="122"/>
        <v>#REF!</v>
      </c>
      <c r="E232" s="204" t="str">
        <f t="shared" si="122"/>
        <v>#REF!</v>
      </c>
      <c r="F232" s="206" t="str">
        <f t="shared" si="122"/>
        <v>#REF!</v>
      </c>
      <c r="G232" s="221" t="str">
        <f t="shared" si="122"/>
        <v>#REF!</v>
      </c>
      <c r="H232" s="143" t="str">
        <f t="shared" si="122"/>
        <v>#REF!</v>
      </c>
      <c r="I232" s="143" t="str">
        <f t="shared" si="122"/>
        <v>#REF!</v>
      </c>
    </row>
    <row r="233" ht="14.25" customHeight="1">
      <c r="A233" s="204" t="str">
        <f t="shared" ref="A233:I233" si="123">'2.17.'!A57</f>
        <v>#REF!</v>
      </c>
      <c r="B233" s="92" t="str">
        <f t="shared" si="123"/>
        <v>#REF!</v>
      </c>
      <c r="C233" s="92" t="str">
        <f t="shared" si="123"/>
        <v>#REF!</v>
      </c>
      <c r="D233" s="205" t="str">
        <f t="shared" si="123"/>
        <v>#REF!</v>
      </c>
      <c r="E233" s="204" t="str">
        <f t="shared" si="123"/>
        <v>#REF!</v>
      </c>
      <c r="F233" s="206" t="str">
        <f t="shared" si="123"/>
        <v>#REF!</v>
      </c>
      <c r="G233" s="221" t="str">
        <f t="shared" si="123"/>
        <v>#REF!</v>
      </c>
      <c r="H233" s="143" t="str">
        <f t="shared" si="123"/>
        <v>#REF!</v>
      </c>
      <c r="I233" s="143" t="str">
        <f t="shared" si="123"/>
        <v>#REF!</v>
      </c>
    </row>
    <row r="234" ht="14.25" customHeight="1">
      <c r="A234" s="204" t="str">
        <f t="shared" ref="A234:I234" si="124">'2.17.'!A58</f>
        <v>#REF!</v>
      </c>
      <c r="B234" s="92" t="str">
        <f t="shared" si="124"/>
        <v>#REF!</v>
      </c>
      <c r="C234" s="92" t="str">
        <f t="shared" si="124"/>
        <v>#REF!</v>
      </c>
      <c r="D234" s="205" t="str">
        <f t="shared" si="124"/>
        <v>#REF!</v>
      </c>
      <c r="E234" s="204" t="str">
        <f t="shared" si="124"/>
        <v>#REF!</v>
      </c>
      <c r="F234" s="206" t="str">
        <f t="shared" si="124"/>
        <v>#REF!</v>
      </c>
      <c r="G234" s="221" t="str">
        <f t="shared" si="124"/>
        <v>#REF!</v>
      </c>
      <c r="H234" s="143" t="str">
        <f t="shared" si="124"/>
        <v>#REF!</v>
      </c>
      <c r="I234" s="143" t="str">
        <f t="shared" si="124"/>
        <v>#REF!</v>
      </c>
    </row>
    <row r="235" ht="14.25" customHeight="1">
      <c r="A235" s="204" t="str">
        <f t="shared" ref="A235:I235" si="125">'2.17.'!A59</f>
        <v>#REF!</v>
      </c>
      <c r="B235" s="92" t="str">
        <f t="shared" si="125"/>
        <v>#REF!</v>
      </c>
      <c r="C235" s="92" t="str">
        <f t="shared" si="125"/>
        <v>#REF!</v>
      </c>
      <c r="D235" s="205" t="str">
        <f t="shared" si="125"/>
        <v>#REF!</v>
      </c>
      <c r="E235" s="204" t="str">
        <f t="shared" si="125"/>
        <v>#REF!</v>
      </c>
      <c r="F235" s="206" t="str">
        <f t="shared" si="125"/>
        <v>#REF!</v>
      </c>
      <c r="G235" s="221" t="str">
        <f t="shared" si="125"/>
        <v>#REF!</v>
      </c>
      <c r="H235" s="143" t="str">
        <f t="shared" si="125"/>
        <v>#REF!</v>
      </c>
      <c r="I235" s="143" t="str">
        <f t="shared" si="125"/>
        <v>#REF!</v>
      </c>
    </row>
    <row r="236" ht="14.25" customHeight="1">
      <c r="A236" s="204" t="str">
        <f t="shared" ref="A236:I236" si="126">'2.17.'!A60</f>
        <v>#REF!</v>
      </c>
      <c r="B236" s="92" t="str">
        <f t="shared" si="126"/>
        <v>#REF!</v>
      </c>
      <c r="C236" s="92" t="str">
        <f t="shared" si="126"/>
        <v>#REF!</v>
      </c>
      <c r="D236" s="205" t="str">
        <f t="shared" si="126"/>
        <v>#REF!</v>
      </c>
      <c r="E236" s="204" t="str">
        <f t="shared" si="126"/>
        <v>#REF!</v>
      </c>
      <c r="F236" s="206" t="str">
        <f t="shared" si="126"/>
        <v>#REF!</v>
      </c>
      <c r="G236" s="221" t="str">
        <f t="shared" si="126"/>
        <v>#REF!</v>
      </c>
      <c r="H236" s="143" t="str">
        <f t="shared" si="126"/>
        <v>#REF!</v>
      </c>
      <c r="I236" s="143" t="str">
        <f t="shared" si="126"/>
        <v>#REF!</v>
      </c>
    </row>
    <row r="237" ht="14.25" customHeight="1">
      <c r="A237" s="216" t="str">
        <f t="shared" ref="A237:I237" si="127">'2.17.'!A61</f>
        <v>#REF!</v>
      </c>
      <c r="B237" s="216" t="str">
        <f t="shared" si="127"/>
        <v>#REF!</v>
      </c>
      <c r="C237" s="216" t="str">
        <f t="shared" si="127"/>
        <v>#REF!</v>
      </c>
      <c r="D237" s="216" t="str">
        <f t="shared" si="127"/>
        <v>#REF!</v>
      </c>
      <c r="E237" s="216" t="str">
        <f t="shared" si="127"/>
        <v>#REF!</v>
      </c>
      <c r="F237" s="208" t="str">
        <f t="shared" si="127"/>
        <v>#REF!</v>
      </c>
      <c r="G237" s="3" t="str">
        <f t="shared" si="127"/>
        <v>#REF!</v>
      </c>
      <c r="H237" s="143" t="str">
        <f t="shared" si="127"/>
        <v>#REF!</v>
      </c>
      <c r="I237" s="143" t="str">
        <f t="shared" si="127"/>
        <v>#REF!</v>
      </c>
    </row>
    <row r="238" ht="14.25" customHeight="1">
      <c r="A238" s="222" t="str">
        <f t="shared" ref="A238:I238" si="128">'2.17.'!A62</f>
        <v>#REF!</v>
      </c>
      <c r="B238" s="223" t="str">
        <f t="shared" si="128"/>
        <v>#REF!</v>
      </c>
      <c r="C238" s="223" t="str">
        <f t="shared" si="128"/>
        <v>#REF!</v>
      </c>
      <c r="D238" s="223" t="str">
        <f t="shared" si="128"/>
        <v>#REF!</v>
      </c>
      <c r="E238" s="223" t="str">
        <f t="shared" si="128"/>
        <v>#REF!</v>
      </c>
      <c r="F238" s="223" t="str">
        <f t="shared" si="128"/>
        <v>#REF!</v>
      </c>
      <c r="G238" s="211" t="str">
        <f t="shared" si="128"/>
        <v>#REF!</v>
      </c>
      <c r="H238" s="223" t="str">
        <f t="shared" si="128"/>
        <v>#REF!</v>
      </c>
      <c r="I238" s="224" t="str">
        <f t="shared" si="128"/>
        <v>#REF!</v>
      </c>
    </row>
    <row r="239" ht="14.25" customHeight="1">
      <c r="G239" s="3"/>
    </row>
    <row r="240" ht="14.25" customHeight="1">
      <c r="G240" s="3"/>
    </row>
    <row r="241">
      <c r="A241" s="195" t="str">
        <f>'2.18.'!A3</f>
        <v>#REF!</v>
      </c>
      <c r="B241" s="196" t="str">
        <f>'2.1.'!B241</f>
        <v/>
      </c>
      <c r="C241" s="197"/>
      <c r="D241" s="197"/>
      <c r="E241" s="197"/>
      <c r="F241" s="197"/>
      <c r="G241" s="198" t="str">
        <f>'2.1.'!G241</f>
        <v/>
      </c>
      <c r="H241" s="199" t="str">
        <f>'2.1.'!H241</f>
        <v/>
      </c>
      <c r="I241" s="200" t="str">
        <f>'2.1.'!I241</f>
        <v/>
      </c>
    </row>
    <row r="242" ht="14.25" customHeight="1">
      <c r="G242" s="3"/>
    </row>
    <row r="243" ht="15.75" customHeight="1">
      <c r="A243" s="201" t="str">
        <f t="shared" ref="A243:I243" si="129">'2.18.'!A53</f>
        <v>#REF!</v>
      </c>
      <c r="B243" s="94" t="str">
        <f t="shared" si="129"/>
        <v>#REF!</v>
      </c>
      <c r="C243" s="94" t="str">
        <f t="shared" si="129"/>
        <v>#REF!</v>
      </c>
      <c r="D243" s="94" t="str">
        <f t="shared" si="129"/>
        <v>#REF!</v>
      </c>
      <c r="E243" s="94" t="str">
        <f t="shared" si="129"/>
        <v>#REF!</v>
      </c>
      <c r="F243" s="94" t="str">
        <f t="shared" si="129"/>
        <v>#REF!</v>
      </c>
      <c r="G243" s="2" t="str">
        <f t="shared" si="129"/>
        <v>#REF!</v>
      </c>
      <c r="H243" s="94" t="str">
        <f t="shared" si="129"/>
        <v>#REF!</v>
      </c>
      <c r="I243" s="94" t="str">
        <f t="shared" si="129"/>
        <v>#REF!</v>
      </c>
    </row>
    <row r="244" ht="15.75" customHeight="1">
      <c r="A244" s="202" t="str">
        <f t="shared" ref="A244:I244" si="130">'2.18.'!A54</f>
        <v>#REF!</v>
      </c>
      <c r="B244" s="202" t="str">
        <f t="shared" si="130"/>
        <v>#REF!</v>
      </c>
      <c r="C244" s="202" t="str">
        <f t="shared" si="130"/>
        <v>#REF!</v>
      </c>
      <c r="D244" s="202" t="str">
        <f t="shared" si="130"/>
        <v>#REF!</v>
      </c>
      <c r="E244" s="202" t="str">
        <f t="shared" si="130"/>
        <v>#REF!</v>
      </c>
      <c r="F244" s="202" t="str">
        <f t="shared" si="130"/>
        <v>#REF!</v>
      </c>
      <c r="G244" s="4" t="str">
        <f t="shared" si="130"/>
        <v>#REF!</v>
      </c>
      <c r="H244" s="202" t="str">
        <f t="shared" si="130"/>
        <v>#REF!</v>
      </c>
      <c r="I244" s="202" t="str">
        <f t="shared" si="130"/>
        <v>#REF!</v>
      </c>
    </row>
    <row r="245" ht="15.75" customHeight="1">
      <c r="A245" s="204" t="str">
        <f t="shared" ref="A245:I245" si="131">'2.18.'!A55</f>
        <v>#REF!</v>
      </c>
      <c r="B245" s="92" t="str">
        <f t="shared" si="131"/>
        <v>#REF!</v>
      </c>
      <c r="C245" s="92" t="str">
        <f t="shared" si="131"/>
        <v>#REF!</v>
      </c>
      <c r="D245" s="205" t="str">
        <f t="shared" si="131"/>
        <v>#REF!</v>
      </c>
      <c r="E245" s="204" t="str">
        <f t="shared" si="131"/>
        <v>#REF!</v>
      </c>
      <c r="F245" s="206" t="str">
        <f t="shared" si="131"/>
        <v>#REF!</v>
      </c>
      <c r="G245" s="221" t="str">
        <f t="shared" si="131"/>
        <v>#REF!</v>
      </c>
      <c r="H245" s="143" t="str">
        <f t="shared" si="131"/>
        <v>#REF!</v>
      </c>
      <c r="I245" s="143" t="str">
        <f t="shared" si="131"/>
        <v>#REF!</v>
      </c>
    </row>
    <row r="246" ht="15.75" customHeight="1">
      <c r="A246" s="204" t="str">
        <f t="shared" ref="A246:I246" si="132">'2.18.'!A56</f>
        <v>#REF!</v>
      </c>
      <c r="B246" s="92" t="str">
        <f t="shared" si="132"/>
        <v>#REF!</v>
      </c>
      <c r="C246" s="92" t="str">
        <f t="shared" si="132"/>
        <v>#REF!</v>
      </c>
      <c r="D246" s="205" t="str">
        <f t="shared" si="132"/>
        <v>#REF!</v>
      </c>
      <c r="E246" s="204" t="str">
        <f t="shared" si="132"/>
        <v>#REF!</v>
      </c>
      <c r="F246" s="206" t="str">
        <f t="shared" si="132"/>
        <v>#REF!</v>
      </c>
      <c r="G246" s="221" t="str">
        <f t="shared" si="132"/>
        <v>#REF!</v>
      </c>
      <c r="H246" s="143" t="str">
        <f t="shared" si="132"/>
        <v>#REF!</v>
      </c>
      <c r="I246" s="143" t="str">
        <f t="shared" si="132"/>
        <v>#REF!</v>
      </c>
    </row>
    <row r="247" ht="15.75" customHeight="1">
      <c r="A247" s="204" t="str">
        <f t="shared" ref="A247:I247" si="133">'2.18.'!A57</f>
        <v>#REF!</v>
      </c>
      <c r="B247" s="92" t="str">
        <f t="shared" si="133"/>
        <v>#REF!</v>
      </c>
      <c r="C247" s="92" t="str">
        <f t="shared" si="133"/>
        <v>#REF!</v>
      </c>
      <c r="D247" s="205" t="str">
        <f t="shared" si="133"/>
        <v>#REF!</v>
      </c>
      <c r="E247" s="204" t="str">
        <f t="shared" si="133"/>
        <v>#REF!</v>
      </c>
      <c r="F247" s="206" t="str">
        <f t="shared" si="133"/>
        <v>#REF!</v>
      </c>
      <c r="G247" s="221" t="str">
        <f t="shared" si="133"/>
        <v>#REF!</v>
      </c>
      <c r="H247" s="143" t="str">
        <f t="shared" si="133"/>
        <v>#REF!</v>
      </c>
      <c r="I247" s="143" t="str">
        <f t="shared" si="133"/>
        <v>#REF!</v>
      </c>
    </row>
    <row r="248" ht="15.75" customHeight="1">
      <c r="A248" s="204" t="str">
        <f t="shared" ref="A248:I248" si="134">'2.18.'!A58</f>
        <v>#REF!</v>
      </c>
      <c r="B248" s="92" t="str">
        <f t="shared" si="134"/>
        <v>#REF!</v>
      </c>
      <c r="C248" s="92" t="str">
        <f t="shared" si="134"/>
        <v>#REF!</v>
      </c>
      <c r="D248" s="205" t="str">
        <f t="shared" si="134"/>
        <v>#REF!</v>
      </c>
      <c r="E248" s="204" t="str">
        <f t="shared" si="134"/>
        <v>#REF!</v>
      </c>
      <c r="F248" s="206" t="str">
        <f t="shared" si="134"/>
        <v>#REF!</v>
      </c>
      <c r="G248" s="221" t="str">
        <f t="shared" si="134"/>
        <v>#REF!</v>
      </c>
      <c r="H248" s="143" t="str">
        <f t="shared" si="134"/>
        <v>#REF!</v>
      </c>
      <c r="I248" s="143" t="str">
        <f t="shared" si="134"/>
        <v>#REF!</v>
      </c>
    </row>
    <row r="249" ht="15.75" customHeight="1">
      <c r="A249" s="204" t="str">
        <f t="shared" ref="A249:I249" si="135">'2.18.'!A59</f>
        <v>#REF!</v>
      </c>
      <c r="B249" s="92" t="str">
        <f t="shared" si="135"/>
        <v>#REF!</v>
      </c>
      <c r="C249" s="92" t="str">
        <f t="shared" si="135"/>
        <v>#REF!</v>
      </c>
      <c r="D249" s="205" t="str">
        <f t="shared" si="135"/>
        <v>#REF!</v>
      </c>
      <c r="E249" s="204" t="str">
        <f t="shared" si="135"/>
        <v>#REF!</v>
      </c>
      <c r="F249" s="206" t="str">
        <f t="shared" si="135"/>
        <v>#REF!</v>
      </c>
      <c r="G249" s="221" t="str">
        <f t="shared" si="135"/>
        <v>#REF!</v>
      </c>
      <c r="H249" s="143" t="str">
        <f t="shared" si="135"/>
        <v>#REF!</v>
      </c>
      <c r="I249" s="143" t="str">
        <f t="shared" si="135"/>
        <v>#REF!</v>
      </c>
    </row>
    <row r="250" ht="15.75" customHeight="1">
      <c r="A250" s="204" t="str">
        <f t="shared" ref="A250:I250" si="136">'2.18.'!A60</f>
        <v>#REF!</v>
      </c>
      <c r="B250" s="92" t="str">
        <f t="shared" si="136"/>
        <v>#REF!</v>
      </c>
      <c r="C250" s="92" t="str">
        <f t="shared" si="136"/>
        <v>#REF!</v>
      </c>
      <c r="D250" s="205" t="str">
        <f t="shared" si="136"/>
        <v>#REF!</v>
      </c>
      <c r="E250" s="204" t="str">
        <f t="shared" si="136"/>
        <v>#REF!</v>
      </c>
      <c r="F250" s="206" t="str">
        <f t="shared" si="136"/>
        <v>#REF!</v>
      </c>
      <c r="G250" s="221" t="str">
        <f t="shared" si="136"/>
        <v>#REF!</v>
      </c>
      <c r="H250" s="143" t="str">
        <f t="shared" si="136"/>
        <v>#REF!</v>
      </c>
      <c r="I250" s="143" t="str">
        <f t="shared" si="136"/>
        <v>#REF!</v>
      </c>
    </row>
    <row r="251" ht="15.75" customHeight="1">
      <c r="A251" s="216" t="str">
        <f t="shared" ref="A251:I251" si="137">'2.18.'!A61</f>
        <v>#REF!</v>
      </c>
      <c r="B251" s="216" t="str">
        <f t="shared" si="137"/>
        <v>#REF!</v>
      </c>
      <c r="C251" s="216" t="str">
        <f t="shared" si="137"/>
        <v>#REF!</v>
      </c>
      <c r="D251" s="216" t="str">
        <f t="shared" si="137"/>
        <v>#REF!</v>
      </c>
      <c r="E251" s="216" t="str">
        <f t="shared" si="137"/>
        <v>#REF!</v>
      </c>
      <c r="F251" s="208" t="str">
        <f t="shared" si="137"/>
        <v>#REF!</v>
      </c>
      <c r="G251" s="3" t="str">
        <f t="shared" si="137"/>
        <v>#REF!</v>
      </c>
      <c r="H251" s="143" t="str">
        <f t="shared" si="137"/>
        <v>#REF!</v>
      </c>
      <c r="I251" s="143" t="str">
        <f t="shared" si="137"/>
        <v>#REF!</v>
      </c>
    </row>
    <row r="252" ht="15.75" customHeight="1">
      <c r="A252" s="222" t="str">
        <f t="shared" ref="A252:I252" si="138">'2.18.'!A62</f>
        <v>#REF!</v>
      </c>
      <c r="B252" s="223" t="str">
        <f t="shared" si="138"/>
        <v>#REF!</v>
      </c>
      <c r="C252" s="223" t="str">
        <f t="shared" si="138"/>
        <v>#REF!</v>
      </c>
      <c r="D252" s="223" t="str">
        <f t="shared" si="138"/>
        <v>#REF!</v>
      </c>
      <c r="E252" s="223" t="str">
        <f t="shared" si="138"/>
        <v>#REF!</v>
      </c>
      <c r="F252" s="223" t="str">
        <f t="shared" si="138"/>
        <v>#REF!</v>
      </c>
      <c r="G252" s="211" t="str">
        <f t="shared" si="138"/>
        <v>#REF!</v>
      </c>
      <c r="H252" s="223" t="str">
        <f t="shared" si="138"/>
        <v>#REF!</v>
      </c>
      <c r="I252" s="224" t="str">
        <f t="shared" si="138"/>
        <v>#REF!</v>
      </c>
    </row>
    <row r="253" ht="15.75" customHeight="1">
      <c r="G253" s="3"/>
    </row>
    <row r="254" ht="15.75" customHeight="1">
      <c r="G254" s="3"/>
    </row>
    <row r="255">
      <c r="A255" s="195" t="str">
        <f>'2.19.'!A3</f>
        <v>#REF!</v>
      </c>
      <c r="B255" s="196" t="str">
        <f>'2.1.'!B255</f>
        <v/>
      </c>
      <c r="C255" s="197"/>
      <c r="D255" s="197"/>
      <c r="E255" s="197"/>
      <c r="F255" s="197"/>
      <c r="G255" s="198" t="str">
        <f>'2.1.'!G255</f>
        <v/>
      </c>
      <c r="H255" s="199" t="str">
        <f>'2.1.'!H255</f>
        <v/>
      </c>
      <c r="I255" s="200" t="str">
        <f>'2.1.'!I255</f>
        <v/>
      </c>
    </row>
    <row r="256" ht="15.75" customHeight="1">
      <c r="G256" s="3"/>
    </row>
    <row r="257" ht="15.75" customHeight="1">
      <c r="A257" s="201" t="str">
        <f t="shared" ref="A257:I257" si="139">'2.19.'!A53</f>
        <v>#REF!</v>
      </c>
      <c r="B257" s="94" t="str">
        <f t="shared" si="139"/>
        <v>#REF!</v>
      </c>
      <c r="C257" s="94" t="str">
        <f t="shared" si="139"/>
        <v>#REF!</v>
      </c>
      <c r="D257" s="94" t="str">
        <f t="shared" si="139"/>
        <v>#REF!</v>
      </c>
      <c r="E257" s="94" t="str">
        <f t="shared" si="139"/>
        <v>#REF!</v>
      </c>
      <c r="F257" s="94" t="str">
        <f t="shared" si="139"/>
        <v>#REF!</v>
      </c>
      <c r="G257" s="2" t="str">
        <f t="shared" si="139"/>
        <v>#REF!</v>
      </c>
      <c r="H257" s="94" t="str">
        <f t="shared" si="139"/>
        <v>#REF!</v>
      </c>
      <c r="I257" s="94" t="str">
        <f t="shared" si="139"/>
        <v>#REF!</v>
      </c>
    </row>
    <row r="258" ht="15.75" customHeight="1">
      <c r="A258" s="202" t="str">
        <f t="shared" ref="A258:I258" si="140">'2.19.'!A54</f>
        <v>#REF!</v>
      </c>
      <c r="B258" s="202" t="str">
        <f t="shared" si="140"/>
        <v>#REF!</v>
      </c>
      <c r="C258" s="202" t="str">
        <f t="shared" si="140"/>
        <v>#REF!</v>
      </c>
      <c r="D258" s="202" t="str">
        <f t="shared" si="140"/>
        <v>#REF!</v>
      </c>
      <c r="E258" s="202" t="str">
        <f t="shared" si="140"/>
        <v>#REF!</v>
      </c>
      <c r="F258" s="202" t="str">
        <f t="shared" si="140"/>
        <v>#REF!</v>
      </c>
      <c r="G258" s="4" t="str">
        <f t="shared" si="140"/>
        <v>#REF!</v>
      </c>
      <c r="H258" s="202" t="str">
        <f t="shared" si="140"/>
        <v>#REF!</v>
      </c>
      <c r="I258" s="202" t="str">
        <f t="shared" si="140"/>
        <v>#REF!</v>
      </c>
    </row>
    <row r="259" ht="15.75" customHeight="1">
      <c r="A259" s="204" t="str">
        <f t="shared" ref="A259:I259" si="141">'2.19.'!A55</f>
        <v>#REF!</v>
      </c>
      <c r="B259" s="92" t="str">
        <f t="shared" si="141"/>
        <v>#REF!</v>
      </c>
      <c r="C259" s="92" t="str">
        <f t="shared" si="141"/>
        <v>#REF!</v>
      </c>
      <c r="D259" s="205" t="str">
        <f t="shared" si="141"/>
        <v>#REF!</v>
      </c>
      <c r="E259" s="204" t="str">
        <f t="shared" si="141"/>
        <v>#REF!</v>
      </c>
      <c r="F259" s="206" t="str">
        <f t="shared" si="141"/>
        <v>#REF!</v>
      </c>
      <c r="G259" s="221" t="str">
        <f t="shared" si="141"/>
        <v>#REF!</v>
      </c>
      <c r="H259" s="143" t="str">
        <f t="shared" si="141"/>
        <v>#REF!</v>
      </c>
      <c r="I259" s="143" t="str">
        <f t="shared" si="141"/>
        <v>#REF!</v>
      </c>
    </row>
    <row r="260" ht="15.75" customHeight="1">
      <c r="A260" s="204" t="str">
        <f t="shared" ref="A260:I260" si="142">'2.19.'!A56</f>
        <v>#REF!</v>
      </c>
      <c r="B260" s="92" t="str">
        <f t="shared" si="142"/>
        <v>#REF!</v>
      </c>
      <c r="C260" s="92" t="str">
        <f t="shared" si="142"/>
        <v>#REF!</v>
      </c>
      <c r="D260" s="205" t="str">
        <f t="shared" si="142"/>
        <v>#REF!</v>
      </c>
      <c r="E260" s="204" t="str">
        <f t="shared" si="142"/>
        <v>#REF!</v>
      </c>
      <c r="F260" s="206" t="str">
        <f t="shared" si="142"/>
        <v>#REF!</v>
      </c>
      <c r="G260" s="221" t="str">
        <f t="shared" si="142"/>
        <v>#REF!</v>
      </c>
      <c r="H260" s="143" t="str">
        <f t="shared" si="142"/>
        <v>#REF!</v>
      </c>
      <c r="I260" s="143" t="str">
        <f t="shared" si="142"/>
        <v>#REF!</v>
      </c>
    </row>
    <row r="261" ht="15.75" customHeight="1">
      <c r="A261" s="204" t="str">
        <f t="shared" ref="A261:I261" si="143">'2.19.'!A57</f>
        <v>#REF!</v>
      </c>
      <c r="B261" s="92" t="str">
        <f t="shared" si="143"/>
        <v>#REF!</v>
      </c>
      <c r="C261" s="92" t="str">
        <f t="shared" si="143"/>
        <v>#REF!</v>
      </c>
      <c r="D261" s="205" t="str">
        <f t="shared" si="143"/>
        <v>#REF!</v>
      </c>
      <c r="E261" s="204" t="str">
        <f t="shared" si="143"/>
        <v>#REF!</v>
      </c>
      <c r="F261" s="206" t="str">
        <f t="shared" si="143"/>
        <v>#REF!</v>
      </c>
      <c r="G261" s="221" t="str">
        <f t="shared" si="143"/>
        <v>#REF!</v>
      </c>
      <c r="H261" s="143" t="str">
        <f t="shared" si="143"/>
        <v>#REF!</v>
      </c>
      <c r="I261" s="143" t="str">
        <f t="shared" si="143"/>
        <v>#REF!</v>
      </c>
    </row>
    <row r="262" ht="15.75" customHeight="1">
      <c r="A262" s="204" t="str">
        <f t="shared" ref="A262:I262" si="144">'2.19.'!A58</f>
        <v>#REF!</v>
      </c>
      <c r="B262" s="92" t="str">
        <f t="shared" si="144"/>
        <v>#REF!</v>
      </c>
      <c r="C262" s="92" t="str">
        <f t="shared" si="144"/>
        <v>#REF!</v>
      </c>
      <c r="D262" s="205" t="str">
        <f t="shared" si="144"/>
        <v>#REF!</v>
      </c>
      <c r="E262" s="204" t="str">
        <f t="shared" si="144"/>
        <v>#REF!</v>
      </c>
      <c r="F262" s="206" t="str">
        <f t="shared" si="144"/>
        <v>#REF!</v>
      </c>
      <c r="G262" s="221" t="str">
        <f t="shared" si="144"/>
        <v>#REF!</v>
      </c>
      <c r="H262" s="143" t="str">
        <f t="shared" si="144"/>
        <v>#REF!</v>
      </c>
      <c r="I262" s="143" t="str">
        <f t="shared" si="144"/>
        <v>#REF!</v>
      </c>
    </row>
    <row r="263" ht="15.75" customHeight="1">
      <c r="A263" s="204" t="str">
        <f t="shared" ref="A263:I263" si="145">'2.19.'!A59</f>
        <v>#REF!</v>
      </c>
      <c r="B263" s="92" t="str">
        <f t="shared" si="145"/>
        <v>#REF!</v>
      </c>
      <c r="C263" s="92" t="str">
        <f t="shared" si="145"/>
        <v>#REF!</v>
      </c>
      <c r="D263" s="205" t="str">
        <f t="shared" si="145"/>
        <v>#REF!</v>
      </c>
      <c r="E263" s="204" t="str">
        <f t="shared" si="145"/>
        <v>#REF!</v>
      </c>
      <c r="F263" s="206" t="str">
        <f t="shared" si="145"/>
        <v>#REF!</v>
      </c>
      <c r="G263" s="221" t="str">
        <f t="shared" si="145"/>
        <v>#REF!</v>
      </c>
      <c r="H263" s="143" t="str">
        <f t="shared" si="145"/>
        <v>#REF!</v>
      </c>
      <c r="I263" s="143" t="str">
        <f t="shared" si="145"/>
        <v>#REF!</v>
      </c>
    </row>
    <row r="264" ht="15.75" customHeight="1">
      <c r="A264" s="204" t="str">
        <f t="shared" ref="A264:I264" si="146">'2.19.'!A60</f>
        <v>#REF!</v>
      </c>
      <c r="B264" s="92" t="str">
        <f t="shared" si="146"/>
        <v>#REF!</v>
      </c>
      <c r="C264" s="92" t="str">
        <f t="shared" si="146"/>
        <v>#REF!</v>
      </c>
      <c r="D264" s="205" t="str">
        <f t="shared" si="146"/>
        <v>#REF!</v>
      </c>
      <c r="E264" s="204" t="str">
        <f t="shared" si="146"/>
        <v>#REF!</v>
      </c>
      <c r="F264" s="206" t="str">
        <f t="shared" si="146"/>
        <v>#REF!</v>
      </c>
      <c r="G264" s="221" t="str">
        <f t="shared" si="146"/>
        <v>#REF!</v>
      </c>
      <c r="H264" s="143" t="str">
        <f t="shared" si="146"/>
        <v>#REF!</v>
      </c>
      <c r="I264" s="143" t="str">
        <f t="shared" si="146"/>
        <v>#REF!</v>
      </c>
    </row>
    <row r="265" ht="15.75" customHeight="1">
      <c r="A265" s="216" t="str">
        <f t="shared" ref="A265:I265" si="147">'2.19.'!A61</f>
        <v>#REF!</v>
      </c>
      <c r="B265" s="216" t="str">
        <f t="shared" si="147"/>
        <v>#REF!</v>
      </c>
      <c r="C265" s="216" t="str">
        <f t="shared" si="147"/>
        <v>#REF!</v>
      </c>
      <c r="D265" s="216" t="str">
        <f t="shared" si="147"/>
        <v>#REF!</v>
      </c>
      <c r="E265" s="216" t="str">
        <f t="shared" si="147"/>
        <v>#REF!</v>
      </c>
      <c r="F265" s="208" t="str">
        <f t="shared" si="147"/>
        <v>#REF!</v>
      </c>
      <c r="G265" s="3" t="str">
        <f t="shared" si="147"/>
        <v>#REF!</v>
      </c>
      <c r="H265" s="143" t="str">
        <f t="shared" si="147"/>
        <v>#REF!</v>
      </c>
      <c r="I265" s="143" t="str">
        <f t="shared" si="147"/>
        <v>#REF!</v>
      </c>
    </row>
    <row r="266" ht="15.75" customHeight="1">
      <c r="A266" s="222" t="str">
        <f t="shared" ref="A266:I266" si="148">'2.19.'!A62</f>
        <v>#REF!</v>
      </c>
      <c r="B266" s="223" t="str">
        <f t="shared" si="148"/>
        <v>#REF!</v>
      </c>
      <c r="C266" s="223" t="str">
        <f t="shared" si="148"/>
        <v>#REF!</v>
      </c>
      <c r="D266" s="223" t="str">
        <f t="shared" si="148"/>
        <v>#REF!</v>
      </c>
      <c r="E266" s="223" t="str">
        <f t="shared" si="148"/>
        <v>#REF!</v>
      </c>
      <c r="F266" s="223" t="str">
        <f t="shared" si="148"/>
        <v>#REF!</v>
      </c>
      <c r="G266" s="211" t="str">
        <f t="shared" si="148"/>
        <v>#REF!</v>
      </c>
      <c r="H266" s="223" t="str">
        <f t="shared" si="148"/>
        <v>#REF!</v>
      </c>
      <c r="I266" s="224" t="str">
        <f t="shared" si="148"/>
        <v>#REF!</v>
      </c>
    </row>
    <row r="267" ht="15.75" customHeight="1">
      <c r="G267" s="3"/>
    </row>
    <row r="268" ht="15.75" customHeight="1">
      <c r="G268" s="3"/>
    </row>
    <row r="269" ht="15.75" customHeight="1">
      <c r="G269" s="3"/>
    </row>
    <row r="270" ht="15.75" customHeight="1">
      <c r="G270" s="3"/>
    </row>
    <row r="271" ht="15.75" customHeight="1">
      <c r="G271" s="3"/>
    </row>
    <row r="272" ht="15.75" customHeight="1">
      <c r="G272" s="3"/>
    </row>
    <row r="273" ht="15.75" customHeight="1">
      <c r="G273" s="3"/>
    </row>
    <row r="274" ht="15.75" customHeight="1">
      <c r="G274" s="3"/>
    </row>
    <row r="275" ht="15.75" customHeight="1">
      <c r="G275" s="3"/>
    </row>
    <row r="276" ht="15.75" customHeight="1">
      <c r="G276" s="3"/>
    </row>
    <row r="277" ht="15.75" customHeight="1">
      <c r="G277" s="3"/>
    </row>
    <row r="278" ht="15.7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</sheetData>
  <mergeCells count="22">
    <mergeCell ref="B3:F3"/>
    <mergeCell ref="A5:B5"/>
    <mergeCell ref="B17:F17"/>
    <mergeCell ref="A19:B19"/>
    <mergeCell ref="B31:F31"/>
    <mergeCell ref="A33:B33"/>
    <mergeCell ref="B45:F45"/>
    <mergeCell ref="B157:F157"/>
    <mergeCell ref="B171:F171"/>
    <mergeCell ref="B185:F185"/>
    <mergeCell ref="B199:F199"/>
    <mergeCell ref="B213:F213"/>
    <mergeCell ref="B227:F227"/>
    <mergeCell ref="B241:F241"/>
    <mergeCell ref="B255:F255"/>
    <mergeCell ref="B59:F59"/>
    <mergeCell ref="B73:F73"/>
    <mergeCell ref="B87:F87"/>
    <mergeCell ref="B101:F101"/>
    <mergeCell ref="B115:F115"/>
    <mergeCell ref="B129:F129"/>
    <mergeCell ref="B143:F143"/>
  </mergeCell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2" width="8.71"/>
  </cols>
  <sheetData>
    <row r="1" ht="33.75" customHeight="1">
      <c r="A1" s="91" t="str">
        <f>'01_C&amp;P'!A1</f>
        <v>EDIFICIO LAS HERAS</v>
      </c>
      <c r="B1" s="91"/>
      <c r="C1" s="91"/>
      <c r="G1" s="3"/>
    </row>
    <row r="2" ht="14.25" customHeight="1">
      <c r="G2" s="3"/>
    </row>
    <row r="3" ht="23.25" customHeight="1">
      <c r="A3" s="195">
        <f>'2.1.'!A3</f>
        <v>45293</v>
      </c>
      <c r="B3" s="196" t="str">
        <f>'2.1.'!B3</f>
        <v>COLUMNAS Y TABIQUES</v>
      </c>
      <c r="C3" s="197"/>
      <c r="D3" s="197"/>
      <c r="E3" s="197"/>
      <c r="F3" s="197"/>
      <c r="G3" s="198" t="str">
        <f>'2.1.'!G3</f>
        <v/>
      </c>
      <c r="H3" s="199">
        <f>'2.1.'!H3</f>
        <v>31</v>
      </c>
      <c r="I3" s="200" t="str">
        <f>'2.1.'!I3</f>
        <v>m³</v>
      </c>
    </row>
    <row r="4" ht="14.25" customHeight="1">
      <c r="G4" s="3"/>
    </row>
    <row r="5" ht="14.25" customHeight="1">
      <c r="A5" s="220" t="str">
        <f>'2.1.'!A39</f>
        <v>MANO DE OBRA - EQUIPOS</v>
      </c>
      <c r="B5" s="197"/>
      <c r="C5" s="94" t="str">
        <f>'2.1.'!C39</f>
        <v/>
      </c>
      <c r="D5" s="94" t="str">
        <f>'2.1.'!D39</f>
        <v/>
      </c>
      <c r="E5" s="94" t="str">
        <f>'2.1.'!E39</f>
        <v/>
      </c>
      <c r="F5" s="94" t="str">
        <f>'2.1.'!F39</f>
        <v/>
      </c>
      <c r="G5" s="2" t="str">
        <f>'2.1.'!G39</f>
        <v/>
      </c>
      <c r="H5" s="94" t="str">
        <f>'2.1.'!H39</f>
        <v/>
      </c>
      <c r="I5" s="94" t="str">
        <f>'2.1.'!I39</f>
        <v/>
      </c>
    </row>
    <row r="6" ht="14.25" customHeight="1">
      <c r="A6" s="202" t="str">
        <f>'2.1.'!A40</f>
        <v>Código</v>
      </c>
      <c r="B6" s="202" t="str">
        <f>'2.1.'!B40</f>
        <v>Descripción</v>
      </c>
      <c r="C6" s="202" t="str">
        <f>'2.1.'!C40</f>
        <v>Unidad</v>
      </c>
      <c r="D6" s="202" t="str">
        <f>'2.1.'!D40</f>
        <v>Cantidad</v>
      </c>
      <c r="E6" s="202" t="str">
        <f>'2.1.'!E40</f>
        <v>Dias</v>
      </c>
      <c r="F6" s="202" t="str">
        <f>'2.1.'!F40</f>
        <v>Desperdicio</v>
      </c>
      <c r="G6" s="4" t="str">
        <f>'2.1.'!G40</f>
        <v>Cantidad + Desperdicio</v>
      </c>
      <c r="H6" s="202" t="str">
        <f>'2.1.'!H40</f>
        <v>Precio Unitario</v>
      </c>
      <c r="I6" s="202" t="str">
        <f>'2.1.'!I40</f>
        <v>Subtotal</v>
      </c>
    </row>
    <row r="7" ht="14.25" customHeight="1">
      <c r="A7" s="204" t="str">
        <f>'2.1.'!A41</f>
        <v/>
      </c>
      <c r="B7" s="92" t="str">
        <f>'2.1.'!B41</f>
        <v/>
      </c>
      <c r="C7" s="92" t="str">
        <f>'2.1.'!C41</f>
        <v/>
      </c>
      <c r="D7" s="204" t="str">
        <f>'2.1.'!D41</f>
        <v/>
      </c>
      <c r="E7" s="204" t="str">
        <f>'2.1.'!E41</f>
        <v/>
      </c>
      <c r="F7" s="206" t="str">
        <f>'2.1.'!F41</f>
        <v/>
      </c>
      <c r="G7" s="217">
        <f>'2.1.'!G41</f>
        <v>0</v>
      </c>
      <c r="H7" s="143" t="str">
        <f>'2.1.'!H41</f>
        <v/>
      </c>
      <c r="I7" s="143">
        <f>'2.1.'!I41</f>
        <v>0</v>
      </c>
    </row>
    <row r="8" ht="14.25" customHeight="1">
      <c r="A8" s="204" t="str">
        <f>'2.1.'!A42</f>
        <v/>
      </c>
      <c r="B8" s="92" t="str">
        <f>'2.1.'!B42</f>
        <v/>
      </c>
      <c r="C8" s="92" t="str">
        <f>'2.1.'!C42</f>
        <v/>
      </c>
      <c r="D8" s="204" t="str">
        <f>'2.1.'!D42</f>
        <v/>
      </c>
      <c r="E8" s="204" t="str">
        <f>'2.1.'!E42</f>
        <v/>
      </c>
      <c r="F8" s="206" t="str">
        <f>'2.1.'!F42</f>
        <v/>
      </c>
      <c r="G8" s="217">
        <f>'2.1.'!G42</f>
        <v>0</v>
      </c>
      <c r="H8" s="143" t="str">
        <f>'2.1.'!H42</f>
        <v/>
      </c>
      <c r="I8" s="143">
        <f>'2.1.'!I42</f>
        <v>0</v>
      </c>
    </row>
    <row r="9" ht="14.25" customHeight="1">
      <c r="A9" s="204" t="str">
        <f>'2.1.'!A43</f>
        <v/>
      </c>
      <c r="B9" s="92" t="str">
        <f>'2.1.'!B43</f>
        <v/>
      </c>
      <c r="C9" s="92" t="str">
        <f>'2.1.'!C43</f>
        <v/>
      </c>
      <c r="D9" s="204" t="str">
        <f>'2.1.'!D43</f>
        <v/>
      </c>
      <c r="E9" s="204" t="str">
        <f>'2.1.'!E43</f>
        <v/>
      </c>
      <c r="F9" s="206" t="str">
        <f>'2.1.'!F43</f>
        <v/>
      </c>
      <c r="G9" s="217">
        <f>'2.1.'!G43</f>
        <v>0</v>
      </c>
      <c r="H9" s="143" t="str">
        <f>'2.1.'!H43</f>
        <v/>
      </c>
      <c r="I9" s="143">
        <f>'2.1.'!I43</f>
        <v>0</v>
      </c>
    </row>
    <row r="10" ht="14.25" customHeight="1">
      <c r="A10" s="204" t="str">
        <f>'2.1.'!A44</f>
        <v/>
      </c>
      <c r="B10" s="92" t="str">
        <f>'2.1.'!B44</f>
        <v/>
      </c>
      <c r="C10" s="92" t="str">
        <f>'2.1.'!C44</f>
        <v/>
      </c>
      <c r="D10" s="204" t="str">
        <f>'2.1.'!D44</f>
        <v/>
      </c>
      <c r="E10" s="204" t="str">
        <f>'2.1.'!E44</f>
        <v/>
      </c>
      <c r="F10" s="206" t="str">
        <f>'2.1.'!F44</f>
        <v/>
      </c>
      <c r="G10" s="217">
        <f>'2.1.'!G44</f>
        <v>0</v>
      </c>
      <c r="H10" s="143" t="str">
        <f>'2.1.'!H44</f>
        <v/>
      </c>
      <c r="I10" s="143">
        <f>'2.1.'!I44</f>
        <v>0</v>
      </c>
    </row>
    <row r="11" ht="14.25" customHeight="1">
      <c r="A11" s="204" t="str">
        <f>'2.1.'!A45</f>
        <v/>
      </c>
      <c r="B11" s="92" t="str">
        <f>'2.1.'!B45</f>
        <v/>
      </c>
      <c r="C11" s="92" t="str">
        <f>'2.1.'!C45</f>
        <v/>
      </c>
      <c r="D11" s="204" t="str">
        <f>'2.1.'!D45</f>
        <v/>
      </c>
      <c r="E11" s="204" t="str">
        <f>'2.1.'!E45</f>
        <v/>
      </c>
      <c r="F11" s="206" t="str">
        <f>'2.1.'!F45</f>
        <v/>
      </c>
      <c r="G11" s="217">
        <f>'2.1.'!G45</f>
        <v>0</v>
      </c>
      <c r="H11" s="143" t="str">
        <f>'2.1.'!H45</f>
        <v/>
      </c>
      <c r="I11" s="143" t="str">
        <f>'2.1.'!I45</f>
        <v/>
      </c>
    </row>
    <row r="12" ht="14.25" customHeight="1">
      <c r="A12" s="204" t="str">
        <f>'2.1.'!A46</f>
        <v/>
      </c>
      <c r="B12" s="92" t="str">
        <f>'2.1.'!B46</f>
        <v/>
      </c>
      <c r="C12" s="92" t="str">
        <f>'2.1.'!C46</f>
        <v/>
      </c>
      <c r="D12" s="204" t="str">
        <f>'2.1.'!D46</f>
        <v/>
      </c>
      <c r="E12" s="204" t="str">
        <f>'2.1.'!E46</f>
        <v/>
      </c>
      <c r="F12" s="206" t="str">
        <f>'2.1.'!F46</f>
        <v/>
      </c>
      <c r="G12" s="217">
        <f>'2.1.'!G46</f>
        <v>0</v>
      </c>
      <c r="H12" s="143" t="str">
        <f>'2.1.'!H46</f>
        <v/>
      </c>
      <c r="I12" s="143" t="str">
        <f>'2.1.'!I46</f>
        <v/>
      </c>
    </row>
    <row r="13" ht="14.25" customHeight="1">
      <c r="A13" s="216" t="str">
        <f>'2.1.'!A47</f>
        <v/>
      </c>
      <c r="B13" s="216" t="str">
        <f>'2.1.'!B47</f>
        <v/>
      </c>
      <c r="C13" s="216" t="str">
        <f>'2.1.'!C47</f>
        <v/>
      </c>
      <c r="D13" s="216" t="str">
        <f>'2.1.'!D47</f>
        <v/>
      </c>
      <c r="E13" s="216" t="str">
        <f>'2.1.'!E47</f>
        <v/>
      </c>
      <c r="F13" s="208" t="str">
        <f>'2.1.'!F47</f>
        <v/>
      </c>
      <c r="G13" s="3" t="str">
        <f>'2.1.'!G47</f>
        <v/>
      </c>
      <c r="H13" s="143" t="str">
        <f>'2.1.'!H47</f>
        <v/>
      </c>
      <c r="I13" s="143" t="str">
        <f>'2.1.'!I47</f>
        <v/>
      </c>
    </row>
    <row r="14" ht="14.25" customHeight="1">
      <c r="A14" s="222" t="str">
        <f>'2.1.'!A48</f>
        <v>TOTAL</v>
      </c>
      <c r="B14" s="223" t="str">
        <f>'2.1.'!B48</f>
        <v/>
      </c>
      <c r="C14" s="223" t="str">
        <f>'2.1.'!C48</f>
        <v/>
      </c>
      <c r="D14" s="223" t="str">
        <f>'2.1.'!D48</f>
        <v/>
      </c>
      <c r="E14" s="223" t="str">
        <f>'2.1.'!E48</f>
        <v/>
      </c>
      <c r="F14" s="223" t="str">
        <f>'2.1.'!F48</f>
        <v/>
      </c>
      <c r="G14" s="211" t="str">
        <f>'2.1.'!G48</f>
        <v/>
      </c>
      <c r="H14" s="223" t="str">
        <f>'2.1.'!H48</f>
        <v/>
      </c>
      <c r="I14" s="224">
        <f>'2.1.'!I48</f>
        <v>0</v>
      </c>
    </row>
    <row r="15" ht="14.25" customHeight="1">
      <c r="G15" s="3"/>
    </row>
    <row r="16" ht="14.25" customHeight="1">
      <c r="G16" s="3"/>
    </row>
    <row r="17" ht="14.25" customHeight="1">
      <c r="A17" s="220" t="str">
        <f>'2.1.'!A67</f>
        <v>MANO DE OBRA - SUBCONTRATOS</v>
      </c>
      <c r="B17" s="197"/>
      <c r="C17" s="94" t="str">
        <f>'2.1.'!C67</f>
        <v/>
      </c>
      <c r="D17" s="94" t="str">
        <f>'2.1.'!D67</f>
        <v/>
      </c>
      <c r="E17" s="94" t="str">
        <f>'2.1.'!E67</f>
        <v/>
      </c>
      <c r="F17" s="94" t="str">
        <f>'2.1.'!F67</f>
        <v/>
      </c>
      <c r="G17" s="2" t="str">
        <f>'2.1.'!G67</f>
        <v/>
      </c>
      <c r="H17" s="94" t="str">
        <f>'2.1.'!H67</f>
        <v/>
      </c>
      <c r="I17" s="94" t="str">
        <f>'2.1.'!I67</f>
        <v/>
      </c>
    </row>
    <row r="18" ht="14.25" customHeight="1">
      <c r="A18" s="202" t="str">
        <f>'2.1.'!A68</f>
        <v>Código</v>
      </c>
      <c r="B18" s="202" t="str">
        <f>'2.1.'!B68</f>
        <v>Descripción</v>
      </c>
      <c r="C18" s="202" t="str">
        <f>'2.1.'!C68</f>
        <v>Unidad</v>
      </c>
      <c r="D18" s="202" t="str">
        <f>'2.1.'!D68</f>
        <v>Cantidad</v>
      </c>
      <c r="E18" s="202" t="str">
        <f>'2.1.'!E68</f>
        <v>Dias</v>
      </c>
      <c r="F18" s="202" t="str">
        <f>'2.1.'!F68</f>
        <v>Desperdicio</v>
      </c>
      <c r="G18" s="4" t="str">
        <f>'2.1.'!G68</f>
        <v>Cantidad + Desperdicio</v>
      </c>
      <c r="H18" s="202" t="str">
        <f>'2.1.'!H68</f>
        <v>Precio Unitario</v>
      </c>
      <c r="I18" s="202" t="str">
        <f>'2.1.'!I68</f>
        <v>Subtotal</v>
      </c>
    </row>
    <row r="19" ht="14.25" customHeight="1">
      <c r="A19" s="204" t="str">
        <f>'2.1.'!A69</f>
        <v/>
      </c>
      <c r="B19" s="92" t="str">
        <f>'2.1.'!B69</f>
        <v/>
      </c>
      <c r="C19" s="92" t="str">
        <f>'2.1.'!C69</f>
        <v/>
      </c>
      <c r="D19" s="204" t="str">
        <f>'2.1.'!D69</f>
        <v/>
      </c>
      <c r="E19" s="204" t="str">
        <f>'2.1.'!E69</f>
        <v/>
      </c>
      <c r="F19" s="206" t="str">
        <f>'2.1.'!F69</f>
        <v/>
      </c>
      <c r="G19" s="221">
        <f>'2.1.'!G69</f>
        <v>0</v>
      </c>
      <c r="H19" s="143" t="str">
        <f>'2.1.'!H69</f>
        <v/>
      </c>
      <c r="I19" s="143" t="str">
        <f>'2.1.'!I69</f>
        <v/>
      </c>
    </row>
    <row r="20" ht="14.25" customHeight="1">
      <c r="A20" s="204" t="str">
        <f>'2.1.'!A70</f>
        <v/>
      </c>
      <c r="B20" s="92" t="str">
        <f>'2.1.'!B70</f>
        <v/>
      </c>
      <c r="C20" s="92" t="str">
        <f>'2.1.'!C70</f>
        <v/>
      </c>
      <c r="D20" s="204" t="str">
        <f>'2.1.'!D70</f>
        <v/>
      </c>
      <c r="E20" s="204" t="str">
        <f>'2.1.'!E70</f>
        <v/>
      </c>
      <c r="F20" s="206" t="str">
        <f>'2.1.'!F70</f>
        <v/>
      </c>
      <c r="G20" s="221">
        <f>'2.1.'!G70</f>
        <v>0</v>
      </c>
      <c r="H20" s="143" t="str">
        <f>'2.1.'!H70</f>
        <v/>
      </c>
      <c r="I20" s="143" t="str">
        <f>'2.1.'!I70</f>
        <v/>
      </c>
    </row>
    <row r="21" ht="14.25" customHeight="1">
      <c r="A21" s="204" t="str">
        <f>'2.1.'!A71</f>
        <v/>
      </c>
      <c r="B21" s="92" t="str">
        <f>'2.1.'!B71</f>
        <v/>
      </c>
      <c r="C21" s="92" t="str">
        <f>'2.1.'!C71</f>
        <v/>
      </c>
      <c r="D21" s="204" t="str">
        <f>'2.1.'!D71</f>
        <v/>
      </c>
      <c r="E21" s="204" t="str">
        <f>'2.1.'!E71</f>
        <v/>
      </c>
      <c r="F21" s="206" t="str">
        <f>'2.1.'!F71</f>
        <v/>
      </c>
      <c r="G21" s="221">
        <f>'2.1.'!G71</f>
        <v>0</v>
      </c>
      <c r="H21" s="143" t="str">
        <f>'2.1.'!H71</f>
        <v/>
      </c>
      <c r="I21" s="143" t="str">
        <f>'2.1.'!I71</f>
        <v/>
      </c>
    </row>
    <row r="22" ht="14.25" customHeight="1">
      <c r="A22" s="204" t="str">
        <f>'2.1.'!A72</f>
        <v/>
      </c>
      <c r="B22" s="92" t="str">
        <f>'2.1.'!B72</f>
        <v/>
      </c>
      <c r="C22" s="92" t="str">
        <f>'2.1.'!C72</f>
        <v/>
      </c>
      <c r="D22" s="204" t="str">
        <f>'2.1.'!D72</f>
        <v/>
      </c>
      <c r="E22" s="204" t="str">
        <f>'2.1.'!E72</f>
        <v/>
      </c>
      <c r="F22" s="206" t="str">
        <f>'2.1.'!F72</f>
        <v/>
      </c>
      <c r="G22" s="221">
        <f>'2.1.'!G72</f>
        <v>0</v>
      </c>
      <c r="H22" s="143" t="str">
        <f>'2.1.'!H72</f>
        <v/>
      </c>
      <c r="I22" s="143" t="str">
        <f>'2.1.'!I72</f>
        <v/>
      </c>
    </row>
    <row r="23" ht="14.25" customHeight="1">
      <c r="A23" s="204" t="str">
        <f>'2.1.'!A73</f>
        <v/>
      </c>
      <c r="B23" s="92" t="str">
        <f>'2.1.'!B73</f>
        <v/>
      </c>
      <c r="C23" s="92" t="str">
        <f>'2.1.'!C73</f>
        <v/>
      </c>
      <c r="D23" s="204" t="str">
        <f>'2.1.'!D73</f>
        <v/>
      </c>
      <c r="E23" s="204" t="str">
        <f>'2.1.'!E73</f>
        <v/>
      </c>
      <c r="F23" s="206" t="str">
        <f>'2.1.'!F73</f>
        <v/>
      </c>
      <c r="G23" s="221">
        <f>'2.1.'!G73</f>
        <v>0</v>
      </c>
      <c r="H23" s="143" t="str">
        <f>'2.1.'!H73</f>
        <v/>
      </c>
      <c r="I23" s="143" t="str">
        <f>'2.1.'!I73</f>
        <v/>
      </c>
    </row>
    <row r="24" ht="14.25" customHeight="1">
      <c r="A24" s="204" t="str">
        <f>'2.1.'!A74</f>
        <v/>
      </c>
      <c r="B24" s="92" t="str">
        <f>'2.1.'!B74</f>
        <v/>
      </c>
      <c r="C24" s="92" t="str">
        <f>'2.1.'!C74</f>
        <v/>
      </c>
      <c r="D24" s="204" t="str">
        <f>'2.1.'!D74</f>
        <v/>
      </c>
      <c r="E24" s="204" t="str">
        <f>'2.1.'!E74</f>
        <v/>
      </c>
      <c r="F24" s="206" t="str">
        <f>'2.1.'!F74</f>
        <v/>
      </c>
      <c r="G24" s="221">
        <f>'2.1.'!G74</f>
        <v>0</v>
      </c>
      <c r="H24" s="143" t="str">
        <f>'2.1.'!H74</f>
        <v/>
      </c>
      <c r="I24" s="143" t="str">
        <f>'2.1.'!I74</f>
        <v/>
      </c>
    </row>
    <row r="25" ht="14.25" customHeight="1">
      <c r="A25" s="216" t="str">
        <f>'2.1.'!A75</f>
        <v/>
      </c>
      <c r="B25" s="216" t="str">
        <f>'2.1.'!B75</f>
        <v/>
      </c>
      <c r="C25" s="216" t="str">
        <f>'2.1.'!C75</f>
        <v/>
      </c>
      <c r="D25" s="216" t="str">
        <f>'2.1.'!D75</f>
        <v/>
      </c>
      <c r="E25" s="216" t="str">
        <f>'2.1.'!E75</f>
        <v/>
      </c>
      <c r="F25" s="208" t="str">
        <f>'2.1.'!F75</f>
        <v/>
      </c>
      <c r="G25" s="3" t="str">
        <f>'2.1.'!G75</f>
        <v/>
      </c>
      <c r="H25" s="143" t="str">
        <f>'2.1.'!H75</f>
        <v/>
      </c>
      <c r="I25" s="143" t="str">
        <f>'2.1.'!I75</f>
        <v/>
      </c>
    </row>
    <row r="26" ht="14.25" customHeight="1">
      <c r="A26" s="222" t="str">
        <f>'2.1.'!A76</f>
        <v>TOTAL</v>
      </c>
      <c r="B26" s="223" t="str">
        <f>'2.1.'!B76</f>
        <v/>
      </c>
      <c r="C26" s="223" t="str">
        <f>'2.1.'!C76</f>
        <v/>
      </c>
      <c r="D26" s="223" t="str">
        <f>'2.1.'!D76</f>
        <v/>
      </c>
      <c r="E26" s="223" t="str">
        <f>'2.1.'!E76</f>
        <v/>
      </c>
      <c r="F26" s="223" t="str">
        <f>'2.1.'!F76</f>
        <v/>
      </c>
      <c r="G26" s="211" t="str">
        <f>'2.1.'!G76</f>
        <v/>
      </c>
      <c r="H26" s="223" t="str">
        <f>'2.1.'!H76</f>
        <v/>
      </c>
      <c r="I26" s="224">
        <f>'2.1.'!I76</f>
        <v>0</v>
      </c>
    </row>
    <row r="27" ht="14.25" customHeight="1">
      <c r="G27" s="3"/>
    </row>
    <row r="28" ht="14.25" customHeight="1">
      <c r="G28" s="3"/>
    </row>
    <row r="29" ht="23.25" customHeight="1">
      <c r="A29" s="195" t="str">
        <f>'2.2.'!A3</f>
        <v>n</v>
      </c>
      <c r="B29" s="196" t="str">
        <f>'2.1.'!B29</f>
        <v>Oficial</v>
      </c>
      <c r="C29" s="197"/>
      <c r="D29" s="197"/>
      <c r="E29" s="197"/>
      <c r="F29" s="197"/>
      <c r="G29" s="228">
        <f>'2.1.'!G29</f>
        <v>45</v>
      </c>
      <c r="H29" s="199">
        <f>'2.1.'!H29</f>
        <v>90000</v>
      </c>
      <c r="I29" s="227">
        <f>'2.1.'!I29</f>
        <v>4050000</v>
      </c>
    </row>
    <row r="30" ht="14.25" customHeight="1">
      <c r="G30" s="3"/>
    </row>
    <row r="31" ht="14.25" customHeight="1">
      <c r="A31" s="201" t="str">
        <f>'2.2.'!A39</f>
        <v>MANO DE OBRA - EQUIPOS</v>
      </c>
      <c r="B31" s="94" t="str">
        <f>'2.2.'!B39</f>
        <v/>
      </c>
      <c r="C31" s="94" t="str">
        <f>'2.2.'!C39</f>
        <v/>
      </c>
      <c r="D31" s="94" t="str">
        <f>'2.2.'!D39</f>
        <v/>
      </c>
      <c r="E31" s="94" t="str">
        <f>'2.2.'!E39</f>
        <v/>
      </c>
      <c r="F31" s="94" t="str">
        <f>'2.2.'!F39</f>
        <v/>
      </c>
      <c r="G31" s="2" t="str">
        <f>'2.2.'!G39</f>
        <v/>
      </c>
      <c r="H31" s="94" t="str">
        <f>'2.2.'!H39</f>
        <v/>
      </c>
      <c r="I31" s="94" t="str">
        <f>'2.2.'!I39</f>
        <v/>
      </c>
    </row>
    <row r="32" ht="14.25" customHeight="1">
      <c r="A32" s="202" t="str">
        <f>'2.2.'!A40</f>
        <v>Código</v>
      </c>
      <c r="B32" s="202" t="str">
        <f>'2.2.'!B40</f>
        <v>Descripción</v>
      </c>
      <c r="C32" s="202" t="str">
        <f>'2.2.'!C40</f>
        <v>Unidad</v>
      </c>
      <c r="D32" s="202" t="str">
        <f>'2.2.'!D40</f>
        <v>Cantidad</v>
      </c>
      <c r="E32" s="202" t="str">
        <f>'2.2.'!E40</f>
        <v>Dias</v>
      </c>
      <c r="F32" s="202" t="str">
        <f>'2.2.'!F40</f>
        <v>Desperdicio</v>
      </c>
      <c r="G32" s="4" t="str">
        <f>'2.2.'!G40</f>
        <v>Cantidad + Desperdicio</v>
      </c>
      <c r="H32" s="202" t="str">
        <f>'2.2.'!H40</f>
        <v>Precio Unitario</v>
      </c>
      <c r="I32" s="202" t="str">
        <f>'2.2.'!I40</f>
        <v>Subtotal</v>
      </c>
    </row>
    <row r="33" ht="14.25" customHeight="1">
      <c r="A33" s="204" t="str">
        <f>'2.2.'!A41</f>
        <v/>
      </c>
      <c r="B33" s="92" t="str">
        <f>'2.2.'!B41</f>
        <v/>
      </c>
      <c r="C33" s="92" t="str">
        <f>'2.2.'!C41</f>
        <v/>
      </c>
      <c r="D33" s="205" t="str">
        <f>'2.2.'!D41</f>
        <v/>
      </c>
      <c r="E33" s="204" t="str">
        <f>'2.2.'!E41</f>
        <v/>
      </c>
      <c r="F33" s="206" t="str">
        <f>'2.2.'!F41</f>
        <v/>
      </c>
      <c r="G33" s="217">
        <f>'2.2.'!G41</f>
        <v>0</v>
      </c>
      <c r="H33" s="143" t="str">
        <f>'2.2.'!H41</f>
        <v/>
      </c>
      <c r="I33" s="143">
        <f>'2.2.'!I41</f>
        <v>0</v>
      </c>
    </row>
    <row r="34" ht="14.25" customHeight="1">
      <c r="A34" s="204" t="str">
        <f>'2.2.'!A42</f>
        <v/>
      </c>
      <c r="B34" s="92" t="str">
        <f>'2.2.'!B42</f>
        <v/>
      </c>
      <c r="C34" s="92" t="str">
        <f>'2.2.'!C42</f>
        <v/>
      </c>
      <c r="D34" s="205" t="str">
        <f>'2.2.'!D42</f>
        <v/>
      </c>
      <c r="E34" s="204" t="str">
        <f>'2.2.'!E42</f>
        <v/>
      </c>
      <c r="F34" s="206" t="str">
        <f>'2.2.'!F42</f>
        <v/>
      </c>
      <c r="G34" s="217">
        <f>'2.2.'!G42</f>
        <v>0</v>
      </c>
      <c r="H34" s="143" t="str">
        <f>'2.2.'!H42</f>
        <v/>
      </c>
      <c r="I34" s="143">
        <f>'2.2.'!I42</f>
        <v>0</v>
      </c>
    </row>
    <row r="35" ht="14.25" customHeight="1">
      <c r="A35" s="204" t="str">
        <f>'2.2.'!A43</f>
        <v/>
      </c>
      <c r="B35" s="92" t="str">
        <f>'2.2.'!B43</f>
        <v/>
      </c>
      <c r="C35" s="92" t="str">
        <f>'2.2.'!C43</f>
        <v/>
      </c>
      <c r="D35" s="205" t="str">
        <f>'2.2.'!D43</f>
        <v/>
      </c>
      <c r="E35" s="204" t="str">
        <f>'2.2.'!E43</f>
        <v/>
      </c>
      <c r="F35" s="206" t="str">
        <f>'2.2.'!F43</f>
        <v/>
      </c>
      <c r="G35" s="217">
        <f>'2.2.'!G43</f>
        <v>0</v>
      </c>
      <c r="H35" s="143" t="str">
        <f>'2.2.'!H43</f>
        <v/>
      </c>
      <c r="I35" s="143">
        <f>'2.2.'!I43</f>
        <v>0</v>
      </c>
    </row>
    <row r="36" ht="14.25" customHeight="1">
      <c r="A36" s="204" t="str">
        <f>'2.2.'!A44</f>
        <v/>
      </c>
      <c r="B36" s="92" t="str">
        <f>'2.2.'!B44</f>
        <v/>
      </c>
      <c r="C36" s="92" t="str">
        <f>'2.2.'!C44</f>
        <v/>
      </c>
      <c r="D36" s="205" t="str">
        <f>'2.2.'!D44</f>
        <v/>
      </c>
      <c r="E36" s="204" t="str">
        <f>'2.2.'!E44</f>
        <v/>
      </c>
      <c r="F36" s="206" t="str">
        <f>'2.2.'!F44</f>
        <v/>
      </c>
      <c r="G36" s="217">
        <f>'2.2.'!G44</f>
        <v>0</v>
      </c>
      <c r="H36" s="143" t="str">
        <f>'2.2.'!H44</f>
        <v/>
      </c>
      <c r="I36" s="143">
        <f>'2.2.'!I44</f>
        <v>0</v>
      </c>
    </row>
    <row r="37" ht="14.25" customHeight="1">
      <c r="A37" s="204" t="str">
        <f>'2.2.'!A45</f>
        <v/>
      </c>
      <c r="B37" s="92" t="str">
        <f>'2.2.'!B45</f>
        <v/>
      </c>
      <c r="C37" s="92" t="str">
        <f>'2.2.'!C45</f>
        <v/>
      </c>
      <c r="D37" s="205" t="str">
        <f>'2.2.'!D45</f>
        <v/>
      </c>
      <c r="E37" s="204" t="str">
        <f>'2.2.'!E45</f>
        <v/>
      </c>
      <c r="F37" s="206" t="str">
        <f>'2.2.'!F45</f>
        <v/>
      </c>
      <c r="G37" s="217">
        <f>'2.2.'!G45</f>
        <v>0</v>
      </c>
      <c r="H37" s="143" t="str">
        <f>'2.2.'!H45</f>
        <v/>
      </c>
      <c r="I37" s="143">
        <f>'2.2.'!I45</f>
        <v>0</v>
      </c>
    </row>
    <row r="38" ht="14.25" customHeight="1">
      <c r="A38" s="204" t="str">
        <f>'2.2.'!A46</f>
        <v/>
      </c>
      <c r="B38" s="92" t="str">
        <f>'2.2.'!B46</f>
        <v/>
      </c>
      <c r="C38" s="92" t="str">
        <f>'2.2.'!C46</f>
        <v/>
      </c>
      <c r="D38" s="204" t="str">
        <f>'2.2.'!D46</f>
        <v/>
      </c>
      <c r="E38" s="204" t="str">
        <f>'2.2.'!E46</f>
        <v/>
      </c>
      <c r="F38" s="206" t="str">
        <f>'2.2.'!F46</f>
        <v/>
      </c>
      <c r="G38" s="217">
        <f>'2.2.'!G46</f>
        <v>0</v>
      </c>
      <c r="H38" s="143" t="str">
        <f>'2.2.'!H46</f>
        <v/>
      </c>
      <c r="I38" s="143">
        <f>'2.2.'!I46</f>
        <v>0</v>
      </c>
    </row>
    <row r="39" ht="14.25" customHeight="1">
      <c r="A39" s="216" t="str">
        <f>'2.2.'!A47</f>
        <v/>
      </c>
      <c r="B39" s="216" t="str">
        <f>'2.2.'!B47</f>
        <v/>
      </c>
      <c r="C39" s="216" t="str">
        <f>'2.2.'!C47</f>
        <v/>
      </c>
      <c r="D39" s="216" t="str">
        <f>'2.2.'!D47</f>
        <v/>
      </c>
      <c r="E39" s="216" t="str">
        <f>'2.2.'!E47</f>
        <v/>
      </c>
      <c r="F39" s="208" t="str">
        <f>'2.2.'!F47</f>
        <v/>
      </c>
      <c r="G39" s="3" t="str">
        <f>'2.2.'!G47</f>
        <v/>
      </c>
      <c r="H39" s="143" t="str">
        <f>'2.2.'!H47</f>
        <v/>
      </c>
      <c r="I39" s="143" t="str">
        <f>'2.2.'!I47</f>
        <v/>
      </c>
    </row>
    <row r="40" ht="14.25" customHeight="1">
      <c r="A40" s="222" t="str">
        <f>'2.2.'!A48</f>
        <v>TOTAL</v>
      </c>
      <c r="B40" s="223" t="str">
        <f>'2.2.'!B48</f>
        <v/>
      </c>
      <c r="C40" s="223" t="str">
        <f>'2.2.'!C48</f>
        <v/>
      </c>
      <c r="D40" s="223" t="str">
        <f>'2.2.'!D48</f>
        <v/>
      </c>
      <c r="E40" s="223" t="str">
        <f>'2.2.'!E48</f>
        <v/>
      </c>
      <c r="F40" s="223" t="str">
        <f>'2.2.'!F48</f>
        <v/>
      </c>
      <c r="G40" s="211" t="str">
        <f>'2.2.'!G48</f>
        <v/>
      </c>
      <c r="H40" s="223" t="str">
        <f>'2.2.'!H48</f>
        <v/>
      </c>
      <c r="I40" s="224">
        <f>'2.2.'!I48</f>
        <v>0</v>
      </c>
    </row>
    <row r="41" ht="14.25" customHeight="1">
      <c r="G41" s="3"/>
    </row>
    <row r="42" ht="14.25" customHeight="1">
      <c r="G42" s="3"/>
    </row>
    <row r="43" ht="14.25" customHeight="1">
      <c r="A43" s="201" t="str">
        <f>'2.2.'!A67</f>
        <v>MANO DE OBRA - SUBCONTRATOS</v>
      </c>
      <c r="B43" s="94" t="str">
        <f>'2.2.'!B67</f>
        <v/>
      </c>
      <c r="C43" s="94" t="str">
        <f>'2.2.'!C67</f>
        <v/>
      </c>
      <c r="D43" s="94" t="str">
        <f>'2.2.'!D67</f>
        <v/>
      </c>
      <c r="E43" s="94" t="str">
        <f>'2.2.'!E67</f>
        <v/>
      </c>
      <c r="F43" s="94" t="str">
        <f>'2.2.'!F67</f>
        <v/>
      </c>
      <c r="G43" s="2" t="str">
        <f>'2.2.'!G67</f>
        <v/>
      </c>
      <c r="H43" s="94" t="str">
        <f>'2.2.'!H67</f>
        <v/>
      </c>
      <c r="I43" s="94" t="str">
        <f>'2.2.'!I67</f>
        <v/>
      </c>
    </row>
    <row r="44" ht="14.25" customHeight="1">
      <c r="A44" s="202" t="str">
        <f>'2.2.'!A68</f>
        <v>Código</v>
      </c>
      <c r="B44" s="202" t="str">
        <f>'2.2.'!B68</f>
        <v>Descripción</v>
      </c>
      <c r="C44" s="202" t="str">
        <f>'2.2.'!C68</f>
        <v>Unidad</v>
      </c>
      <c r="D44" s="202" t="str">
        <f>'2.2.'!D68</f>
        <v>Cantidad</v>
      </c>
      <c r="E44" s="202" t="str">
        <f>'2.2.'!E68</f>
        <v>Dias</v>
      </c>
      <c r="F44" s="202" t="str">
        <f>'2.2.'!F68</f>
        <v>Desperdicio</v>
      </c>
      <c r="G44" s="4" t="str">
        <f>'2.2.'!G68</f>
        <v>Cantidad + Desperdicio</v>
      </c>
      <c r="H44" s="202" t="str">
        <f>'2.2.'!H68</f>
        <v>Precio Unitario</v>
      </c>
      <c r="I44" s="202" t="str">
        <f>'2.2.'!I68</f>
        <v>Subtotal</v>
      </c>
    </row>
    <row r="45" ht="14.25" customHeight="1">
      <c r="A45" s="204" t="str">
        <f>'2.2.'!A69</f>
        <v/>
      </c>
      <c r="B45" s="92" t="str">
        <f>'2.2.'!B69</f>
        <v/>
      </c>
      <c r="C45" s="92" t="str">
        <f>'2.2.'!C69</f>
        <v/>
      </c>
      <c r="D45" s="204" t="str">
        <f>'2.2.'!D69</f>
        <v/>
      </c>
      <c r="E45" s="204" t="str">
        <f>'2.2.'!E69</f>
        <v/>
      </c>
      <c r="F45" s="206" t="str">
        <f>'2.2.'!F69</f>
        <v/>
      </c>
      <c r="G45" s="221">
        <f>'2.2.'!G69</f>
        <v>0</v>
      </c>
      <c r="H45" s="143" t="str">
        <f>'2.2.'!H69</f>
        <v/>
      </c>
      <c r="I45" s="143" t="str">
        <f>'2.2.'!I69</f>
        <v/>
      </c>
    </row>
    <row r="46" ht="14.25" customHeight="1">
      <c r="A46" s="204" t="str">
        <f>'2.2.'!A70</f>
        <v/>
      </c>
      <c r="B46" s="92" t="str">
        <f>'2.2.'!B70</f>
        <v/>
      </c>
      <c r="C46" s="92" t="str">
        <f>'2.2.'!C70</f>
        <v/>
      </c>
      <c r="D46" s="204" t="str">
        <f>'2.2.'!D70</f>
        <v/>
      </c>
      <c r="E46" s="204" t="str">
        <f>'2.2.'!E70</f>
        <v/>
      </c>
      <c r="F46" s="206" t="str">
        <f>'2.2.'!F70</f>
        <v/>
      </c>
      <c r="G46" s="221">
        <f>'2.2.'!G70</f>
        <v>0</v>
      </c>
      <c r="H46" s="143" t="str">
        <f>'2.2.'!H70</f>
        <v/>
      </c>
      <c r="I46" s="143" t="str">
        <f>'2.2.'!I70</f>
        <v/>
      </c>
    </row>
    <row r="47" ht="14.25" customHeight="1">
      <c r="A47" s="204" t="str">
        <f>'2.2.'!A71</f>
        <v/>
      </c>
      <c r="B47" s="92" t="str">
        <f>'2.2.'!B71</f>
        <v/>
      </c>
      <c r="C47" s="92" t="str">
        <f>'2.2.'!C71</f>
        <v/>
      </c>
      <c r="D47" s="204" t="str">
        <f>'2.2.'!D71</f>
        <v/>
      </c>
      <c r="E47" s="204" t="str">
        <f>'2.2.'!E71</f>
        <v/>
      </c>
      <c r="F47" s="206" t="str">
        <f>'2.2.'!F71</f>
        <v/>
      </c>
      <c r="G47" s="221">
        <f>'2.2.'!G71</f>
        <v>0</v>
      </c>
      <c r="H47" s="143" t="str">
        <f>'2.2.'!H71</f>
        <v/>
      </c>
      <c r="I47" s="143" t="str">
        <f>'2.2.'!I71</f>
        <v/>
      </c>
    </row>
    <row r="48" ht="14.25" customHeight="1">
      <c r="A48" s="204" t="str">
        <f>'2.2.'!A72</f>
        <v/>
      </c>
      <c r="B48" s="92" t="str">
        <f>'2.2.'!B72</f>
        <v/>
      </c>
      <c r="C48" s="92" t="str">
        <f>'2.2.'!C72</f>
        <v/>
      </c>
      <c r="D48" s="204" t="str">
        <f>'2.2.'!D72</f>
        <v/>
      </c>
      <c r="E48" s="204" t="str">
        <f>'2.2.'!E72</f>
        <v/>
      </c>
      <c r="F48" s="206" t="str">
        <f>'2.2.'!F72</f>
        <v/>
      </c>
      <c r="G48" s="221">
        <f>'2.2.'!G72</f>
        <v>0</v>
      </c>
      <c r="H48" s="143" t="str">
        <f>'2.2.'!H72</f>
        <v/>
      </c>
      <c r="I48" s="143" t="str">
        <f>'2.2.'!I72</f>
        <v/>
      </c>
    </row>
    <row r="49" ht="14.25" customHeight="1">
      <c r="A49" s="204" t="str">
        <f>'2.2.'!A73</f>
        <v/>
      </c>
      <c r="B49" s="92" t="str">
        <f>'2.2.'!B73</f>
        <v/>
      </c>
      <c r="C49" s="92" t="str">
        <f>'2.2.'!C73</f>
        <v/>
      </c>
      <c r="D49" s="204" t="str">
        <f>'2.2.'!D73</f>
        <v/>
      </c>
      <c r="E49" s="204" t="str">
        <f>'2.2.'!E73</f>
        <v/>
      </c>
      <c r="F49" s="206" t="str">
        <f>'2.2.'!F73</f>
        <v/>
      </c>
      <c r="G49" s="221">
        <f>'2.2.'!G73</f>
        <v>0</v>
      </c>
      <c r="H49" s="143" t="str">
        <f>'2.2.'!H73</f>
        <v/>
      </c>
      <c r="I49" s="143" t="str">
        <f>'2.2.'!I73</f>
        <v/>
      </c>
    </row>
    <row r="50" ht="14.25" customHeight="1">
      <c r="A50" s="204" t="str">
        <f>'2.2.'!A74</f>
        <v/>
      </c>
      <c r="B50" s="92" t="str">
        <f>'2.2.'!B74</f>
        <v/>
      </c>
      <c r="C50" s="92" t="str">
        <f>'2.2.'!C74</f>
        <v/>
      </c>
      <c r="D50" s="204" t="str">
        <f>'2.2.'!D74</f>
        <v/>
      </c>
      <c r="E50" s="204" t="str">
        <f>'2.2.'!E74</f>
        <v/>
      </c>
      <c r="F50" s="206" t="str">
        <f>'2.2.'!F74</f>
        <v/>
      </c>
      <c r="G50" s="221">
        <f>'2.2.'!G74</f>
        <v>0</v>
      </c>
      <c r="H50" s="143" t="str">
        <f>'2.2.'!H74</f>
        <v/>
      </c>
      <c r="I50" s="143" t="str">
        <f>'2.2.'!I74</f>
        <v/>
      </c>
    </row>
    <row r="51" ht="14.25" customHeight="1">
      <c r="A51" s="216" t="str">
        <f>'2.2.'!A75</f>
        <v/>
      </c>
      <c r="B51" s="216" t="str">
        <f>'2.2.'!B75</f>
        <v/>
      </c>
      <c r="C51" s="216" t="str">
        <f>'2.2.'!C75</f>
        <v/>
      </c>
      <c r="D51" s="216" t="str">
        <f>'2.2.'!D75</f>
        <v/>
      </c>
      <c r="E51" s="216" t="str">
        <f>'2.2.'!E75</f>
        <v/>
      </c>
      <c r="F51" s="208" t="str">
        <f>'2.2.'!F75</f>
        <v/>
      </c>
      <c r="G51" s="3" t="str">
        <f>'2.2.'!G75</f>
        <v/>
      </c>
      <c r="H51" s="143" t="str">
        <f>'2.2.'!H75</f>
        <v/>
      </c>
      <c r="I51" s="143" t="str">
        <f>'2.2.'!I75</f>
        <v/>
      </c>
    </row>
    <row r="52" ht="14.25" customHeight="1">
      <c r="A52" s="222" t="str">
        <f>'2.2.'!A76</f>
        <v>TOTAL</v>
      </c>
      <c r="B52" s="223" t="str">
        <f>'2.2.'!B76</f>
        <v/>
      </c>
      <c r="C52" s="223" t="str">
        <f>'2.2.'!C76</f>
        <v/>
      </c>
      <c r="D52" s="223" t="str">
        <f>'2.2.'!D76</f>
        <v/>
      </c>
      <c r="E52" s="223" t="str">
        <f>'2.2.'!E76</f>
        <v/>
      </c>
      <c r="F52" s="223" t="str">
        <f>'2.2.'!F76</f>
        <v/>
      </c>
      <c r="G52" s="211" t="str">
        <f>'2.2.'!G76</f>
        <v/>
      </c>
      <c r="H52" s="223" t="str">
        <f>'2.2.'!H76</f>
        <v/>
      </c>
      <c r="I52" s="224">
        <f>'2.2.'!I76</f>
        <v>0</v>
      </c>
    </row>
    <row r="53" ht="14.25" customHeight="1">
      <c r="G53" s="3"/>
    </row>
    <row r="54" ht="14.25" customHeight="1">
      <c r="G54" s="3"/>
    </row>
    <row r="55" ht="23.25" customHeight="1">
      <c r="A55" s="195" t="str">
        <f>'2.3.'!A3</f>
        <v>#REF!</v>
      </c>
      <c r="B55" s="196" t="str">
        <f>'2.1.'!B55</f>
        <v/>
      </c>
      <c r="C55" s="197"/>
      <c r="D55" s="197"/>
      <c r="E55" s="197"/>
      <c r="F55" s="197"/>
      <c r="G55" s="226">
        <f>'2.1.'!G55</f>
        <v>0</v>
      </c>
      <c r="H55" s="199" t="str">
        <f>'2.1.'!H55</f>
        <v/>
      </c>
      <c r="I55" s="227">
        <f>'2.1.'!I55</f>
        <v>0</v>
      </c>
    </row>
    <row r="56" ht="14.25" customHeight="1">
      <c r="G56" s="3"/>
    </row>
    <row r="57" ht="14.25" customHeight="1">
      <c r="A57" s="201" t="str">
        <f t="shared" ref="A57:I57" si="1">'2.3.'!A39</f>
        <v>#REF!</v>
      </c>
      <c r="B57" s="94" t="str">
        <f t="shared" si="1"/>
        <v>#REF!</v>
      </c>
      <c r="C57" s="94" t="str">
        <f t="shared" si="1"/>
        <v>#REF!</v>
      </c>
      <c r="D57" s="94" t="str">
        <f t="shared" si="1"/>
        <v>#REF!</v>
      </c>
      <c r="E57" s="94" t="str">
        <f t="shared" si="1"/>
        <v>#REF!</v>
      </c>
      <c r="F57" s="94" t="str">
        <f t="shared" si="1"/>
        <v>#REF!</v>
      </c>
      <c r="G57" s="2" t="str">
        <f t="shared" si="1"/>
        <v>#REF!</v>
      </c>
      <c r="H57" s="94" t="str">
        <f t="shared" si="1"/>
        <v>#REF!</v>
      </c>
      <c r="I57" s="94" t="str">
        <f t="shared" si="1"/>
        <v>#REF!</v>
      </c>
    </row>
    <row r="58" ht="14.25" customHeight="1">
      <c r="A58" s="202" t="str">
        <f t="shared" ref="A58:I58" si="2">'2.3.'!A40</f>
        <v>#REF!</v>
      </c>
      <c r="B58" s="202" t="str">
        <f t="shared" si="2"/>
        <v>#REF!</v>
      </c>
      <c r="C58" s="202" t="str">
        <f t="shared" si="2"/>
        <v>#REF!</v>
      </c>
      <c r="D58" s="202" t="str">
        <f t="shared" si="2"/>
        <v>#REF!</v>
      </c>
      <c r="E58" s="202" t="str">
        <f t="shared" si="2"/>
        <v>#REF!</v>
      </c>
      <c r="F58" s="202" t="str">
        <f t="shared" si="2"/>
        <v>#REF!</v>
      </c>
      <c r="G58" s="4" t="str">
        <f t="shared" si="2"/>
        <v>#REF!</v>
      </c>
      <c r="H58" s="202" t="str">
        <f t="shared" si="2"/>
        <v>#REF!</v>
      </c>
      <c r="I58" s="202" t="str">
        <f t="shared" si="2"/>
        <v>#REF!</v>
      </c>
    </row>
    <row r="59" ht="14.25" customHeight="1">
      <c r="A59" s="204" t="str">
        <f t="shared" ref="A59:I59" si="3">'2.3.'!A41</f>
        <v>#REF!</v>
      </c>
      <c r="B59" s="92" t="str">
        <f t="shared" si="3"/>
        <v>#REF!</v>
      </c>
      <c r="C59" s="92" t="str">
        <f t="shared" si="3"/>
        <v>#REF!</v>
      </c>
      <c r="D59" s="204" t="str">
        <f t="shared" si="3"/>
        <v>#REF!</v>
      </c>
      <c r="E59" s="204" t="str">
        <f t="shared" si="3"/>
        <v>#REF!</v>
      </c>
      <c r="F59" s="206" t="str">
        <f t="shared" si="3"/>
        <v>#REF!</v>
      </c>
      <c r="G59" s="217" t="str">
        <f t="shared" si="3"/>
        <v>#REF!</v>
      </c>
      <c r="H59" s="143" t="str">
        <f t="shared" si="3"/>
        <v>#REF!</v>
      </c>
      <c r="I59" s="143" t="str">
        <f t="shared" si="3"/>
        <v>#REF!</v>
      </c>
    </row>
    <row r="60" ht="14.25" customHeight="1">
      <c r="A60" s="204" t="str">
        <f t="shared" ref="A60:I60" si="4">'2.3.'!A42</f>
        <v>#REF!</v>
      </c>
      <c r="B60" s="92" t="str">
        <f t="shared" si="4"/>
        <v>#REF!</v>
      </c>
      <c r="C60" s="92" t="str">
        <f t="shared" si="4"/>
        <v>#REF!</v>
      </c>
      <c r="D60" s="204" t="str">
        <f t="shared" si="4"/>
        <v>#REF!</v>
      </c>
      <c r="E60" s="204" t="str">
        <f t="shared" si="4"/>
        <v>#REF!</v>
      </c>
      <c r="F60" s="206" t="str">
        <f t="shared" si="4"/>
        <v>#REF!</v>
      </c>
      <c r="G60" s="217" t="str">
        <f t="shared" si="4"/>
        <v>#REF!</v>
      </c>
      <c r="H60" s="143" t="str">
        <f t="shared" si="4"/>
        <v>#REF!</v>
      </c>
      <c r="I60" s="143" t="str">
        <f t="shared" si="4"/>
        <v>#REF!</v>
      </c>
    </row>
    <row r="61" ht="14.25" customHeight="1">
      <c r="A61" s="204" t="str">
        <f t="shared" ref="A61:I61" si="5">'2.3.'!A43</f>
        <v>#REF!</v>
      </c>
      <c r="B61" s="92" t="str">
        <f t="shared" si="5"/>
        <v>#REF!</v>
      </c>
      <c r="C61" s="92" t="str">
        <f t="shared" si="5"/>
        <v>#REF!</v>
      </c>
      <c r="D61" s="204" t="str">
        <f t="shared" si="5"/>
        <v>#REF!</v>
      </c>
      <c r="E61" s="204" t="str">
        <f t="shared" si="5"/>
        <v>#REF!</v>
      </c>
      <c r="F61" s="206" t="str">
        <f t="shared" si="5"/>
        <v>#REF!</v>
      </c>
      <c r="G61" s="217" t="str">
        <f t="shared" si="5"/>
        <v>#REF!</v>
      </c>
      <c r="H61" s="143" t="str">
        <f t="shared" si="5"/>
        <v>#REF!</v>
      </c>
      <c r="I61" s="143" t="str">
        <f t="shared" si="5"/>
        <v>#REF!</v>
      </c>
    </row>
    <row r="62" ht="14.25" customHeight="1">
      <c r="A62" s="204" t="str">
        <f t="shared" ref="A62:I62" si="6">'2.3.'!A44</f>
        <v>#REF!</v>
      </c>
      <c r="B62" s="92" t="str">
        <f t="shared" si="6"/>
        <v>#REF!</v>
      </c>
      <c r="C62" s="92" t="str">
        <f t="shared" si="6"/>
        <v>#REF!</v>
      </c>
      <c r="D62" s="204" t="str">
        <f t="shared" si="6"/>
        <v>#REF!</v>
      </c>
      <c r="E62" s="204" t="str">
        <f t="shared" si="6"/>
        <v>#REF!</v>
      </c>
      <c r="F62" s="206" t="str">
        <f t="shared" si="6"/>
        <v>#REF!</v>
      </c>
      <c r="G62" s="217" t="str">
        <f t="shared" si="6"/>
        <v>#REF!</v>
      </c>
      <c r="H62" s="143" t="str">
        <f t="shared" si="6"/>
        <v>#REF!</v>
      </c>
      <c r="I62" s="143" t="str">
        <f t="shared" si="6"/>
        <v>#REF!</v>
      </c>
    </row>
    <row r="63" ht="14.25" customHeight="1">
      <c r="A63" s="204" t="str">
        <f t="shared" ref="A63:I63" si="7">'2.3.'!A45</f>
        <v>#REF!</v>
      </c>
      <c r="B63" s="92" t="str">
        <f t="shared" si="7"/>
        <v>#REF!</v>
      </c>
      <c r="C63" s="92" t="str">
        <f t="shared" si="7"/>
        <v>#REF!</v>
      </c>
      <c r="D63" s="204" t="str">
        <f t="shared" si="7"/>
        <v>#REF!</v>
      </c>
      <c r="E63" s="204" t="str">
        <f t="shared" si="7"/>
        <v>#REF!</v>
      </c>
      <c r="F63" s="206" t="str">
        <f t="shared" si="7"/>
        <v>#REF!</v>
      </c>
      <c r="G63" s="217" t="str">
        <f t="shared" si="7"/>
        <v>#REF!</v>
      </c>
      <c r="H63" s="143" t="str">
        <f t="shared" si="7"/>
        <v>#REF!</v>
      </c>
      <c r="I63" s="143" t="str">
        <f t="shared" si="7"/>
        <v>#REF!</v>
      </c>
    </row>
    <row r="64" ht="14.25" customHeight="1">
      <c r="A64" s="204" t="str">
        <f t="shared" ref="A64:I64" si="8">'2.3.'!A46</f>
        <v>#REF!</v>
      </c>
      <c r="B64" s="92" t="str">
        <f t="shared" si="8"/>
        <v>#REF!</v>
      </c>
      <c r="C64" s="92" t="str">
        <f t="shared" si="8"/>
        <v>#REF!</v>
      </c>
      <c r="D64" s="204" t="str">
        <f t="shared" si="8"/>
        <v>#REF!</v>
      </c>
      <c r="E64" s="204" t="str">
        <f t="shared" si="8"/>
        <v>#REF!</v>
      </c>
      <c r="F64" s="206" t="str">
        <f t="shared" si="8"/>
        <v>#REF!</v>
      </c>
      <c r="G64" s="217" t="str">
        <f t="shared" si="8"/>
        <v>#REF!</v>
      </c>
      <c r="H64" s="143" t="str">
        <f t="shared" si="8"/>
        <v>#REF!</v>
      </c>
      <c r="I64" s="143" t="str">
        <f t="shared" si="8"/>
        <v>#REF!</v>
      </c>
    </row>
    <row r="65" ht="14.25" customHeight="1">
      <c r="A65" s="216" t="str">
        <f t="shared" ref="A65:I65" si="9">'2.3.'!A47</f>
        <v>#REF!</v>
      </c>
      <c r="B65" s="216" t="str">
        <f t="shared" si="9"/>
        <v>#REF!</v>
      </c>
      <c r="C65" s="216" t="str">
        <f t="shared" si="9"/>
        <v>#REF!</v>
      </c>
      <c r="D65" s="216" t="str">
        <f t="shared" si="9"/>
        <v>#REF!</v>
      </c>
      <c r="E65" s="216" t="str">
        <f t="shared" si="9"/>
        <v>#REF!</v>
      </c>
      <c r="F65" s="208" t="str">
        <f t="shared" si="9"/>
        <v>#REF!</v>
      </c>
      <c r="G65" s="3" t="str">
        <f t="shared" si="9"/>
        <v>#REF!</v>
      </c>
      <c r="H65" s="143" t="str">
        <f t="shared" si="9"/>
        <v>#REF!</v>
      </c>
      <c r="I65" s="143" t="str">
        <f t="shared" si="9"/>
        <v>#REF!</v>
      </c>
    </row>
    <row r="66" ht="14.25" customHeight="1">
      <c r="A66" s="222" t="str">
        <f t="shared" ref="A66:I66" si="10">'2.3.'!A48</f>
        <v>#REF!</v>
      </c>
      <c r="B66" s="223" t="str">
        <f t="shared" si="10"/>
        <v>#REF!</v>
      </c>
      <c r="C66" s="223" t="str">
        <f t="shared" si="10"/>
        <v>#REF!</v>
      </c>
      <c r="D66" s="223" t="str">
        <f t="shared" si="10"/>
        <v>#REF!</v>
      </c>
      <c r="E66" s="223" t="str">
        <f t="shared" si="10"/>
        <v>#REF!</v>
      </c>
      <c r="F66" s="223" t="str">
        <f t="shared" si="10"/>
        <v>#REF!</v>
      </c>
      <c r="G66" s="211" t="str">
        <f t="shared" si="10"/>
        <v>#REF!</v>
      </c>
      <c r="H66" s="223" t="str">
        <f t="shared" si="10"/>
        <v>#REF!</v>
      </c>
      <c r="I66" s="224" t="str">
        <f t="shared" si="10"/>
        <v>#REF!</v>
      </c>
    </row>
    <row r="67" ht="14.25" customHeight="1">
      <c r="G67" s="3"/>
    </row>
    <row r="68" ht="14.25" customHeight="1">
      <c r="G68" s="3"/>
    </row>
    <row r="69" ht="14.25" customHeight="1">
      <c r="A69" s="201" t="str">
        <f t="shared" ref="A69:I69" si="11">'2.3.'!A67</f>
        <v>#REF!</v>
      </c>
      <c r="B69" s="94" t="str">
        <f t="shared" si="11"/>
        <v>#REF!</v>
      </c>
      <c r="C69" s="94" t="str">
        <f t="shared" si="11"/>
        <v>#REF!</v>
      </c>
      <c r="D69" s="94" t="str">
        <f t="shared" si="11"/>
        <v>#REF!</v>
      </c>
      <c r="E69" s="94" t="str">
        <f t="shared" si="11"/>
        <v>#REF!</v>
      </c>
      <c r="F69" s="94" t="str">
        <f t="shared" si="11"/>
        <v>#REF!</v>
      </c>
      <c r="G69" s="2" t="str">
        <f t="shared" si="11"/>
        <v>#REF!</v>
      </c>
      <c r="H69" s="94" t="str">
        <f t="shared" si="11"/>
        <v>#REF!</v>
      </c>
      <c r="I69" s="94" t="str">
        <f t="shared" si="11"/>
        <v>#REF!</v>
      </c>
    </row>
    <row r="70" ht="14.25" customHeight="1">
      <c r="A70" s="202" t="str">
        <f t="shared" ref="A70:I70" si="12">'2.3.'!A68</f>
        <v>#REF!</v>
      </c>
      <c r="B70" s="202" t="str">
        <f t="shared" si="12"/>
        <v>#REF!</v>
      </c>
      <c r="C70" s="202" t="str">
        <f t="shared" si="12"/>
        <v>#REF!</v>
      </c>
      <c r="D70" s="202" t="str">
        <f t="shared" si="12"/>
        <v>#REF!</v>
      </c>
      <c r="E70" s="202" t="str">
        <f t="shared" si="12"/>
        <v>#REF!</v>
      </c>
      <c r="F70" s="202" t="str">
        <f t="shared" si="12"/>
        <v>#REF!</v>
      </c>
      <c r="G70" s="4" t="str">
        <f t="shared" si="12"/>
        <v>#REF!</v>
      </c>
      <c r="H70" s="202" t="str">
        <f t="shared" si="12"/>
        <v>#REF!</v>
      </c>
      <c r="I70" s="202" t="str">
        <f t="shared" si="12"/>
        <v>#REF!</v>
      </c>
    </row>
    <row r="71" ht="14.25" customHeight="1">
      <c r="A71" s="204" t="str">
        <f t="shared" ref="A71:I71" si="13">'2.3.'!A69</f>
        <v>#REF!</v>
      </c>
      <c r="B71" s="92" t="str">
        <f t="shared" si="13"/>
        <v>#REF!</v>
      </c>
      <c r="C71" s="92" t="str">
        <f t="shared" si="13"/>
        <v>#REF!</v>
      </c>
      <c r="D71" s="204" t="str">
        <f t="shared" si="13"/>
        <v>#REF!</v>
      </c>
      <c r="E71" s="204" t="str">
        <f t="shared" si="13"/>
        <v>#REF!</v>
      </c>
      <c r="F71" s="206" t="str">
        <f t="shared" si="13"/>
        <v>#REF!</v>
      </c>
      <c r="G71" s="221" t="str">
        <f t="shared" si="13"/>
        <v>#REF!</v>
      </c>
      <c r="H71" s="143" t="str">
        <f t="shared" si="13"/>
        <v>#REF!</v>
      </c>
      <c r="I71" s="143" t="str">
        <f t="shared" si="13"/>
        <v>#REF!</v>
      </c>
    </row>
    <row r="72" ht="14.25" customHeight="1">
      <c r="A72" s="204" t="str">
        <f t="shared" ref="A72:I72" si="14">'2.3.'!A70</f>
        <v>#REF!</v>
      </c>
      <c r="B72" s="92" t="str">
        <f t="shared" si="14"/>
        <v>#REF!</v>
      </c>
      <c r="C72" s="92" t="str">
        <f t="shared" si="14"/>
        <v>#REF!</v>
      </c>
      <c r="D72" s="204" t="str">
        <f t="shared" si="14"/>
        <v>#REF!</v>
      </c>
      <c r="E72" s="204" t="str">
        <f t="shared" si="14"/>
        <v>#REF!</v>
      </c>
      <c r="F72" s="206" t="str">
        <f t="shared" si="14"/>
        <v>#REF!</v>
      </c>
      <c r="G72" s="221" t="str">
        <f t="shared" si="14"/>
        <v>#REF!</v>
      </c>
      <c r="H72" s="143" t="str">
        <f t="shared" si="14"/>
        <v>#REF!</v>
      </c>
      <c r="I72" s="143" t="str">
        <f t="shared" si="14"/>
        <v>#REF!</v>
      </c>
    </row>
    <row r="73" ht="14.25" customHeight="1">
      <c r="A73" s="204" t="str">
        <f t="shared" ref="A73:I73" si="15">'2.3.'!A71</f>
        <v>#REF!</v>
      </c>
      <c r="B73" s="92" t="str">
        <f t="shared" si="15"/>
        <v>#REF!</v>
      </c>
      <c r="C73" s="92" t="str">
        <f t="shared" si="15"/>
        <v>#REF!</v>
      </c>
      <c r="D73" s="204" t="str">
        <f t="shared" si="15"/>
        <v>#REF!</v>
      </c>
      <c r="E73" s="204" t="str">
        <f t="shared" si="15"/>
        <v>#REF!</v>
      </c>
      <c r="F73" s="206" t="str">
        <f t="shared" si="15"/>
        <v>#REF!</v>
      </c>
      <c r="G73" s="221" t="str">
        <f t="shared" si="15"/>
        <v>#REF!</v>
      </c>
      <c r="H73" s="143" t="str">
        <f t="shared" si="15"/>
        <v>#REF!</v>
      </c>
      <c r="I73" s="143" t="str">
        <f t="shared" si="15"/>
        <v>#REF!</v>
      </c>
    </row>
    <row r="74" ht="14.25" customHeight="1">
      <c r="A74" s="204" t="str">
        <f t="shared" ref="A74:I74" si="16">'2.3.'!A72</f>
        <v>#REF!</v>
      </c>
      <c r="B74" s="92" t="str">
        <f t="shared" si="16"/>
        <v>#REF!</v>
      </c>
      <c r="C74" s="92" t="str">
        <f t="shared" si="16"/>
        <v>#REF!</v>
      </c>
      <c r="D74" s="204" t="str">
        <f t="shared" si="16"/>
        <v>#REF!</v>
      </c>
      <c r="E74" s="204" t="str">
        <f t="shared" si="16"/>
        <v>#REF!</v>
      </c>
      <c r="F74" s="206" t="str">
        <f t="shared" si="16"/>
        <v>#REF!</v>
      </c>
      <c r="G74" s="221" t="str">
        <f t="shared" si="16"/>
        <v>#REF!</v>
      </c>
      <c r="H74" s="143" t="str">
        <f t="shared" si="16"/>
        <v>#REF!</v>
      </c>
      <c r="I74" s="143" t="str">
        <f t="shared" si="16"/>
        <v>#REF!</v>
      </c>
    </row>
    <row r="75" ht="14.25" customHeight="1">
      <c r="A75" s="204" t="str">
        <f t="shared" ref="A75:I75" si="17">'2.3.'!A73</f>
        <v>#REF!</v>
      </c>
      <c r="B75" s="92" t="str">
        <f t="shared" si="17"/>
        <v>#REF!</v>
      </c>
      <c r="C75" s="92" t="str">
        <f t="shared" si="17"/>
        <v>#REF!</v>
      </c>
      <c r="D75" s="204" t="str">
        <f t="shared" si="17"/>
        <v>#REF!</v>
      </c>
      <c r="E75" s="204" t="str">
        <f t="shared" si="17"/>
        <v>#REF!</v>
      </c>
      <c r="F75" s="206" t="str">
        <f t="shared" si="17"/>
        <v>#REF!</v>
      </c>
      <c r="G75" s="221" t="str">
        <f t="shared" si="17"/>
        <v>#REF!</v>
      </c>
      <c r="H75" s="143" t="str">
        <f t="shared" si="17"/>
        <v>#REF!</v>
      </c>
      <c r="I75" s="143" t="str">
        <f t="shared" si="17"/>
        <v>#REF!</v>
      </c>
    </row>
    <row r="76" ht="14.25" customHeight="1">
      <c r="A76" s="204" t="str">
        <f t="shared" ref="A76:I76" si="18">'2.3.'!A74</f>
        <v>#REF!</v>
      </c>
      <c r="B76" s="92" t="str">
        <f t="shared" si="18"/>
        <v>#REF!</v>
      </c>
      <c r="C76" s="92" t="str">
        <f t="shared" si="18"/>
        <v>#REF!</v>
      </c>
      <c r="D76" s="204" t="str">
        <f t="shared" si="18"/>
        <v>#REF!</v>
      </c>
      <c r="E76" s="204" t="str">
        <f t="shared" si="18"/>
        <v>#REF!</v>
      </c>
      <c r="F76" s="206" t="str">
        <f t="shared" si="18"/>
        <v>#REF!</v>
      </c>
      <c r="G76" s="221" t="str">
        <f t="shared" si="18"/>
        <v>#REF!</v>
      </c>
      <c r="H76" s="143" t="str">
        <f t="shared" si="18"/>
        <v>#REF!</v>
      </c>
      <c r="I76" s="143" t="str">
        <f t="shared" si="18"/>
        <v>#REF!</v>
      </c>
    </row>
    <row r="77" ht="14.25" customHeight="1">
      <c r="A77" s="216" t="str">
        <f t="shared" ref="A77:I77" si="19">'2.3.'!A75</f>
        <v>#REF!</v>
      </c>
      <c r="B77" s="216" t="str">
        <f t="shared" si="19"/>
        <v>#REF!</v>
      </c>
      <c r="C77" s="216" t="str">
        <f t="shared" si="19"/>
        <v>#REF!</v>
      </c>
      <c r="D77" s="216" t="str">
        <f t="shared" si="19"/>
        <v>#REF!</v>
      </c>
      <c r="E77" s="216" t="str">
        <f t="shared" si="19"/>
        <v>#REF!</v>
      </c>
      <c r="F77" s="208" t="str">
        <f t="shared" si="19"/>
        <v>#REF!</v>
      </c>
      <c r="G77" s="3" t="str">
        <f t="shared" si="19"/>
        <v>#REF!</v>
      </c>
      <c r="H77" s="143" t="str">
        <f t="shared" si="19"/>
        <v>#REF!</v>
      </c>
      <c r="I77" s="143" t="str">
        <f t="shared" si="19"/>
        <v>#REF!</v>
      </c>
    </row>
    <row r="78" ht="14.25" customHeight="1">
      <c r="A78" s="222" t="str">
        <f t="shared" ref="A78:I78" si="20">'2.3.'!A76</f>
        <v>#REF!</v>
      </c>
      <c r="B78" s="223" t="str">
        <f t="shared" si="20"/>
        <v>#REF!</v>
      </c>
      <c r="C78" s="223" t="str">
        <f t="shared" si="20"/>
        <v>#REF!</v>
      </c>
      <c r="D78" s="223" t="str">
        <f t="shared" si="20"/>
        <v>#REF!</v>
      </c>
      <c r="E78" s="223" t="str">
        <f t="shared" si="20"/>
        <v>#REF!</v>
      </c>
      <c r="F78" s="223" t="str">
        <f t="shared" si="20"/>
        <v>#REF!</v>
      </c>
      <c r="G78" s="211" t="str">
        <f t="shared" si="20"/>
        <v>#REF!</v>
      </c>
      <c r="H78" s="223" t="str">
        <f t="shared" si="20"/>
        <v>#REF!</v>
      </c>
      <c r="I78" s="224" t="str">
        <f t="shared" si="20"/>
        <v>#REF!</v>
      </c>
    </row>
    <row r="79" ht="14.25" customHeight="1">
      <c r="G79" s="3"/>
    </row>
    <row r="80" ht="14.25" customHeight="1">
      <c r="G80" s="3"/>
    </row>
    <row r="81" ht="23.25" customHeight="1">
      <c r="A81" s="195" t="str">
        <f>'2.4.'!A3</f>
        <v>#REF!</v>
      </c>
      <c r="B81" s="196" t="str">
        <f>'2.1.'!B81</f>
        <v/>
      </c>
      <c r="C81" s="197"/>
      <c r="D81" s="197"/>
      <c r="E81" s="197"/>
      <c r="F81" s="197"/>
      <c r="G81" s="198" t="str">
        <f>'2.1.'!G81</f>
        <v/>
      </c>
      <c r="H81" s="199" t="str">
        <f>'2.1.'!H81</f>
        <v/>
      </c>
      <c r="I81" s="200" t="str">
        <f>'2.1.'!I81</f>
        <v/>
      </c>
    </row>
    <row r="82" ht="14.25" customHeight="1">
      <c r="G82" s="3"/>
    </row>
    <row r="83" ht="14.25" customHeight="1">
      <c r="A83" s="201" t="str">
        <f t="shared" ref="A83:I83" si="21">'2.4.'!A39</f>
        <v>#REF!</v>
      </c>
      <c r="B83" s="94" t="str">
        <f t="shared" si="21"/>
        <v>#REF!</v>
      </c>
      <c r="C83" s="94" t="str">
        <f t="shared" si="21"/>
        <v>#REF!</v>
      </c>
      <c r="D83" s="94" t="str">
        <f t="shared" si="21"/>
        <v>#REF!</v>
      </c>
      <c r="E83" s="94" t="str">
        <f t="shared" si="21"/>
        <v>#REF!</v>
      </c>
      <c r="F83" s="94" t="str">
        <f t="shared" si="21"/>
        <v>#REF!</v>
      </c>
      <c r="G83" s="2" t="str">
        <f t="shared" si="21"/>
        <v>#REF!</v>
      </c>
      <c r="H83" s="94" t="str">
        <f t="shared" si="21"/>
        <v>#REF!</v>
      </c>
      <c r="I83" s="94" t="str">
        <f t="shared" si="21"/>
        <v>#REF!</v>
      </c>
    </row>
    <row r="84" ht="14.25" customHeight="1">
      <c r="A84" s="202" t="str">
        <f t="shared" ref="A84:I84" si="22">'2.4.'!A40</f>
        <v>#REF!</v>
      </c>
      <c r="B84" s="202" t="str">
        <f t="shared" si="22"/>
        <v>#REF!</v>
      </c>
      <c r="C84" s="202" t="str">
        <f t="shared" si="22"/>
        <v>#REF!</v>
      </c>
      <c r="D84" s="202" t="str">
        <f t="shared" si="22"/>
        <v>#REF!</v>
      </c>
      <c r="E84" s="202" t="str">
        <f t="shared" si="22"/>
        <v>#REF!</v>
      </c>
      <c r="F84" s="202" t="str">
        <f t="shared" si="22"/>
        <v>#REF!</v>
      </c>
      <c r="G84" s="4" t="str">
        <f t="shared" si="22"/>
        <v>#REF!</v>
      </c>
      <c r="H84" s="202" t="str">
        <f t="shared" si="22"/>
        <v>#REF!</v>
      </c>
      <c r="I84" s="202" t="str">
        <f t="shared" si="22"/>
        <v>#REF!</v>
      </c>
    </row>
    <row r="85" ht="14.25" customHeight="1">
      <c r="A85" s="204" t="str">
        <f t="shared" ref="A85:I85" si="23">'2.4.'!A41</f>
        <v>#REF!</v>
      </c>
      <c r="B85" s="92" t="str">
        <f t="shared" si="23"/>
        <v>#REF!</v>
      </c>
      <c r="C85" s="92" t="str">
        <f t="shared" si="23"/>
        <v>#REF!</v>
      </c>
      <c r="D85" s="204" t="str">
        <f t="shared" si="23"/>
        <v>#REF!</v>
      </c>
      <c r="E85" s="204" t="str">
        <f t="shared" si="23"/>
        <v>#REF!</v>
      </c>
      <c r="F85" s="206" t="str">
        <f t="shared" si="23"/>
        <v>#REF!</v>
      </c>
      <c r="G85" s="217" t="str">
        <f t="shared" si="23"/>
        <v>#REF!</v>
      </c>
      <c r="H85" s="143" t="str">
        <f t="shared" si="23"/>
        <v>#REF!</v>
      </c>
      <c r="I85" s="143" t="str">
        <f t="shared" si="23"/>
        <v>#REF!</v>
      </c>
    </row>
    <row r="86" ht="14.25" customHeight="1">
      <c r="A86" s="204" t="str">
        <f t="shared" ref="A86:I86" si="24">'2.4.'!A42</f>
        <v>#REF!</v>
      </c>
      <c r="B86" s="92" t="str">
        <f t="shared" si="24"/>
        <v>#REF!</v>
      </c>
      <c r="C86" s="92" t="str">
        <f t="shared" si="24"/>
        <v>#REF!</v>
      </c>
      <c r="D86" s="204" t="str">
        <f t="shared" si="24"/>
        <v>#REF!</v>
      </c>
      <c r="E86" s="204" t="str">
        <f t="shared" si="24"/>
        <v>#REF!</v>
      </c>
      <c r="F86" s="206" t="str">
        <f t="shared" si="24"/>
        <v>#REF!</v>
      </c>
      <c r="G86" s="217" t="str">
        <f t="shared" si="24"/>
        <v>#REF!</v>
      </c>
      <c r="H86" s="143" t="str">
        <f t="shared" si="24"/>
        <v>#REF!</v>
      </c>
      <c r="I86" s="143" t="str">
        <f t="shared" si="24"/>
        <v>#REF!</v>
      </c>
    </row>
    <row r="87" ht="14.25" customHeight="1">
      <c r="A87" s="204" t="str">
        <f t="shared" ref="A87:I87" si="25">'2.4.'!A43</f>
        <v>#REF!</v>
      </c>
      <c r="B87" s="92" t="str">
        <f t="shared" si="25"/>
        <v>#REF!</v>
      </c>
      <c r="C87" s="92" t="str">
        <f t="shared" si="25"/>
        <v>#REF!</v>
      </c>
      <c r="D87" s="204" t="str">
        <f t="shared" si="25"/>
        <v>#REF!</v>
      </c>
      <c r="E87" s="204" t="str">
        <f t="shared" si="25"/>
        <v>#REF!</v>
      </c>
      <c r="F87" s="206" t="str">
        <f t="shared" si="25"/>
        <v>#REF!</v>
      </c>
      <c r="G87" s="217" t="str">
        <f t="shared" si="25"/>
        <v>#REF!</v>
      </c>
      <c r="H87" s="143" t="str">
        <f t="shared" si="25"/>
        <v>#REF!</v>
      </c>
      <c r="I87" s="143" t="str">
        <f t="shared" si="25"/>
        <v>#REF!</v>
      </c>
    </row>
    <row r="88" ht="14.25" customHeight="1">
      <c r="A88" s="204" t="str">
        <f t="shared" ref="A88:I88" si="26">'2.4.'!A44</f>
        <v>#REF!</v>
      </c>
      <c r="B88" s="92" t="str">
        <f t="shared" si="26"/>
        <v>#REF!</v>
      </c>
      <c r="C88" s="92" t="str">
        <f t="shared" si="26"/>
        <v>#REF!</v>
      </c>
      <c r="D88" s="204" t="str">
        <f t="shared" si="26"/>
        <v>#REF!</v>
      </c>
      <c r="E88" s="204" t="str">
        <f t="shared" si="26"/>
        <v>#REF!</v>
      </c>
      <c r="F88" s="206" t="str">
        <f t="shared" si="26"/>
        <v>#REF!</v>
      </c>
      <c r="G88" s="217" t="str">
        <f t="shared" si="26"/>
        <v>#REF!</v>
      </c>
      <c r="H88" s="143" t="str">
        <f t="shared" si="26"/>
        <v>#REF!</v>
      </c>
      <c r="I88" s="143" t="str">
        <f t="shared" si="26"/>
        <v>#REF!</v>
      </c>
    </row>
    <row r="89" ht="14.25" customHeight="1">
      <c r="A89" s="204" t="str">
        <f t="shared" ref="A89:I89" si="27">'2.4.'!A45</f>
        <v>#REF!</v>
      </c>
      <c r="B89" s="92" t="str">
        <f t="shared" si="27"/>
        <v>#REF!</v>
      </c>
      <c r="C89" s="92" t="str">
        <f t="shared" si="27"/>
        <v>#REF!</v>
      </c>
      <c r="D89" s="204" t="str">
        <f t="shared" si="27"/>
        <v>#REF!</v>
      </c>
      <c r="E89" s="204" t="str">
        <f t="shared" si="27"/>
        <v>#REF!</v>
      </c>
      <c r="F89" s="206" t="str">
        <f t="shared" si="27"/>
        <v>#REF!</v>
      </c>
      <c r="G89" s="217" t="str">
        <f t="shared" si="27"/>
        <v>#REF!</v>
      </c>
      <c r="H89" s="143" t="str">
        <f t="shared" si="27"/>
        <v>#REF!</v>
      </c>
      <c r="I89" s="143" t="str">
        <f t="shared" si="27"/>
        <v>#REF!</v>
      </c>
    </row>
    <row r="90" ht="14.25" customHeight="1">
      <c r="A90" s="204" t="str">
        <f t="shared" ref="A90:I90" si="28">'2.4.'!A46</f>
        <v>#REF!</v>
      </c>
      <c r="B90" s="92" t="str">
        <f t="shared" si="28"/>
        <v>#REF!</v>
      </c>
      <c r="C90" s="92" t="str">
        <f t="shared" si="28"/>
        <v>#REF!</v>
      </c>
      <c r="D90" s="204" t="str">
        <f t="shared" si="28"/>
        <v>#REF!</v>
      </c>
      <c r="E90" s="204" t="str">
        <f t="shared" si="28"/>
        <v>#REF!</v>
      </c>
      <c r="F90" s="206" t="str">
        <f t="shared" si="28"/>
        <v>#REF!</v>
      </c>
      <c r="G90" s="217" t="str">
        <f t="shared" si="28"/>
        <v>#REF!</v>
      </c>
      <c r="H90" s="143" t="str">
        <f t="shared" si="28"/>
        <v>#REF!</v>
      </c>
      <c r="I90" s="143" t="str">
        <f t="shared" si="28"/>
        <v>#REF!</v>
      </c>
    </row>
    <row r="91" ht="14.25" customHeight="1">
      <c r="A91" s="216" t="str">
        <f t="shared" ref="A91:I91" si="29">'2.4.'!A47</f>
        <v>#REF!</v>
      </c>
      <c r="B91" s="216" t="str">
        <f t="shared" si="29"/>
        <v>#REF!</v>
      </c>
      <c r="C91" s="216" t="str">
        <f t="shared" si="29"/>
        <v>#REF!</v>
      </c>
      <c r="D91" s="216" t="str">
        <f t="shared" si="29"/>
        <v>#REF!</v>
      </c>
      <c r="E91" s="216" t="str">
        <f t="shared" si="29"/>
        <v>#REF!</v>
      </c>
      <c r="F91" s="208" t="str">
        <f t="shared" si="29"/>
        <v>#REF!</v>
      </c>
      <c r="G91" s="3" t="str">
        <f t="shared" si="29"/>
        <v>#REF!</v>
      </c>
      <c r="H91" s="143" t="str">
        <f t="shared" si="29"/>
        <v>#REF!</v>
      </c>
      <c r="I91" s="143" t="str">
        <f t="shared" si="29"/>
        <v>#REF!</v>
      </c>
    </row>
    <row r="92" ht="14.25" customHeight="1">
      <c r="A92" s="222" t="str">
        <f t="shared" ref="A92:I92" si="30">'2.4.'!A48</f>
        <v>#REF!</v>
      </c>
      <c r="B92" s="223" t="str">
        <f t="shared" si="30"/>
        <v>#REF!</v>
      </c>
      <c r="C92" s="223" t="str">
        <f t="shared" si="30"/>
        <v>#REF!</v>
      </c>
      <c r="D92" s="223" t="str">
        <f t="shared" si="30"/>
        <v>#REF!</v>
      </c>
      <c r="E92" s="223" t="str">
        <f t="shared" si="30"/>
        <v>#REF!</v>
      </c>
      <c r="F92" s="223" t="str">
        <f t="shared" si="30"/>
        <v>#REF!</v>
      </c>
      <c r="G92" s="211" t="str">
        <f t="shared" si="30"/>
        <v>#REF!</v>
      </c>
      <c r="H92" s="223" t="str">
        <f t="shared" si="30"/>
        <v>#REF!</v>
      </c>
      <c r="I92" s="224" t="str">
        <f t="shared" si="30"/>
        <v>#REF!</v>
      </c>
    </row>
    <row r="93" ht="14.25" customHeight="1">
      <c r="G93" s="3"/>
    </row>
    <row r="94" ht="14.25" customHeight="1">
      <c r="G94" s="3"/>
    </row>
    <row r="95" ht="14.25" customHeight="1">
      <c r="A95" s="201" t="str">
        <f t="shared" ref="A95:I95" si="31">'2.4.'!A67</f>
        <v>#REF!</v>
      </c>
      <c r="B95" s="94" t="str">
        <f t="shared" si="31"/>
        <v>#REF!</v>
      </c>
      <c r="C95" s="94" t="str">
        <f t="shared" si="31"/>
        <v>#REF!</v>
      </c>
      <c r="D95" s="94" t="str">
        <f t="shared" si="31"/>
        <v>#REF!</v>
      </c>
      <c r="E95" s="94" t="str">
        <f t="shared" si="31"/>
        <v>#REF!</v>
      </c>
      <c r="F95" s="94" t="str">
        <f t="shared" si="31"/>
        <v>#REF!</v>
      </c>
      <c r="G95" s="2" t="str">
        <f t="shared" si="31"/>
        <v>#REF!</v>
      </c>
      <c r="H95" s="94" t="str">
        <f t="shared" si="31"/>
        <v>#REF!</v>
      </c>
      <c r="I95" s="94" t="str">
        <f t="shared" si="31"/>
        <v>#REF!</v>
      </c>
    </row>
    <row r="96" ht="14.25" customHeight="1">
      <c r="A96" s="202" t="str">
        <f t="shared" ref="A96:I96" si="32">'2.4.'!A68</f>
        <v>#REF!</v>
      </c>
      <c r="B96" s="202" t="str">
        <f t="shared" si="32"/>
        <v>#REF!</v>
      </c>
      <c r="C96" s="202" t="str">
        <f t="shared" si="32"/>
        <v>#REF!</v>
      </c>
      <c r="D96" s="202" t="str">
        <f t="shared" si="32"/>
        <v>#REF!</v>
      </c>
      <c r="E96" s="202" t="str">
        <f t="shared" si="32"/>
        <v>#REF!</v>
      </c>
      <c r="F96" s="202" t="str">
        <f t="shared" si="32"/>
        <v>#REF!</v>
      </c>
      <c r="G96" s="4" t="str">
        <f t="shared" si="32"/>
        <v>#REF!</v>
      </c>
      <c r="H96" s="202" t="str">
        <f t="shared" si="32"/>
        <v>#REF!</v>
      </c>
      <c r="I96" s="202" t="str">
        <f t="shared" si="32"/>
        <v>#REF!</v>
      </c>
    </row>
    <row r="97" ht="14.25" customHeight="1">
      <c r="A97" s="204" t="str">
        <f t="shared" ref="A97:I97" si="33">'2.4.'!A69</f>
        <v>#REF!</v>
      </c>
      <c r="B97" s="92" t="str">
        <f t="shared" si="33"/>
        <v>#REF!</v>
      </c>
      <c r="C97" s="92" t="str">
        <f t="shared" si="33"/>
        <v>#REF!</v>
      </c>
      <c r="D97" s="204" t="str">
        <f t="shared" si="33"/>
        <v>#REF!</v>
      </c>
      <c r="E97" s="204" t="str">
        <f t="shared" si="33"/>
        <v>#REF!</v>
      </c>
      <c r="F97" s="206" t="str">
        <f t="shared" si="33"/>
        <v>#REF!</v>
      </c>
      <c r="G97" s="221" t="str">
        <f t="shared" si="33"/>
        <v>#REF!</v>
      </c>
      <c r="H97" s="143" t="str">
        <f t="shared" si="33"/>
        <v>#REF!</v>
      </c>
      <c r="I97" s="143" t="str">
        <f t="shared" si="33"/>
        <v>#REF!</v>
      </c>
    </row>
    <row r="98" ht="14.25" customHeight="1">
      <c r="A98" s="204" t="str">
        <f t="shared" ref="A98:I98" si="34">'2.4.'!A70</f>
        <v>#REF!</v>
      </c>
      <c r="B98" s="92" t="str">
        <f t="shared" si="34"/>
        <v>#REF!</v>
      </c>
      <c r="C98" s="92" t="str">
        <f t="shared" si="34"/>
        <v>#REF!</v>
      </c>
      <c r="D98" s="204" t="str">
        <f t="shared" si="34"/>
        <v>#REF!</v>
      </c>
      <c r="E98" s="204" t="str">
        <f t="shared" si="34"/>
        <v>#REF!</v>
      </c>
      <c r="F98" s="206" t="str">
        <f t="shared" si="34"/>
        <v>#REF!</v>
      </c>
      <c r="G98" s="221" t="str">
        <f t="shared" si="34"/>
        <v>#REF!</v>
      </c>
      <c r="H98" s="143" t="str">
        <f t="shared" si="34"/>
        <v>#REF!</v>
      </c>
      <c r="I98" s="143" t="str">
        <f t="shared" si="34"/>
        <v>#REF!</v>
      </c>
    </row>
    <row r="99" ht="14.25" customHeight="1">
      <c r="A99" s="204" t="str">
        <f t="shared" ref="A99:I99" si="35">'2.4.'!A71</f>
        <v>#REF!</v>
      </c>
      <c r="B99" s="92" t="str">
        <f t="shared" si="35"/>
        <v>#REF!</v>
      </c>
      <c r="C99" s="92" t="str">
        <f t="shared" si="35"/>
        <v>#REF!</v>
      </c>
      <c r="D99" s="204" t="str">
        <f t="shared" si="35"/>
        <v>#REF!</v>
      </c>
      <c r="E99" s="204" t="str">
        <f t="shared" si="35"/>
        <v>#REF!</v>
      </c>
      <c r="F99" s="206" t="str">
        <f t="shared" si="35"/>
        <v>#REF!</v>
      </c>
      <c r="G99" s="221" t="str">
        <f t="shared" si="35"/>
        <v>#REF!</v>
      </c>
      <c r="H99" s="143" t="str">
        <f t="shared" si="35"/>
        <v>#REF!</v>
      </c>
      <c r="I99" s="143" t="str">
        <f t="shared" si="35"/>
        <v>#REF!</v>
      </c>
    </row>
    <row r="100" ht="14.25" customHeight="1">
      <c r="A100" s="204" t="str">
        <f t="shared" ref="A100:I100" si="36">'2.4.'!A72</f>
        <v>#REF!</v>
      </c>
      <c r="B100" s="92" t="str">
        <f t="shared" si="36"/>
        <v>#REF!</v>
      </c>
      <c r="C100" s="92" t="str">
        <f t="shared" si="36"/>
        <v>#REF!</v>
      </c>
      <c r="D100" s="204" t="str">
        <f t="shared" si="36"/>
        <v>#REF!</v>
      </c>
      <c r="E100" s="204" t="str">
        <f t="shared" si="36"/>
        <v>#REF!</v>
      </c>
      <c r="F100" s="206" t="str">
        <f t="shared" si="36"/>
        <v>#REF!</v>
      </c>
      <c r="G100" s="221" t="str">
        <f t="shared" si="36"/>
        <v>#REF!</v>
      </c>
      <c r="H100" s="143" t="str">
        <f t="shared" si="36"/>
        <v>#REF!</v>
      </c>
      <c r="I100" s="143" t="str">
        <f t="shared" si="36"/>
        <v>#REF!</v>
      </c>
    </row>
    <row r="101" ht="14.25" customHeight="1">
      <c r="A101" s="204" t="str">
        <f t="shared" ref="A101:I101" si="37">'2.4.'!A73</f>
        <v>#REF!</v>
      </c>
      <c r="B101" s="92" t="str">
        <f t="shared" si="37"/>
        <v>#REF!</v>
      </c>
      <c r="C101" s="92" t="str">
        <f t="shared" si="37"/>
        <v>#REF!</v>
      </c>
      <c r="D101" s="204" t="str">
        <f t="shared" si="37"/>
        <v>#REF!</v>
      </c>
      <c r="E101" s="204" t="str">
        <f t="shared" si="37"/>
        <v>#REF!</v>
      </c>
      <c r="F101" s="206" t="str">
        <f t="shared" si="37"/>
        <v>#REF!</v>
      </c>
      <c r="G101" s="221" t="str">
        <f t="shared" si="37"/>
        <v>#REF!</v>
      </c>
      <c r="H101" s="143" t="str">
        <f t="shared" si="37"/>
        <v>#REF!</v>
      </c>
      <c r="I101" s="143" t="str">
        <f t="shared" si="37"/>
        <v>#REF!</v>
      </c>
    </row>
    <row r="102" ht="14.25" customHeight="1">
      <c r="A102" s="204" t="str">
        <f t="shared" ref="A102:I102" si="38">'2.4.'!A74</f>
        <v>#REF!</v>
      </c>
      <c r="B102" s="92" t="str">
        <f t="shared" si="38"/>
        <v>#REF!</v>
      </c>
      <c r="C102" s="92" t="str">
        <f t="shared" si="38"/>
        <v>#REF!</v>
      </c>
      <c r="D102" s="204" t="str">
        <f t="shared" si="38"/>
        <v>#REF!</v>
      </c>
      <c r="E102" s="204" t="str">
        <f t="shared" si="38"/>
        <v>#REF!</v>
      </c>
      <c r="F102" s="206" t="str">
        <f t="shared" si="38"/>
        <v>#REF!</v>
      </c>
      <c r="G102" s="221" t="str">
        <f t="shared" si="38"/>
        <v>#REF!</v>
      </c>
      <c r="H102" s="143" t="str">
        <f t="shared" si="38"/>
        <v>#REF!</v>
      </c>
      <c r="I102" s="143" t="str">
        <f t="shared" si="38"/>
        <v>#REF!</v>
      </c>
    </row>
    <row r="103" ht="14.25" customHeight="1">
      <c r="A103" s="216" t="str">
        <f t="shared" ref="A103:I103" si="39">'2.4.'!A75</f>
        <v>#REF!</v>
      </c>
      <c r="B103" s="216" t="str">
        <f t="shared" si="39"/>
        <v>#REF!</v>
      </c>
      <c r="C103" s="216" t="str">
        <f t="shared" si="39"/>
        <v>#REF!</v>
      </c>
      <c r="D103" s="216" t="str">
        <f t="shared" si="39"/>
        <v>#REF!</v>
      </c>
      <c r="E103" s="216" t="str">
        <f t="shared" si="39"/>
        <v>#REF!</v>
      </c>
      <c r="F103" s="208" t="str">
        <f t="shared" si="39"/>
        <v>#REF!</v>
      </c>
      <c r="G103" s="3" t="str">
        <f t="shared" si="39"/>
        <v>#REF!</v>
      </c>
      <c r="H103" s="143" t="str">
        <f t="shared" si="39"/>
        <v>#REF!</v>
      </c>
      <c r="I103" s="143" t="str">
        <f t="shared" si="39"/>
        <v>#REF!</v>
      </c>
    </row>
    <row r="104" ht="14.25" customHeight="1">
      <c r="A104" s="222" t="str">
        <f t="shared" ref="A104:I104" si="40">'2.4.'!A76</f>
        <v>#REF!</v>
      </c>
      <c r="B104" s="223" t="str">
        <f t="shared" si="40"/>
        <v>#REF!</v>
      </c>
      <c r="C104" s="223" t="str">
        <f t="shared" si="40"/>
        <v>#REF!</v>
      </c>
      <c r="D104" s="223" t="str">
        <f t="shared" si="40"/>
        <v>#REF!</v>
      </c>
      <c r="E104" s="223" t="str">
        <f t="shared" si="40"/>
        <v>#REF!</v>
      </c>
      <c r="F104" s="223" t="str">
        <f t="shared" si="40"/>
        <v>#REF!</v>
      </c>
      <c r="G104" s="211" t="str">
        <f t="shared" si="40"/>
        <v>#REF!</v>
      </c>
      <c r="H104" s="223" t="str">
        <f t="shared" si="40"/>
        <v>#REF!</v>
      </c>
      <c r="I104" s="224" t="str">
        <f t="shared" si="40"/>
        <v>#REF!</v>
      </c>
    </row>
    <row r="105" ht="14.25" customHeight="1">
      <c r="G105" s="3"/>
    </row>
    <row r="106" ht="14.25" customHeight="1">
      <c r="G106" s="3"/>
    </row>
    <row r="107" ht="23.25" customHeight="1">
      <c r="A107" s="195" t="str">
        <f>'2.5.'!A3</f>
        <v>#REF!</v>
      </c>
      <c r="B107" s="196" t="str">
        <f>'2.1.'!B107</f>
        <v/>
      </c>
      <c r="C107" s="197"/>
      <c r="D107" s="197"/>
      <c r="E107" s="197"/>
      <c r="F107" s="197"/>
      <c r="G107" s="198" t="str">
        <f>'2.1.'!G107</f>
        <v/>
      </c>
      <c r="H107" s="199" t="str">
        <f>'2.1.'!H107</f>
        <v/>
      </c>
      <c r="I107" s="200" t="str">
        <f>'2.1.'!I107</f>
        <v/>
      </c>
    </row>
    <row r="108" ht="14.25" customHeight="1">
      <c r="G108" s="3"/>
    </row>
    <row r="109" ht="14.25" customHeight="1">
      <c r="A109" s="201" t="str">
        <f t="shared" ref="A109:I109" si="41">'2.5.'!A39</f>
        <v>#REF!</v>
      </c>
      <c r="B109" s="94" t="str">
        <f t="shared" si="41"/>
        <v>#REF!</v>
      </c>
      <c r="C109" s="94" t="str">
        <f t="shared" si="41"/>
        <v>#REF!</v>
      </c>
      <c r="D109" s="94" t="str">
        <f t="shared" si="41"/>
        <v>#REF!</v>
      </c>
      <c r="E109" s="94" t="str">
        <f t="shared" si="41"/>
        <v>#REF!</v>
      </c>
      <c r="F109" s="94" t="str">
        <f t="shared" si="41"/>
        <v>#REF!</v>
      </c>
      <c r="G109" s="2" t="str">
        <f t="shared" si="41"/>
        <v>#REF!</v>
      </c>
      <c r="H109" s="94" t="str">
        <f t="shared" si="41"/>
        <v>#REF!</v>
      </c>
      <c r="I109" s="94" t="str">
        <f t="shared" si="41"/>
        <v>#REF!</v>
      </c>
    </row>
    <row r="110" ht="14.25" customHeight="1">
      <c r="A110" s="202" t="str">
        <f t="shared" ref="A110:I110" si="42">'2.5.'!A40</f>
        <v>#REF!</v>
      </c>
      <c r="B110" s="202" t="str">
        <f t="shared" si="42"/>
        <v>#REF!</v>
      </c>
      <c r="C110" s="202" t="str">
        <f t="shared" si="42"/>
        <v>#REF!</v>
      </c>
      <c r="D110" s="202" t="str">
        <f t="shared" si="42"/>
        <v>#REF!</v>
      </c>
      <c r="E110" s="202" t="str">
        <f t="shared" si="42"/>
        <v>#REF!</v>
      </c>
      <c r="F110" s="202" t="str">
        <f t="shared" si="42"/>
        <v>#REF!</v>
      </c>
      <c r="G110" s="4" t="str">
        <f t="shared" si="42"/>
        <v>#REF!</v>
      </c>
      <c r="H110" s="202" t="str">
        <f t="shared" si="42"/>
        <v>#REF!</v>
      </c>
      <c r="I110" s="202" t="str">
        <f t="shared" si="42"/>
        <v>#REF!</v>
      </c>
    </row>
    <row r="111" ht="14.25" customHeight="1">
      <c r="A111" s="204" t="str">
        <f t="shared" ref="A111:I111" si="43">'2.5.'!A41</f>
        <v>#REF!</v>
      </c>
      <c r="B111" s="92" t="str">
        <f t="shared" si="43"/>
        <v>#REF!</v>
      </c>
      <c r="C111" s="92" t="str">
        <f t="shared" si="43"/>
        <v>#REF!</v>
      </c>
      <c r="D111" s="204" t="str">
        <f t="shared" si="43"/>
        <v>#REF!</v>
      </c>
      <c r="E111" s="204" t="str">
        <f t="shared" si="43"/>
        <v>#REF!</v>
      </c>
      <c r="F111" s="206" t="str">
        <f t="shared" si="43"/>
        <v>#REF!</v>
      </c>
      <c r="G111" s="217" t="str">
        <f t="shared" si="43"/>
        <v>#REF!</v>
      </c>
      <c r="H111" s="143" t="str">
        <f t="shared" si="43"/>
        <v>#REF!</v>
      </c>
      <c r="I111" s="143" t="str">
        <f t="shared" si="43"/>
        <v>#REF!</v>
      </c>
    </row>
    <row r="112" ht="14.25" customHeight="1">
      <c r="A112" s="204" t="str">
        <f t="shared" ref="A112:I112" si="44">'2.5.'!A42</f>
        <v>#REF!</v>
      </c>
      <c r="B112" s="92" t="str">
        <f t="shared" si="44"/>
        <v>#REF!</v>
      </c>
      <c r="C112" s="92" t="str">
        <f t="shared" si="44"/>
        <v>#REF!</v>
      </c>
      <c r="D112" s="204" t="str">
        <f t="shared" si="44"/>
        <v>#REF!</v>
      </c>
      <c r="E112" s="204" t="str">
        <f t="shared" si="44"/>
        <v>#REF!</v>
      </c>
      <c r="F112" s="206" t="str">
        <f t="shared" si="44"/>
        <v>#REF!</v>
      </c>
      <c r="G112" s="217" t="str">
        <f t="shared" si="44"/>
        <v>#REF!</v>
      </c>
      <c r="H112" s="143" t="str">
        <f t="shared" si="44"/>
        <v>#REF!</v>
      </c>
      <c r="I112" s="143" t="str">
        <f t="shared" si="44"/>
        <v>#REF!</v>
      </c>
    </row>
    <row r="113" ht="14.25" customHeight="1">
      <c r="A113" s="204" t="str">
        <f t="shared" ref="A113:I113" si="45">'2.5.'!A43</f>
        <v>#REF!</v>
      </c>
      <c r="B113" s="92" t="str">
        <f t="shared" si="45"/>
        <v>#REF!</v>
      </c>
      <c r="C113" s="92" t="str">
        <f t="shared" si="45"/>
        <v>#REF!</v>
      </c>
      <c r="D113" s="204" t="str">
        <f t="shared" si="45"/>
        <v>#REF!</v>
      </c>
      <c r="E113" s="204" t="str">
        <f t="shared" si="45"/>
        <v>#REF!</v>
      </c>
      <c r="F113" s="206" t="str">
        <f t="shared" si="45"/>
        <v>#REF!</v>
      </c>
      <c r="G113" s="217" t="str">
        <f t="shared" si="45"/>
        <v>#REF!</v>
      </c>
      <c r="H113" s="143" t="str">
        <f t="shared" si="45"/>
        <v>#REF!</v>
      </c>
      <c r="I113" s="143" t="str">
        <f t="shared" si="45"/>
        <v>#REF!</v>
      </c>
    </row>
    <row r="114" ht="14.25" customHeight="1">
      <c r="A114" s="204" t="str">
        <f t="shared" ref="A114:I114" si="46">'2.5.'!A44</f>
        <v>#REF!</v>
      </c>
      <c r="B114" s="92" t="str">
        <f t="shared" si="46"/>
        <v>#REF!</v>
      </c>
      <c r="C114" s="92" t="str">
        <f t="shared" si="46"/>
        <v>#REF!</v>
      </c>
      <c r="D114" s="204" t="str">
        <f t="shared" si="46"/>
        <v>#REF!</v>
      </c>
      <c r="E114" s="204" t="str">
        <f t="shared" si="46"/>
        <v>#REF!</v>
      </c>
      <c r="F114" s="206" t="str">
        <f t="shared" si="46"/>
        <v>#REF!</v>
      </c>
      <c r="G114" s="217" t="str">
        <f t="shared" si="46"/>
        <v>#REF!</v>
      </c>
      <c r="H114" s="143" t="str">
        <f t="shared" si="46"/>
        <v>#REF!</v>
      </c>
      <c r="I114" s="143" t="str">
        <f t="shared" si="46"/>
        <v>#REF!</v>
      </c>
    </row>
    <row r="115" ht="14.25" customHeight="1">
      <c r="A115" s="204" t="str">
        <f t="shared" ref="A115:I115" si="47">'2.5.'!A45</f>
        <v>#REF!</v>
      </c>
      <c r="B115" s="92" t="str">
        <f t="shared" si="47"/>
        <v>#REF!</v>
      </c>
      <c r="C115" s="92" t="str">
        <f t="shared" si="47"/>
        <v>#REF!</v>
      </c>
      <c r="D115" s="204" t="str">
        <f t="shared" si="47"/>
        <v>#REF!</v>
      </c>
      <c r="E115" s="204" t="str">
        <f t="shared" si="47"/>
        <v>#REF!</v>
      </c>
      <c r="F115" s="206" t="str">
        <f t="shared" si="47"/>
        <v>#REF!</v>
      </c>
      <c r="G115" s="217" t="str">
        <f t="shared" si="47"/>
        <v>#REF!</v>
      </c>
      <c r="H115" s="143" t="str">
        <f t="shared" si="47"/>
        <v>#REF!</v>
      </c>
      <c r="I115" s="143" t="str">
        <f t="shared" si="47"/>
        <v>#REF!</v>
      </c>
    </row>
    <row r="116" ht="14.25" customHeight="1">
      <c r="A116" s="204" t="str">
        <f t="shared" ref="A116:I116" si="48">'2.5.'!A46</f>
        <v>#REF!</v>
      </c>
      <c r="B116" s="92" t="str">
        <f t="shared" si="48"/>
        <v>#REF!</v>
      </c>
      <c r="C116" s="92" t="str">
        <f t="shared" si="48"/>
        <v>#REF!</v>
      </c>
      <c r="D116" s="204" t="str">
        <f t="shared" si="48"/>
        <v>#REF!</v>
      </c>
      <c r="E116" s="204" t="str">
        <f t="shared" si="48"/>
        <v>#REF!</v>
      </c>
      <c r="F116" s="206" t="str">
        <f t="shared" si="48"/>
        <v>#REF!</v>
      </c>
      <c r="G116" s="217" t="str">
        <f t="shared" si="48"/>
        <v>#REF!</v>
      </c>
      <c r="H116" s="143" t="str">
        <f t="shared" si="48"/>
        <v>#REF!</v>
      </c>
      <c r="I116" s="143" t="str">
        <f t="shared" si="48"/>
        <v>#REF!</v>
      </c>
    </row>
    <row r="117" ht="14.25" customHeight="1">
      <c r="A117" s="216" t="str">
        <f t="shared" ref="A117:I117" si="49">'2.5.'!A47</f>
        <v>#REF!</v>
      </c>
      <c r="B117" s="216" t="str">
        <f t="shared" si="49"/>
        <v>#REF!</v>
      </c>
      <c r="C117" s="216" t="str">
        <f t="shared" si="49"/>
        <v>#REF!</v>
      </c>
      <c r="D117" s="216" t="str">
        <f t="shared" si="49"/>
        <v>#REF!</v>
      </c>
      <c r="E117" s="216" t="str">
        <f t="shared" si="49"/>
        <v>#REF!</v>
      </c>
      <c r="F117" s="208" t="str">
        <f t="shared" si="49"/>
        <v>#REF!</v>
      </c>
      <c r="G117" s="3" t="str">
        <f t="shared" si="49"/>
        <v>#REF!</v>
      </c>
      <c r="H117" s="143" t="str">
        <f t="shared" si="49"/>
        <v>#REF!</v>
      </c>
      <c r="I117" s="143" t="str">
        <f t="shared" si="49"/>
        <v>#REF!</v>
      </c>
    </row>
    <row r="118" ht="14.25" customHeight="1">
      <c r="A118" s="222" t="str">
        <f t="shared" ref="A118:I118" si="50">'2.5.'!A48</f>
        <v>#REF!</v>
      </c>
      <c r="B118" s="223" t="str">
        <f t="shared" si="50"/>
        <v>#REF!</v>
      </c>
      <c r="C118" s="223" t="str">
        <f t="shared" si="50"/>
        <v>#REF!</v>
      </c>
      <c r="D118" s="223" t="str">
        <f t="shared" si="50"/>
        <v>#REF!</v>
      </c>
      <c r="E118" s="223" t="str">
        <f t="shared" si="50"/>
        <v>#REF!</v>
      </c>
      <c r="F118" s="223" t="str">
        <f t="shared" si="50"/>
        <v>#REF!</v>
      </c>
      <c r="G118" s="211" t="str">
        <f t="shared" si="50"/>
        <v>#REF!</v>
      </c>
      <c r="H118" s="223" t="str">
        <f t="shared" si="50"/>
        <v>#REF!</v>
      </c>
      <c r="I118" s="224" t="str">
        <f t="shared" si="50"/>
        <v>#REF!</v>
      </c>
    </row>
    <row r="119" ht="14.25" customHeight="1">
      <c r="G119" s="3"/>
    </row>
    <row r="120" ht="14.25" customHeight="1">
      <c r="G120" s="3"/>
    </row>
    <row r="121" ht="14.25" customHeight="1">
      <c r="A121" s="201" t="str">
        <f t="shared" ref="A121:I121" si="51">'2.5.'!A67</f>
        <v>#REF!</v>
      </c>
      <c r="B121" s="94" t="str">
        <f t="shared" si="51"/>
        <v>#REF!</v>
      </c>
      <c r="C121" s="94" t="str">
        <f t="shared" si="51"/>
        <v>#REF!</v>
      </c>
      <c r="D121" s="94" t="str">
        <f t="shared" si="51"/>
        <v>#REF!</v>
      </c>
      <c r="E121" s="94" t="str">
        <f t="shared" si="51"/>
        <v>#REF!</v>
      </c>
      <c r="F121" s="94" t="str">
        <f t="shared" si="51"/>
        <v>#REF!</v>
      </c>
      <c r="G121" s="2" t="str">
        <f t="shared" si="51"/>
        <v>#REF!</v>
      </c>
      <c r="H121" s="94" t="str">
        <f t="shared" si="51"/>
        <v>#REF!</v>
      </c>
      <c r="I121" s="94" t="str">
        <f t="shared" si="51"/>
        <v>#REF!</v>
      </c>
    </row>
    <row r="122" ht="14.25" customHeight="1">
      <c r="A122" s="202" t="str">
        <f t="shared" ref="A122:I122" si="52">'2.5.'!A68</f>
        <v>#REF!</v>
      </c>
      <c r="B122" s="202" t="str">
        <f t="shared" si="52"/>
        <v>#REF!</v>
      </c>
      <c r="C122" s="202" t="str">
        <f t="shared" si="52"/>
        <v>#REF!</v>
      </c>
      <c r="D122" s="202" t="str">
        <f t="shared" si="52"/>
        <v>#REF!</v>
      </c>
      <c r="E122" s="202" t="str">
        <f t="shared" si="52"/>
        <v>#REF!</v>
      </c>
      <c r="F122" s="202" t="str">
        <f t="shared" si="52"/>
        <v>#REF!</v>
      </c>
      <c r="G122" s="4" t="str">
        <f t="shared" si="52"/>
        <v>#REF!</v>
      </c>
      <c r="H122" s="202" t="str">
        <f t="shared" si="52"/>
        <v>#REF!</v>
      </c>
      <c r="I122" s="202" t="str">
        <f t="shared" si="52"/>
        <v>#REF!</v>
      </c>
    </row>
    <row r="123" ht="14.25" customHeight="1">
      <c r="A123" s="204" t="str">
        <f t="shared" ref="A123:I123" si="53">'2.5.'!A69</f>
        <v>#REF!</v>
      </c>
      <c r="B123" s="92" t="str">
        <f t="shared" si="53"/>
        <v>#REF!</v>
      </c>
      <c r="C123" s="92" t="str">
        <f t="shared" si="53"/>
        <v>#REF!</v>
      </c>
      <c r="D123" s="204" t="str">
        <f t="shared" si="53"/>
        <v>#REF!</v>
      </c>
      <c r="E123" s="204" t="str">
        <f t="shared" si="53"/>
        <v>#REF!</v>
      </c>
      <c r="F123" s="206" t="str">
        <f t="shared" si="53"/>
        <v>#REF!</v>
      </c>
      <c r="G123" s="221" t="str">
        <f t="shared" si="53"/>
        <v>#REF!</v>
      </c>
      <c r="H123" s="143" t="str">
        <f t="shared" si="53"/>
        <v>#REF!</v>
      </c>
      <c r="I123" s="143" t="str">
        <f t="shared" si="53"/>
        <v>#REF!</v>
      </c>
    </row>
    <row r="124" ht="14.25" customHeight="1">
      <c r="A124" s="204" t="str">
        <f t="shared" ref="A124:I124" si="54">'2.5.'!A70</f>
        <v>#REF!</v>
      </c>
      <c r="B124" s="92" t="str">
        <f t="shared" si="54"/>
        <v>#REF!</v>
      </c>
      <c r="C124" s="92" t="str">
        <f t="shared" si="54"/>
        <v>#REF!</v>
      </c>
      <c r="D124" s="204" t="str">
        <f t="shared" si="54"/>
        <v>#REF!</v>
      </c>
      <c r="E124" s="204" t="str">
        <f t="shared" si="54"/>
        <v>#REF!</v>
      </c>
      <c r="F124" s="206" t="str">
        <f t="shared" si="54"/>
        <v>#REF!</v>
      </c>
      <c r="G124" s="221" t="str">
        <f t="shared" si="54"/>
        <v>#REF!</v>
      </c>
      <c r="H124" s="143" t="str">
        <f t="shared" si="54"/>
        <v>#REF!</v>
      </c>
      <c r="I124" s="143" t="str">
        <f t="shared" si="54"/>
        <v>#REF!</v>
      </c>
    </row>
    <row r="125" ht="14.25" customHeight="1">
      <c r="A125" s="204" t="str">
        <f t="shared" ref="A125:I125" si="55">'2.5.'!A71</f>
        <v>#REF!</v>
      </c>
      <c r="B125" s="92" t="str">
        <f t="shared" si="55"/>
        <v>#REF!</v>
      </c>
      <c r="C125" s="92" t="str">
        <f t="shared" si="55"/>
        <v>#REF!</v>
      </c>
      <c r="D125" s="204" t="str">
        <f t="shared" si="55"/>
        <v>#REF!</v>
      </c>
      <c r="E125" s="204" t="str">
        <f t="shared" si="55"/>
        <v>#REF!</v>
      </c>
      <c r="F125" s="206" t="str">
        <f t="shared" si="55"/>
        <v>#REF!</v>
      </c>
      <c r="G125" s="221" t="str">
        <f t="shared" si="55"/>
        <v>#REF!</v>
      </c>
      <c r="H125" s="143" t="str">
        <f t="shared" si="55"/>
        <v>#REF!</v>
      </c>
      <c r="I125" s="143" t="str">
        <f t="shared" si="55"/>
        <v>#REF!</v>
      </c>
    </row>
    <row r="126" ht="14.25" customHeight="1">
      <c r="A126" s="204" t="str">
        <f t="shared" ref="A126:I126" si="56">'2.5.'!A72</f>
        <v>#REF!</v>
      </c>
      <c r="B126" s="92" t="str">
        <f t="shared" si="56"/>
        <v>#REF!</v>
      </c>
      <c r="C126" s="92" t="str">
        <f t="shared" si="56"/>
        <v>#REF!</v>
      </c>
      <c r="D126" s="204" t="str">
        <f t="shared" si="56"/>
        <v>#REF!</v>
      </c>
      <c r="E126" s="204" t="str">
        <f t="shared" si="56"/>
        <v>#REF!</v>
      </c>
      <c r="F126" s="206" t="str">
        <f t="shared" si="56"/>
        <v>#REF!</v>
      </c>
      <c r="G126" s="221" t="str">
        <f t="shared" si="56"/>
        <v>#REF!</v>
      </c>
      <c r="H126" s="143" t="str">
        <f t="shared" si="56"/>
        <v>#REF!</v>
      </c>
      <c r="I126" s="143" t="str">
        <f t="shared" si="56"/>
        <v>#REF!</v>
      </c>
    </row>
    <row r="127" ht="14.25" customHeight="1">
      <c r="A127" s="204" t="str">
        <f t="shared" ref="A127:I127" si="57">'2.5.'!A73</f>
        <v>#REF!</v>
      </c>
      <c r="B127" s="92" t="str">
        <f t="shared" si="57"/>
        <v>#REF!</v>
      </c>
      <c r="C127" s="92" t="str">
        <f t="shared" si="57"/>
        <v>#REF!</v>
      </c>
      <c r="D127" s="204" t="str">
        <f t="shared" si="57"/>
        <v>#REF!</v>
      </c>
      <c r="E127" s="204" t="str">
        <f t="shared" si="57"/>
        <v>#REF!</v>
      </c>
      <c r="F127" s="206" t="str">
        <f t="shared" si="57"/>
        <v>#REF!</v>
      </c>
      <c r="G127" s="221" t="str">
        <f t="shared" si="57"/>
        <v>#REF!</v>
      </c>
      <c r="H127" s="143" t="str">
        <f t="shared" si="57"/>
        <v>#REF!</v>
      </c>
      <c r="I127" s="143" t="str">
        <f t="shared" si="57"/>
        <v>#REF!</v>
      </c>
    </row>
    <row r="128" ht="14.25" customHeight="1">
      <c r="A128" s="204" t="str">
        <f t="shared" ref="A128:I128" si="58">'2.5.'!A74</f>
        <v>#REF!</v>
      </c>
      <c r="B128" s="92" t="str">
        <f t="shared" si="58"/>
        <v>#REF!</v>
      </c>
      <c r="C128" s="92" t="str">
        <f t="shared" si="58"/>
        <v>#REF!</v>
      </c>
      <c r="D128" s="204" t="str">
        <f t="shared" si="58"/>
        <v>#REF!</v>
      </c>
      <c r="E128" s="204" t="str">
        <f t="shared" si="58"/>
        <v>#REF!</v>
      </c>
      <c r="F128" s="206" t="str">
        <f t="shared" si="58"/>
        <v>#REF!</v>
      </c>
      <c r="G128" s="221" t="str">
        <f t="shared" si="58"/>
        <v>#REF!</v>
      </c>
      <c r="H128" s="143" t="str">
        <f t="shared" si="58"/>
        <v>#REF!</v>
      </c>
      <c r="I128" s="143" t="str">
        <f t="shared" si="58"/>
        <v>#REF!</v>
      </c>
    </row>
    <row r="129" ht="14.25" customHeight="1">
      <c r="A129" s="216" t="str">
        <f t="shared" ref="A129:I129" si="59">'2.5.'!A75</f>
        <v>#REF!</v>
      </c>
      <c r="B129" s="216" t="str">
        <f t="shared" si="59"/>
        <v>#REF!</v>
      </c>
      <c r="C129" s="216" t="str">
        <f t="shared" si="59"/>
        <v>#REF!</v>
      </c>
      <c r="D129" s="216" t="str">
        <f t="shared" si="59"/>
        <v>#REF!</v>
      </c>
      <c r="E129" s="216" t="str">
        <f t="shared" si="59"/>
        <v>#REF!</v>
      </c>
      <c r="F129" s="208" t="str">
        <f t="shared" si="59"/>
        <v>#REF!</v>
      </c>
      <c r="G129" s="3" t="str">
        <f t="shared" si="59"/>
        <v>#REF!</v>
      </c>
      <c r="H129" s="143" t="str">
        <f t="shared" si="59"/>
        <v>#REF!</v>
      </c>
      <c r="I129" s="143" t="str">
        <f t="shared" si="59"/>
        <v>#REF!</v>
      </c>
    </row>
    <row r="130" ht="14.25" customHeight="1">
      <c r="A130" s="222" t="str">
        <f t="shared" ref="A130:I130" si="60">'2.5.'!A76</f>
        <v>#REF!</v>
      </c>
      <c r="B130" s="223" t="str">
        <f t="shared" si="60"/>
        <v>#REF!</v>
      </c>
      <c r="C130" s="223" t="str">
        <f t="shared" si="60"/>
        <v>#REF!</v>
      </c>
      <c r="D130" s="223" t="str">
        <f t="shared" si="60"/>
        <v>#REF!</v>
      </c>
      <c r="E130" s="223" t="str">
        <f t="shared" si="60"/>
        <v>#REF!</v>
      </c>
      <c r="F130" s="223" t="str">
        <f t="shared" si="60"/>
        <v>#REF!</v>
      </c>
      <c r="G130" s="211" t="str">
        <f t="shared" si="60"/>
        <v>#REF!</v>
      </c>
      <c r="H130" s="223" t="str">
        <f t="shared" si="60"/>
        <v>#REF!</v>
      </c>
      <c r="I130" s="224" t="str">
        <f t="shared" si="60"/>
        <v>#REF!</v>
      </c>
    </row>
    <row r="131" ht="14.25" customHeight="1">
      <c r="G131" s="3"/>
    </row>
    <row r="132" ht="14.25" customHeight="1">
      <c r="G132" s="3"/>
    </row>
    <row r="133" ht="23.25" customHeight="1">
      <c r="A133" s="195" t="str">
        <f>'2.6.'!A3</f>
        <v>#REF!</v>
      </c>
      <c r="B133" s="196" t="str">
        <f>'2.1.'!B133</f>
        <v/>
      </c>
      <c r="C133" s="197"/>
      <c r="D133" s="197"/>
      <c r="E133" s="197"/>
      <c r="F133" s="197"/>
      <c r="G133" s="198" t="str">
        <f>'2.1.'!G133</f>
        <v/>
      </c>
      <c r="H133" s="199" t="str">
        <f>'2.1.'!H133</f>
        <v/>
      </c>
      <c r="I133" s="200" t="str">
        <f>'2.1.'!I133</f>
        <v/>
      </c>
    </row>
    <row r="134" ht="14.25" customHeight="1">
      <c r="G134" s="3"/>
    </row>
    <row r="135" ht="14.25" customHeight="1">
      <c r="A135" s="201" t="str">
        <f t="shared" ref="A135:I135" si="61">'2.6.'!A39</f>
        <v>#REF!</v>
      </c>
      <c r="B135" s="94" t="str">
        <f t="shared" si="61"/>
        <v>#REF!</v>
      </c>
      <c r="C135" s="94" t="str">
        <f t="shared" si="61"/>
        <v>#REF!</v>
      </c>
      <c r="D135" s="94" t="str">
        <f t="shared" si="61"/>
        <v>#REF!</v>
      </c>
      <c r="E135" s="94" t="str">
        <f t="shared" si="61"/>
        <v>#REF!</v>
      </c>
      <c r="F135" s="94" t="str">
        <f t="shared" si="61"/>
        <v>#REF!</v>
      </c>
      <c r="G135" s="2" t="str">
        <f t="shared" si="61"/>
        <v>#REF!</v>
      </c>
      <c r="H135" s="94" t="str">
        <f t="shared" si="61"/>
        <v>#REF!</v>
      </c>
      <c r="I135" s="94" t="str">
        <f t="shared" si="61"/>
        <v>#REF!</v>
      </c>
    </row>
    <row r="136" ht="14.25" customHeight="1">
      <c r="A136" s="202" t="str">
        <f t="shared" ref="A136:I136" si="62">'2.6.'!A40</f>
        <v>#REF!</v>
      </c>
      <c r="B136" s="202" t="str">
        <f t="shared" si="62"/>
        <v>#REF!</v>
      </c>
      <c r="C136" s="202" t="str">
        <f t="shared" si="62"/>
        <v>#REF!</v>
      </c>
      <c r="D136" s="202" t="str">
        <f t="shared" si="62"/>
        <v>#REF!</v>
      </c>
      <c r="E136" s="202" t="str">
        <f t="shared" si="62"/>
        <v>#REF!</v>
      </c>
      <c r="F136" s="202" t="str">
        <f t="shared" si="62"/>
        <v>#REF!</v>
      </c>
      <c r="G136" s="4" t="str">
        <f t="shared" si="62"/>
        <v>#REF!</v>
      </c>
      <c r="H136" s="202" t="str">
        <f t="shared" si="62"/>
        <v>#REF!</v>
      </c>
      <c r="I136" s="202" t="str">
        <f t="shared" si="62"/>
        <v>#REF!</v>
      </c>
    </row>
    <row r="137" ht="14.25" customHeight="1">
      <c r="A137" s="204" t="str">
        <f t="shared" ref="A137:I137" si="63">'2.6.'!A41</f>
        <v>#REF!</v>
      </c>
      <c r="B137" s="92" t="str">
        <f t="shared" si="63"/>
        <v>#REF!</v>
      </c>
      <c r="C137" s="92" t="str">
        <f t="shared" si="63"/>
        <v>#REF!</v>
      </c>
      <c r="D137" s="204" t="str">
        <f t="shared" si="63"/>
        <v>#REF!</v>
      </c>
      <c r="E137" s="204" t="str">
        <f t="shared" si="63"/>
        <v>#REF!</v>
      </c>
      <c r="F137" s="206" t="str">
        <f t="shared" si="63"/>
        <v>#REF!</v>
      </c>
      <c r="G137" s="217" t="str">
        <f t="shared" si="63"/>
        <v>#REF!</v>
      </c>
      <c r="H137" s="143" t="str">
        <f t="shared" si="63"/>
        <v>#REF!</v>
      </c>
      <c r="I137" s="143" t="str">
        <f t="shared" si="63"/>
        <v>#REF!</v>
      </c>
    </row>
    <row r="138" ht="14.25" customHeight="1">
      <c r="A138" s="204" t="str">
        <f t="shared" ref="A138:I138" si="64">'2.6.'!A42</f>
        <v>#REF!</v>
      </c>
      <c r="B138" s="92" t="str">
        <f t="shared" si="64"/>
        <v>#REF!</v>
      </c>
      <c r="C138" s="92" t="str">
        <f t="shared" si="64"/>
        <v>#REF!</v>
      </c>
      <c r="D138" s="204" t="str">
        <f t="shared" si="64"/>
        <v>#REF!</v>
      </c>
      <c r="E138" s="204" t="str">
        <f t="shared" si="64"/>
        <v>#REF!</v>
      </c>
      <c r="F138" s="206" t="str">
        <f t="shared" si="64"/>
        <v>#REF!</v>
      </c>
      <c r="G138" s="217" t="str">
        <f t="shared" si="64"/>
        <v>#REF!</v>
      </c>
      <c r="H138" s="143" t="str">
        <f t="shared" si="64"/>
        <v>#REF!</v>
      </c>
      <c r="I138" s="143" t="str">
        <f t="shared" si="64"/>
        <v>#REF!</v>
      </c>
    </row>
    <row r="139" ht="14.25" customHeight="1">
      <c r="A139" s="204" t="str">
        <f t="shared" ref="A139:I139" si="65">'2.6.'!A43</f>
        <v>#REF!</v>
      </c>
      <c r="B139" s="92" t="str">
        <f t="shared" si="65"/>
        <v>#REF!</v>
      </c>
      <c r="C139" s="92" t="str">
        <f t="shared" si="65"/>
        <v>#REF!</v>
      </c>
      <c r="D139" s="204" t="str">
        <f t="shared" si="65"/>
        <v>#REF!</v>
      </c>
      <c r="E139" s="204" t="str">
        <f t="shared" si="65"/>
        <v>#REF!</v>
      </c>
      <c r="F139" s="206" t="str">
        <f t="shared" si="65"/>
        <v>#REF!</v>
      </c>
      <c r="G139" s="217" t="str">
        <f t="shared" si="65"/>
        <v>#REF!</v>
      </c>
      <c r="H139" s="143" t="str">
        <f t="shared" si="65"/>
        <v>#REF!</v>
      </c>
      <c r="I139" s="143" t="str">
        <f t="shared" si="65"/>
        <v>#REF!</v>
      </c>
    </row>
    <row r="140" ht="14.25" customHeight="1">
      <c r="A140" s="204" t="str">
        <f t="shared" ref="A140:I140" si="66">'2.6.'!A44</f>
        <v>#REF!</v>
      </c>
      <c r="B140" s="92" t="str">
        <f t="shared" si="66"/>
        <v>#REF!</v>
      </c>
      <c r="C140" s="92" t="str">
        <f t="shared" si="66"/>
        <v>#REF!</v>
      </c>
      <c r="D140" s="204" t="str">
        <f t="shared" si="66"/>
        <v>#REF!</v>
      </c>
      <c r="E140" s="204" t="str">
        <f t="shared" si="66"/>
        <v>#REF!</v>
      </c>
      <c r="F140" s="206" t="str">
        <f t="shared" si="66"/>
        <v>#REF!</v>
      </c>
      <c r="G140" s="217" t="str">
        <f t="shared" si="66"/>
        <v>#REF!</v>
      </c>
      <c r="H140" s="143" t="str">
        <f t="shared" si="66"/>
        <v>#REF!</v>
      </c>
      <c r="I140" s="143" t="str">
        <f t="shared" si="66"/>
        <v>#REF!</v>
      </c>
    </row>
    <row r="141" ht="14.25" customHeight="1">
      <c r="A141" s="204" t="str">
        <f t="shared" ref="A141:I141" si="67">'2.6.'!A45</f>
        <v>#REF!</v>
      </c>
      <c r="B141" s="92" t="str">
        <f t="shared" si="67"/>
        <v>#REF!</v>
      </c>
      <c r="C141" s="92" t="str">
        <f t="shared" si="67"/>
        <v>#REF!</v>
      </c>
      <c r="D141" s="204" t="str">
        <f t="shared" si="67"/>
        <v>#REF!</v>
      </c>
      <c r="E141" s="204" t="str">
        <f t="shared" si="67"/>
        <v>#REF!</v>
      </c>
      <c r="F141" s="206" t="str">
        <f t="shared" si="67"/>
        <v>#REF!</v>
      </c>
      <c r="G141" s="217" t="str">
        <f t="shared" si="67"/>
        <v>#REF!</v>
      </c>
      <c r="H141" s="143" t="str">
        <f t="shared" si="67"/>
        <v>#REF!</v>
      </c>
      <c r="I141" s="143" t="str">
        <f t="shared" si="67"/>
        <v>#REF!</v>
      </c>
    </row>
    <row r="142" ht="14.25" customHeight="1">
      <c r="A142" s="204" t="str">
        <f t="shared" ref="A142:I142" si="68">'2.6.'!A46</f>
        <v>#REF!</v>
      </c>
      <c r="B142" s="92" t="str">
        <f t="shared" si="68"/>
        <v>#REF!</v>
      </c>
      <c r="C142" s="92" t="str">
        <f t="shared" si="68"/>
        <v>#REF!</v>
      </c>
      <c r="D142" s="204" t="str">
        <f t="shared" si="68"/>
        <v>#REF!</v>
      </c>
      <c r="E142" s="204" t="str">
        <f t="shared" si="68"/>
        <v>#REF!</v>
      </c>
      <c r="F142" s="206" t="str">
        <f t="shared" si="68"/>
        <v>#REF!</v>
      </c>
      <c r="G142" s="217" t="str">
        <f t="shared" si="68"/>
        <v>#REF!</v>
      </c>
      <c r="H142" s="143" t="str">
        <f t="shared" si="68"/>
        <v>#REF!</v>
      </c>
      <c r="I142" s="143" t="str">
        <f t="shared" si="68"/>
        <v>#REF!</v>
      </c>
    </row>
    <row r="143" ht="14.25" customHeight="1">
      <c r="A143" s="216" t="str">
        <f t="shared" ref="A143:I143" si="69">'2.6.'!A47</f>
        <v>#REF!</v>
      </c>
      <c r="B143" s="216" t="str">
        <f t="shared" si="69"/>
        <v>#REF!</v>
      </c>
      <c r="C143" s="216" t="str">
        <f t="shared" si="69"/>
        <v>#REF!</v>
      </c>
      <c r="D143" s="216" t="str">
        <f t="shared" si="69"/>
        <v>#REF!</v>
      </c>
      <c r="E143" s="216" t="str">
        <f t="shared" si="69"/>
        <v>#REF!</v>
      </c>
      <c r="F143" s="208" t="str">
        <f t="shared" si="69"/>
        <v>#REF!</v>
      </c>
      <c r="G143" s="3" t="str">
        <f t="shared" si="69"/>
        <v>#REF!</v>
      </c>
      <c r="H143" s="143" t="str">
        <f t="shared" si="69"/>
        <v>#REF!</v>
      </c>
      <c r="I143" s="143" t="str">
        <f t="shared" si="69"/>
        <v>#REF!</v>
      </c>
    </row>
    <row r="144" ht="14.25" customHeight="1">
      <c r="A144" s="222" t="str">
        <f t="shared" ref="A144:I144" si="70">'2.6.'!A48</f>
        <v>#REF!</v>
      </c>
      <c r="B144" s="223" t="str">
        <f t="shared" si="70"/>
        <v>#REF!</v>
      </c>
      <c r="C144" s="223" t="str">
        <f t="shared" si="70"/>
        <v>#REF!</v>
      </c>
      <c r="D144" s="223" t="str">
        <f t="shared" si="70"/>
        <v>#REF!</v>
      </c>
      <c r="E144" s="223" t="str">
        <f t="shared" si="70"/>
        <v>#REF!</v>
      </c>
      <c r="F144" s="223" t="str">
        <f t="shared" si="70"/>
        <v>#REF!</v>
      </c>
      <c r="G144" s="211" t="str">
        <f t="shared" si="70"/>
        <v>#REF!</v>
      </c>
      <c r="H144" s="223" t="str">
        <f t="shared" si="70"/>
        <v>#REF!</v>
      </c>
      <c r="I144" s="224" t="str">
        <f t="shared" si="70"/>
        <v>#REF!</v>
      </c>
    </row>
    <row r="145" ht="14.25" customHeight="1">
      <c r="G145" s="3"/>
    </row>
    <row r="146" ht="14.25" customHeight="1">
      <c r="G146" s="3"/>
    </row>
    <row r="147" ht="14.25" customHeight="1">
      <c r="A147" s="201" t="str">
        <f t="shared" ref="A147:I147" si="71">'2.6.'!A67</f>
        <v>#REF!</v>
      </c>
      <c r="B147" s="94" t="str">
        <f t="shared" si="71"/>
        <v>#REF!</v>
      </c>
      <c r="C147" s="94" t="str">
        <f t="shared" si="71"/>
        <v>#REF!</v>
      </c>
      <c r="D147" s="94" t="str">
        <f t="shared" si="71"/>
        <v>#REF!</v>
      </c>
      <c r="E147" s="94" t="str">
        <f t="shared" si="71"/>
        <v>#REF!</v>
      </c>
      <c r="F147" s="94" t="str">
        <f t="shared" si="71"/>
        <v>#REF!</v>
      </c>
      <c r="G147" s="2" t="str">
        <f t="shared" si="71"/>
        <v>#REF!</v>
      </c>
      <c r="H147" s="94" t="str">
        <f t="shared" si="71"/>
        <v>#REF!</v>
      </c>
      <c r="I147" s="94" t="str">
        <f t="shared" si="71"/>
        <v>#REF!</v>
      </c>
    </row>
    <row r="148" ht="14.25" customHeight="1">
      <c r="A148" s="202" t="str">
        <f t="shared" ref="A148:I148" si="72">'2.6.'!A68</f>
        <v>#REF!</v>
      </c>
      <c r="B148" s="202" t="str">
        <f t="shared" si="72"/>
        <v>#REF!</v>
      </c>
      <c r="C148" s="202" t="str">
        <f t="shared" si="72"/>
        <v>#REF!</v>
      </c>
      <c r="D148" s="202" t="str">
        <f t="shared" si="72"/>
        <v>#REF!</v>
      </c>
      <c r="E148" s="202" t="str">
        <f t="shared" si="72"/>
        <v>#REF!</v>
      </c>
      <c r="F148" s="202" t="str">
        <f t="shared" si="72"/>
        <v>#REF!</v>
      </c>
      <c r="G148" s="4" t="str">
        <f t="shared" si="72"/>
        <v>#REF!</v>
      </c>
      <c r="H148" s="202" t="str">
        <f t="shared" si="72"/>
        <v>#REF!</v>
      </c>
      <c r="I148" s="202" t="str">
        <f t="shared" si="72"/>
        <v>#REF!</v>
      </c>
    </row>
    <row r="149" ht="14.25" customHeight="1">
      <c r="A149" s="204" t="str">
        <f t="shared" ref="A149:I149" si="73">'2.6.'!A69</f>
        <v>#REF!</v>
      </c>
      <c r="B149" s="92" t="str">
        <f t="shared" si="73"/>
        <v>#REF!</v>
      </c>
      <c r="C149" s="92" t="str">
        <f t="shared" si="73"/>
        <v>#REF!</v>
      </c>
      <c r="D149" s="204" t="str">
        <f t="shared" si="73"/>
        <v>#REF!</v>
      </c>
      <c r="E149" s="204" t="str">
        <f t="shared" si="73"/>
        <v>#REF!</v>
      </c>
      <c r="F149" s="206" t="str">
        <f t="shared" si="73"/>
        <v>#REF!</v>
      </c>
      <c r="G149" s="221" t="str">
        <f t="shared" si="73"/>
        <v>#REF!</v>
      </c>
      <c r="H149" s="143" t="str">
        <f t="shared" si="73"/>
        <v>#REF!</v>
      </c>
      <c r="I149" s="143" t="str">
        <f t="shared" si="73"/>
        <v>#REF!</v>
      </c>
    </row>
    <row r="150" ht="14.25" customHeight="1">
      <c r="A150" s="204" t="str">
        <f t="shared" ref="A150:I150" si="74">'2.6.'!A70</f>
        <v>#REF!</v>
      </c>
      <c r="B150" s="92" t="str">
        <f t="shared" si="74"/>
        <v>#REF!</v>
      </c>
      <c r="C150" s="92" t="str">
        <f t="shared" si="74"/>
        <v>#REF!</v>
      </c>
      <c r="D150" s="204" t="str">
        <f t="shared" si="74"/>
        <v>#REF!</v>
      </c>
      <c r="E150" s="204" t="str">
        <f t="shared" si="74"/>
        <v>#REF!</v>
      </c>
      <c r="F150" s="206" t="str">
        <f t="shared" si="74"/>
        <v>#REF!</v>
      </c>
      <c r="G150" s="221" t="str">
        <f t="shared" si="74"/>
        <v>#REF!</v>
      </c>
      <c r="H150" s="143" t="str">
        <f t="shared" si="74"/>
        <v>#REF!</v>
      </c>
      <c r="I150" s="143" t="str">
        <f t="shared" si="74"/>
        <v>#REF!</v>
      </c>
    </row>
    <row r="151" ht="14.25" customHeight="1">
      <c r="A151" s="204" t="str">
        <f t="shared" ref="A151:I151" si="75">'2.6.'!A71</f>
        <v>#REF!</v>
      </c>
      <c r="B151" s="92" t="str">
        <f t="shared" si="75"/>
        <v>#REF!</v>
      </c>
      <c r="C151" s="92" t="str">
        <f t="shared" si="75"/>
        <v>#REF!</v>
      </c>
      <c r="D151" s="204" t="str">
        <f t="shared" si="75"/>
        <v>#REF!</v>
      </c>
      <c r="E151" s="204" t="str">
        <f t="shared" si="75"/>
        <v>#REF!</v>
      </c>
      <c r="F151" s="206" t="str">
        <f t="shared" si="75"/>
        <v>#REF!</v>
      </c>
      <c r="G151" s="221" t="str">
        <f t="shared" si="75"/>
        <v>#REF!</v>
      </c>
      <c r="H151" s="143" t="str">
        <f t="shared" si="75"/>
        <v>#REF!</v>
      </c>
      <c r="I151" s="143" t="str">
        <f t="shared" si="75"/>
        <v>#REF!</v>
      </c>
    </row>
    <row r="152" ht="14.25" customHeight="1">
      <c r="A152" s="204" t="str">
        <f t="shared" ref="A152:I152" si="76">'2.6.'!A72</f>
        <v>#REF!</v>
      </c>
      <c r="B152" s="92" t="str">
        <f t="shared" si="76"/>
        <v>#REF!</v>
      </c>
      <c r="C152" s="92" t="str">
        <f t="shared" si="76"/>
        <v>#REF!</v>
      </c>
      <c r="D152" s="204" t="str">
        <f t="shared" si="76"/>
        <v>#REF!</v>
      </c>
      <c r="E152" s="204" t="str">
        <f t="shared" si="76"/>
        <v>#REF!</v>
      </c>
      <c r="F152" s="206" t="str">
        <f t="shared" si="76"/>
        <v>#REF!</v>
      </c>
      <c r="G152" s="221" t="str">
        <f t="shared" si="76"/>
        <v>#REF!</v>
      </c>
      <c r="H152" s="143" t="str">
        <f t="shared" si="76"/>
        <v>#REF!</v>
      </c>
      <c r="I152" s="143" t="str">
        <f t="shared" si="76"/>
        <v>#REF!</v>
      </c>
    </row>
    <row r="153" ht="14.25" customHeight="1">
      <c r="A153" s="204" t="str">
        <f t="shared" ref="A153:I153" si="77">'2.6.'!A73</f>
        <v>#REF!</v>
      </c>
      <c r="B153" s="92" t="str">
        <f t="shared" si="77"/>
        <v>#REF!</v>
      </c>
      <c r="C153" s="92" t="str">
        <f t="shared" si="77"/>
        <v>#REF!</v>
      </c>
      <c r="D153" s="204" t="str">
        <f t="shared" si="77"/>
        <v>#REF!</v>
      </c>
      <c r="E153" s="204" t="str">
        <f t="shared" si="77"/>
        <v>#REF!</v>
      </c>
      <c r="F153" s="206" t="str">
        <f t="shared" si="77"/>
        <v>#REF!</v>
      </c>
      <c r="G153" s="221" t="str">
        <f t="shared" si="77"/>
        <v>#REF!</v>
      </c>
      <c r="H153" s="143" t="str">
        <f t="shared" si="77"/>
        <v>#REF!</v>
      </c>
      <c r="I153" s="143" t="str">
        <f t="shared" si="77"/>
        <v>#REF!</v>
      </c>
    </row>
    <row r="154" ht="14.25" customHeight="1">
      <c r="A154" s="204" t="str">
        <f t="shared" ref="A154:I154" si="78">'2.6.'!A74</f>
        <v>#REF!</v>
      </c>
      <c r="B154" s="92" t="str">
        <f t="shared" si="78"/>
        <v>#REF!</v>
      </c>
      <c r="C154" s="92" t="str">
        <f t="shared" si="78"/>
        <v>#REF!</v>
      </c>
      <c r="D154" s="204" t="str">
        <f t="shared" si="78"/>
        <v>#REF!</v>
      </c>
      <c r="E154" s="204" t="str">
        <f t="shared" si="78"/>
        <v>#REF!</v>
      </c>
      <c r="F154" s="206" t="str">
        <f t="shared" si="78"/>
        <v>#REF!</v>
      </c>
      <c r="G154" s="221" t="str">
        <f t="shared" si="78"/>
        <v>#REF!</v>
      </c>
      <c r="H154" s="143" t="str">
        <f t="shared" si="78"/>
        <v>#REF!</v>
      </c>
      <c r="I154" s="143" t="str">
        <f t="shared" si="78"/>
        <v>#REF!</v>
      </c>
    </row>
    <row r="155" ht="14.25" customHeight="1">
      <c r="A155" s="216" t="str">
        <f t="shared" ref="A155:I155" si="79">'2.6.'!A75</f>
        <v>#REF!</v>
      </c>
      <c r="B155" s="216" t="str">
        <f t="shared" si="79"/>
        <v>#REF!</v>
      </c>
      <c r="C155" s="216" t="str">
        <f t="shared" si="79"/>
        <v>#REF!</v>
      </c>
      <c r="D155" s="216" t="str">
        <f t="shared" si="79"/>
        <v>#REF!</v>
      </c>
      <c r="E155" s="216" t="str">
        <f t="shared" si="79"/>
        <v>#REF!</v>
      </c>
      <c r="F155" s="208" t="str">
        <f t="shared" si="79"/>
        <v>#REF!</v>
      </c>
      <c r="G155" s="3" t="str">
        <f t="shared" si="79"/>
        <v>#REF!</v>
      </c>
      <c r="H155" s="143" t="str">
        <f t="shared" si="79"/>
        <v>#REF!</v>
      </c>
      <c r="I155" s="143" t="str">
        <f t="shared" si="79"/>
        <v>#REF!</v>
      </c>
    </row>
    <row r="156" ht="14.25" customHeight="1">
      <c r="A156" s="222" t="str">
        <f t="shared" ref="A156:I156" si="80">'2.6.'!A76</f>
        <v>#REF!</v>
      </c>
      <c r="B156" s="223" t="str">
        <f t="shared" si="80"/>
        <v>#REF!</v>
      </c>
      <c r="C156" s="223" t="str">
        <f t="shared" si="80"/>
        <v>#REF!</v>
      </c>
      <c r="D156" s="223" t="str">
        <f t="shared" si="80"/>
        <v>#REF!</v>
      </c>
      <c r="E156" s="223" t="str">
        <f t="shared" si="80"/>
        <v>#REF!</v>
      </c>
      <c r="F156" s="223" t="str">
        <f t="shared" si="80"/>
        <v>#REF!</v>
      </c>
      <c r="G156" s="211" t="str">
        <f t="shared" si="80"/>
        <v>#REF!</v>
      </c>
      <c r="H156" s="223" t="str">
        <f t="shared" si="80"/>
        <v>#REF!</v>
      </c>
      <c r="I156" s="224" t="str">
        <f t="shared" si="80"/>
        <v>#REF!</v>
      </c>
    </row>
    <row r="157" ht="14.25" customHeight="1">
      <c r="G157" s="3"/>
    </row>
    <row r="158" ht="14.25" customHeight="1">
      <c r="G158" s="3"/>
    </row>
    <row r="159" ht="23.25" customHeight="1">
      <c r="A159" s="195">
        <f>'2.6'!A3</f>
        <v>46175</v>
      </c>
      <c r="B159" s="196" t="str">
        <f>'2.1.'!B159</f>
        <v/>
      </c>
      <c r="C159" s="197"/>
      <c r="D159" s="197"/>
      <c r="E159" s="197"/>
      <c r="F159" s="197"/>
      <c r="G159" s="198" t="str">
        <f>'2.1.'!G159</f>
        <v/>
      </c>
      <c r="H159" s="199" t="str">
        <f>'2.1.'!H159</f>
        <v/>
      </c>
      <c r="I159" s="200" t="str">
        <f>'2.1.'!I159</f>
        <v/>
      </c>
    </row>
    <row r="160" ht="14.25" customHeight="1">
      <c r="G160" s="3"/>
    </row>
    <row r="161" ht="14.25" customHeight="1">
      <c r="A161" s="201" t="str">
        <f>'2.6'!A39</f>
        <v>MANO DE OBRA - EQUIPOS</v>
      </c>
      <c r="B161" s="94" t="str">
        <f>'2.6'!B39</f>
        <v/>
      </c>
      <c r="C161" s="94" t="str">
        <f>'2.6'!C39</f>
        <v/>
      </c>
      <c r="D161" s="94" t="str">
        <f>'2.6'!D39</f>
        <v/>
      </c>
      <c r="E161" s="94" t="str">
        <f>'2.6'!E39</f>
        <v/>
      </c>
      <c r="F161" s="94" t="str">
        <f>'2.6'!F39</f>
        <v/>
      </c>
      <c r="G161" s="2" t="str">
        <f>'2.6'!G39</f>
        <v/>
      </c>
      <c r="H161" s="94" t="str">
        <f>'2.6'!H39</f>
        <v/>
      </c>
      <c r="I161" s="94" t="str">
        <f>'2.6'!I39</f>
        <v/>
      </c>
    </row>
    <row r="162" ht="14.25" customHeight="1">
      <c r="A162" s="202" t="str">
        <f>'2.6'!A40</f>
        <v>Código</v>
      </c>
      <c r="B162" s="202" t="str">
        <f>'2.6'!B40</f>
        <v>Descripción</v>
      </c>
      <c r="C162" s="202" t="str">
        <f>'2.6'!C40</f>
        <v>Unidad</v>
      </c>
      <c r="D162" s="202" t="str">
        <f>'2.6'!D40</f>
        <v>Cantidad</v>
      </c>
      <c r="E162" s="202" t="str">
        <f>'2.6'!E40</f>
        <v>Dias</v>
      </c>
      <c r="F162" s="202" t="str">
        <f>'2.6'!F40</f>
        <v>Desperdicio</v>
      </c>
      <c r="G162" s="4" t="str">
        <f>'2.6'!G40</f>
        <v>Cantidad + Desperdicio</v>
      </c>
      <c r="H162" s="202" t="str">
        <f>'2.6'!H40</f>
        <v>Precio Unitario</v>
      </c>
      <c r="I162" s="202" t="str">
        <f>'2.6'!I40</f>
        <v>Subtotal</v>
      </c>
    </row>
    <row r="163" ht="14.25" customHeight="1">
      <c r="A163" s="204" t="str">
        <f>'2.6'!A41</f>
        <v/>
      </c>
      <c r="B163" s="92" t="str">
        <f>'2.6'!B41</f>
        <v/>
      </c>
      <c r="C163" s="92" t="str">
        <f>'2.6'!C41</f>
        <v/>
      </c>
      <c r="D163" s="204" t="str">
        <f>'2.6'!D41</f>
        <v/>
      </c>
      <c r="E163" s="204" t="str">
        <f>'2.6'!E41</f>
        <v/>
      </c>
      <c r="F163" s="206" t="str">
        <f>'2.6'!F41</f>
        <v/>
      </c>
      <c r="G163" s="217">
        <f>'2.6'!G41</f>
        <v>0</v>
      </c>
      <c r="H163" s="143" t="str">
        <f>'2.6'!H41</f>
        <v/>
      </c>
      <c r="I163" s="143">
        <f>'2.6'!I41</f>
        <v>0</v>
      </c>
    </row>
    <row r="164" ht="14.25" customHeight="1">
      <c r="A164" s="204" t="str">
        <f>'2.6'!A42</f>
        <v/>
      </c>
      <c r="B164" s="92" t="str">
        <f>'2.6'!B42</f>
        <v/>
      </c>
      <c r="C164" s="92" t="str">
        <f>'2.6'!C42</f>
        <v/>
      </c>
      <c r="D164" s="204" t="str">
        <f>'2.6'!D42</f>
        <v/>
      </c>
      <c r="E164" s="204" t="str">
        <f>'2.6'!E42</f>
        <v/>
      </c>
      <c r="F164" s="206" t="str">
        <f>'2.6'!F42</f>
        <v/>
      </c>
      <c r="G164" s="217">
        <f>'2.6'!G42</f>
        <v>0</v>
      </c>
      <c r="H164" s="143" t="str">
        <f>'2.6'!H42</f>
        <v/>
      </c>
      <c r="I164" s="143" t="str">
        <f>'2.6'!I42</f>
        <v/>
      </c>
    </row>
    <row r="165" ht="14.25" customHeight="1">
      <c r="A165" s="204" t="str">
        <f>'2.6'!A43</f>
        <v/>
      </c>
      <c r="B165" s="92" t="str">
        <f>'2.6'!B43</f>
        <v/>
      </c>
      <c r="C165" s="92" t="str">
        <f>'2.6'!C43</f>
        <v/>
      </c>
      <c r="D165" s="204" t="str">
        <f>'2.6'!D43</f>
        <v/>
      </c>
      <c r="E165" s="204" t="str">
        <f>'2.6'!E43</f>
        <v/>
      </c>
      <c r="F165" s="206" t="str">
        <f>'2.6'!F43</f>
        <v/>
      </c>
      <c r="G165" s="217">
        <f>'2.6'!G43</f>
        <v>0</v>
      </c>
      <c r="H165" s="143" t="str">
        <f>'2.6'!H43</f>
        <v/>
      </c>
      <c r="I165" s="143" t="str">
        <f>'2.6'!I43</f>
        <v/>
      </c>
    </row>
    <row r="166" ht="14.25" customHeight="1">
      <c r="A166" s="204" t="str">
        <f>'2.6'!A44</f>
        <v/>
      </c>
      <c r="B166" s="92" t="str">
        <f>'2.6'!B44</f>
        <v/>
      </c>
      <c r="C166" s="92" t="str">
        <f>'2.6'!C44</f>
        <v/>
      </c>
      <c r="D166" s="204" t="str">
        <f>'2.6'!D44</f>
        <v/>
      </c>
      <c r="E166" s="204" t="str">
        <f>'2.6'!E44</f>
        <v/>
      </c>
      <c r="F166" s="206" t="str">
        <f>'2.6'!F44</f>
        <v/>
      </c>
      <c r="G166" s="217">
        <f>'2.6'!G44</f>
        <v>0</v>
      </c>
      <c r="H166" s="143" t="str">
        <f>'2.6'!H44</f>
        <v/>
      </c>
      <c r="I166" s="143" t="str">
        <f>'2.6'!I44</f>
        <v/>
      </c>
    </row>
    <row r="167" ht="14.25" customHeight="1">
      <c r="A167" s="204" t="str">
        <f>'2.6'!A45</f>
        <v/>
      </c>
      <c r="B167" s="92" t="str">
        <f>'2.6'!B45</f>
        <v/>
      </c>
      <c r="C167" s="92" t="str">
        <f>'2.6'!C45</f>
        <v/>
      </c>
      <c r="D167" s="204" t="str">
        <f>'2.6'!D45</f>
        <v/>
      </c>
      <c r="E167" s="204" t="str">
        <f>'2.6'!E45</f>
        <v/>
      </c>
      <c r="F167" s="206" t="str">
        <f>'2.6'!F45</f>
        <v/>
      </c>
      <c r="G167" s="217">
        <f>'2.6'!G45</f>
        <v>0</v>
      </c>
      <c r="H167" s="143" t="str">
        <f>'2.6'!H45</f>
        <v/>
      </c>
      <c r="I167" s="143" t="str">
        <f>'2.6'!I45</f>
        <v/>
      </c>
    </row>
    <row r="168" ht="14.25" customHeight="1">
      <c r="A168" s="204" t="str">
        <f>'2.6'!A46</f>
        <v/>
      </c>
      <c r="B168" s="92" t="str">
        <f>'2.6'!B46</f>
        <v/>
      </c>
      <c r="C168" s="92" t="str">
        <f>'2.6'!C46</f>
        <v/>
      </c>
      <c r="D168" s="204" t="str">
        <f>'2.6'!D46</f>
        <v/>
      </c>
      <c r="E168" s="204" t="str">
        <f>'2.6'!E46</f>
        <v/>
      </c>
      <c r="F168" s="206" t="str">
        <f>'2.6'!F46</f>
        <v/>
      </c>
      <c r="G168" s="217">
        <f>'2.6'!G46</f>
        <v>0</v>
      </c>
      <c r="H168" s="143" t="str">
        <f>'2.6'!H46</f>
        <v/>
      </c>
      <c r="I168" s="143" t="str">
        <f>'2.6'!I46</f>
        <v/>
      </c>
    </row>
    <row r="169" ht="14.25" customHeight="1">
      <c r="A169" s="216" t="str">
        <f>'2.6'!A47</f>
        <v/>
      </c>
      <c r="B169" s="216" t="str">
        <f>'2.6'!B47</f>
        <v/>
      </c>
      <c r="C169" s="216" t="str">
        <f>'2.6'!C47</f>
        <v/>
      </c>
      <c r="D169" s="216" t="str">
        <f>'2.6'!D47</f>
        <v/>
      </c>
      <c r="E169" s="216" t="str">
        <f>'2.6'!E47</f>
        <v/>
      </c>
      <c r="F169" s="208" t="str">
        <f>'2.6'!F47</f>
        <v/>
      </c>
      <c r="G169" s="3" t="str">
        <f>'2.6'!G47</f>
        <v/>
      </c>
      <c r="H169" s="143" t="str">
        <f>'2.6'!H47</f>
        <v/>
      </c>
      <c r="I169" s="143" t="str">
        <f>'2.6'!I47</f>
        <v/>
      </c>
    </row>
    <row r="170" ht="14.25" customHeight="1">
      <c r="A170" s="222" t="str">
        <f>'2.6'!A48</f>
        <v>TOTAL</v>
      </c>
      <c r="B170" s="223" t="str">
        <f>'2.6'!B48</f>
        <v/>
      </c>
      <c r="C170" s="223" t="str">
        <f>'2.6'!C48</f>
        <v/>
      </c>
      <c r="D170" s="223" t="str">
        <f>'2.6'!D48</f>
        <v/>
      </c>
      <c r="E170" s="223" t="str">
        <f>'2.6'!E48</f>
        <v/>
      </c>
      <c r="F170" s="223" t="str">
        <f>'2.6'!F48</f>
        <v/>
      </c>
      <c r="G170" s="211" t="str">
        <f>'2.6'!G48</f>
        <v/>
      </c>
      <c r="H170" s="223" t="str">
        <f>'2.6'!H48</f>
        <v/>
      </c>
      <c r="I170" s="224">
        <f>'2.6'!I48</f>
        <v>0</v>
      </c>
    </row>
    <row r="171" ht="14.25" customHeight="1">
      <c r="G171" s="3"/>
    </row>
    <row r="172" ht="14.25" customHeight="1">
      <c r="G172" s="3"/>
    </row>
    <row r="173" ht="14.25" customHeight="1">
      <c r="A173" s="201" t="str">
        <f>'2.6'!A67</f>
        <v>MANO DE OBRA - SUBCONTRATOS</v>
      </c>
      <c r="B173" s="94" t="str">
        <f>'2.6'!B67</f>
        <v/>
      </c>
      <c r="C173" s="94" t="str">
        <f>'2.6'!C67</f>
        <v/>
      </c>
      <c r="D173" s="94" t="str">
        <f>'2.6'!D67</f>
        <v/>
      </c>
      <c r="E173" s="94" t="str">
        <f>'2.6'!E67</f>
        <v/>
      </c>
      <c r="F173" s="94" t="str">
        <f>'2.6'!F67</f>
        <v/>
      </c>
      <c r="G173" s="2" t="str">
        <f>'2.6'!G67</f>
        <v/>
      </c>
      <c r="H173" s="94" t="str">
        <f>'2.6'!H67</f>
        <v/>
      </c>
      <c r="I173" s="94" t="str">
        <f>'2.6'!I67</f>
        <v/>
      </c>
    </row>
    <row r="174" ht="14.25" customHeight="1">
      <c r="A174" s="202" t="str">
        <f>'2.6'!A68</f>
        <v>Código</v>
      </c>
      <c r="B174" s="202" t="str">
        <f>'2.6'!B68</f>
        <v>Descripción</v>
      </c>
      <c r="C174" s="202" t="str">
        <f>'2.6'!C68</f>
        <v>Unidad</v>
      </c>
      <c r="D174" s="202" t="str">
        <f>'2.6'!D68</f>
        <v>Cantidad</v>
      </c>
      <c r="E174" s="202" t="str">
        <f>'2.6'!E68</f>
        <v>Dias</v>
      </c>
      <c r="F174" s="202" t="str">
        <f>'2.6'!F68</f>
        <v>Desperdicio</v>
      </c>
      <c r="G174" s="4" t="str">
        <f>'2.6'!G68</f>
        <v>Cantidad + Desperdicio</v>
      </c>
      <c r="H174" s="202" t="str">
        <f>'2.6'!H68</f>
        <v>Precio Unitario</v>
      </c>
      <c r="I174" s="202" t="str">
        <f>'2.6'!I68</f>
        <v>Subtotal</v>
      </c>
    </row>
    <row r="175" ht="14.25" customHeight="1">
      <c r="A175" s="204" t="str">
        <f>'2.6'!A69</f>
        <v/>
      </c>
      <c r="B175" s="92" t="str">
        <f>'2.6'!B69</f>
        <v/>
      </c>
      <c r="C175" s="92" t="str">
        <f>'2.6'!C69</f>
        <v/>
      </c>
      <c r="D175" s="204" t="str">
        <f>'2.6'!D69</f>
        <v/>
      </c>
      <c r="E175" s="204" t="str">
        <f>'2.6'!E69</f>
        <v/>
      </c>
      <c r="F175" s="206" t="str">
        <f>'2.6'!F69</f>
        <v/>
      </c>
      <c r="G175" s="221">
        <f>'2.6'!G69</f>
        <v>0</v>
      </c>
      <c r="H175" s="143" t="str">
        <f>'2.6'!H69</f>
        <v/>
      </c>
      <c r="I175" s="143" t="str">
        <f>'2.6'!I69</f>
        <v/>
      </c>
    </row>
    <row r="176" ht="14.25" customHeight="1">
      <c r="A176" s="204" t="str">
        <f>'2.6'!A70</f>
        <v/>
      </c>
      <c r="B176" s="92" t="str">
        <f>'2.6'!B70</f>
        <v/>
      </c>
      <c r="C176" s="92" t="str">
        <f>'2.6'!C70</f>
        <v/>
      </c>
      <c r="D176" s="204" t="str">
        <f>'2.6'!D70</f>
        <v/>
      </c>
      <c r="E176" s="204" t="str">
        <f>'2.6'!E70</f>
        <v/>
      </c>
      <c r="F176" s="206" t="str">
        <f>'2.6'!F70</f>
        <v/>
      </c>
      <c r="G176" s="221">
        <f>'2.6'!G70</f>
        <v>0</v>
      </c>
      <c r="H176" s="143" t="str">
        <f>'2.6'!H70</f>
        <v/>
      </c>
      <c r="I176" s="143" t="str">
        <f>'2.6'!I70</f>
        <v/>
      </c>
    </row>
    <row r="177" ht="14.25" customHeight="1">
      <c r="A177" s="204" t="str">
        <f>'2.6'!A71</f>
        <v/>
      </c>
      <c r="B177" s="92" t="str">
        <f>'2.6'!B71</f>
        <v/>
      </c>
      <c r="C177" s="92" t="str">
        <f>'2.6'!C71</f>
        <v/>
      </c>
      <c r="D177" s="204" t="str">
        <f>'2.6'!D71</f>
        <v/>
      </c>
      <c r="E177" s="204" t="str">
        <f>'2.6'!E71</f>
        <v/>
      </c>
      <c r="F177" s="206" t="str">
        <f>'2.6'!F71</f>
        <v/>
      </c>
      <c r="G177" s="221">
        <f>'2.6'!G71</f>
        <v>0</v>
      </c>
      <c r="H177" s="143" t="str">
        <f>'2.6'!H71</f>
        <v/>
      </c>
      <c r="I177" s="143" t="str">
        <f>'2.6'!I71</f>
        <v/>
      </c>
    </row>
    <row r="178" ht="14.25" customHeight="1">
      <c r="A178" s="204" t="str">
        <f>'2.6'!A72</f>
        <v/>
      </c>
      <c r="B178" s="92" t="str">
        <f>'2.6'!B72</f>
        <v/>
      </c>
      <c r="C178" s="92" t="str">
        <f>'2.6'!C72</f>
        <v/>
      </c>
      <c r="D178" s="204" t="str">
        <f>'2.6'!D72</f>
        <v/>
      </c>
      <c r="E178" s="204" t="str">
        <f>'2.6'!E72</f>
        <v/>
      </c>
      <c r="F178" s="206" t="str">
        <f>'2.6'!F72</f>
        <v/>
      </c>
      <c r="G178" s="221">
        <f>'2.6'!G72</f>
        <v>0</v>
      </c>
      <c r="H178" s="143" t="str">
        <f>'2.6'!H72</f>
        <v/>
      </c>
      <c r="I178" s="143" t="str">
        <f>'2.6'!I72</f>
        <v/>
      </c>
    </row>
    <row r="179" ht="14.25" customHeight="1">
      <c r="A179" s="204" t="str">
        <f>'2.6'!A73</f>
        <v/>
      </c>
      <c r="B179" s="92" t="str">
        <f>'2.6'!B73</f>
        <v/>
      </c>
      <c r="C179" s="92" t="str">
        <f>'2.6'!C73</f>
        <v/>
      </c>
      <c r="D179" s="204" t="str">
        <f>'2.6'!D73</f>
        <v/>
      </c>
      <c r="E179" s="204" t="str">
        <f>'2.6'!E73</f>
        <v/>
      </c>
      <c r="F179" s="206" t="str">
        <f>'2.6'!F73</f>
        <v/>
      </c>
      <c r="G179" s="221">
        <f>'2.6'!G73</f>
        <v>0</v>
      </c>
      <c r="H179" s="143" t="str">
        <f>'2.6'!H73</f>
        <v/>
      </c>
      <c r="I179" s="143" t="str">
        <f>'2.6'!I73</f>
        <v/>
      </c>
    </row>
    <row r="180" ht="14.25" customHeight="1">
      <c r="A180" s="204" t="str">
        <f>'2.6'!A74</f>
        <v/>
      </c>
      <c r="B180" s="92" t="str">
        <f>'2.6'!B74</f>
        <v/>
      </c>
      <c r="C180" s="92" t="str">
        <f>'2.6'!C74</f>
        <v/>
      </c>
      <c r="D180" s="204" t="str">
        <f>'2.6'!D74</f>
        <v/>
      </c>
      <c r="E180" s="204" t="str">
        <f>'2.6'!E74</f>
        <v/>
      </c>
      <c r="F180" s="206" t="str">
        <f>'2.6'!F74</f>
        <v/>
      </c>
      <c r="G180" s="221">
        <f>'2.6'!G74</f>
        <v>0</v>
      </c>
      <c r="H180" s="143" t="str">
        <f>'2.6'!H74</f>
        <v/>
      </c>
      <c r="I180" s="143" t="str">
        <f>'2.6'!I74</f>
        <v/>
      </c>
    </row>
    <row r="181" ht="14.25" customHeight="1">
      <c r="A181" s="216" t="str">
        <f>'2.6'!A75</f>
        <v/>
      </c>
      <c r="B181" s="216" t="str">
        <f>'2.6'!B75</f>
        <v/>
      </c>
      <c r="C181" s="216" t="str">
        <f>'2.6'!C75</f>
        <v/>
      </c>
      <c r="D181" s="216" t="str">
        <f>'2.6'!D75</f>
        <v/>
      </c>
      <c r="E181" s="216" t="str">
        <f>'2.6'!E75</f>
        <v/>
      </c>
      <c r="F181" s="208" t="str">
        <f>'2.6'!F75</f>
        <v/>
      </c>
      <c r="G181" s="3" t="str">
        <f>'2.6'!G75</f>
        <v/>
      </c>
      <c r="H181" s="143" t="str">
        <f>'2.6'!H75</f>
        <v/>
      </c>
      <c r="I181" s="143" t="str">
        <f>'2.6'!I75</f>
        <v/>
      </c>
    </row>
    <row r="182" ht="14.25" customHeight="1">
      <c r="A182" s="222" t="str">
        <f>'2.6'!A76</f>
        <v>TOTAL</v>
      </c>
      <c r="B182" s="223" t="str">
        <f>'2.6'!B76</f>
        <v/>
      </c>
      <c r="C182" s="223" t="str">
        <f>'2.6'!C76</f>
        <v/>
      </c>
      <c r="D182" s="223" t="str">
        <f>'2.6'!D76</f>
        <v/>
      </c>
      <c r="E182" s="223" t="str">
        <f>'2.6'!E76</f>
        <v/>
      </c>
      <c r="F182" s="223" t="str">
        <f>'2.6'!F76</f>
        <v/>
      </c>
      <c r="G182" s="211" t="str">
        <f>'2.6'!G76</f>
        <v/>
      </c>
      <c r="H182" s="223" t="str">
        <f>'2.6'!H76</f>
        <v/>
      </c>
      <c r="I182" s="224">
        <f>'2.6'!I76</f>
        <v>0</v>
      </c>
    </row>
    <row r="183" ht="14.25" customHeight="1">
      <c r="G183" s="3"/>
    </row>
    <row r="184" ht="14.25" customHeight="1">
      <c r="G184" s="3"/>
    </row>
    <row r="185" ht="23.25" customHeight="1">
      <c r="A185" s="195">
        <f>'2.7'!A3</f>
        <v>46205</v>
      </c>
      <c r="B185" s="196" t="str">
        <f>'2.1.'!B185</f>
        <v/>
      </c>
      <c r="C185" s="197"/>
      <c r="D185" s="197"/>
      <c r="E185" s="197"/>
      <c r="F185" s="197"/>
      <c r="G185" s="198" t="str">
        <f>'2.1.'!G185</f>
        <v/>
      </c>
      <c r="H185" s="199" t="str">
        <f>'2.1.'!H185</f>
        <v/>
      </c>
      <c r="I185" s="200" t="str">
        <f>'2.1.'!I185</f>
        <v/>
      </c>
    </row>
    <row r="186" ht="14.25" customHeight="1">
      <c r="G186" s="3"/>
    </row>
    <row r="187" ht="14.25" customHeight="1">
      <c r="A187" s="201" t="str">
        <f>'2.7'!A39</f>
        <v>MANO DE OBRA - EQUIPOS</v>
      </c>
      <c r="B187" s="94" t="str">
        <f>'2.7'!B39</f>
        <v/>
      </c>
      <c r="C187" s="94" t="str">
        <f>'2.7'!C39</f>
        <v/>
      </c>
      <c r="D187" s="94" t="str">
        <f>'2.7'!D39</f>
        <v/>
      </c>
      <c r="E187" s="94" t="str">
        <f>'2.7'!E39</f>
        <v/>
      </c>
      <c r="F187" s="94" t="str">
        <f>'2.7'!F39</f>
        <v/>
      </c>
      <c r="G187" s="2" t="str">
        <f>'2.7'!G39</f>
        <v/>
      </c>
      <c r="H187" s="94" t="str">
        <f>'2.7'!H39</f>
        <v/>
      </c>
      <c r="I187" s="94" t="str">
        <f>'2.7'!I39</f>
        <v/>
      </c>
    </row>
    <row r="188" ht="14.25" customHeight="1">
      <c r="A188" s="202" t="str">
        <f>'2.7'!A40</f>
        <v>Código</v>
      </c>
      <c r="B188" s="202" t="str">
        <f>'2.7'!B40</f>
        <v>Descripción</v>
      </c>
      <c r="C188" s="202" t="str">
        <f>'2.7'!C40</f>
        <v>Unidad</v>
      </c>
      <c r="D188" s="202" t="str">
        <f>'2.7'!D40</f>
        <v>Cantidad</v>
      </c>
      <c r="E188" s="202" t="str">
        <f>'2.7'!E40</f>
        <v>Dias</v>
      </c>
      <c r="F188" s="202" t="str">
        <f>'2.7'!F40</f>
        <v>Desperdicio</v>
      </c>
      <c r="G188" s="4" t="str">
        <f>'2.7'!G40</f>
        <v>Cantidad + Desperdicio</v>
      </c>
      <c r="H188" s="202" t="str">
        <f>'2.7'!H40</f>
        <v>Precio Unitario</v>
      </c>
      <c r="I188" s="202" t="str">
        <f>'2.7'!I40</f>
        <v>Subtotal</v>
      </c>
    </row>
    <row r="189" ht="14.25" customHeight="1">
      <c r="A189" s="204" t="str">
        <f>'2.7'!A41</f>
        <v/>
      </c>
      <c r="B189" s="92" t="str">
        <f>'2.7'!B41</f>
        <v/>
      </c>
      <c r="C189" s="92" t="str">
        <f>'2.7'!C41</f>
        <v/>
      </c>
      <c r="D189" s="204" t="str">
        <f>'2.7'!D41</f>
        <v/>
      </c>
      <c r="E189" s="204" t="str">
        <f>'2.7'!E41</f>
        <v/>
      </c>
      <c r="F189" s="206" t="str">
        <f>'2.7'!F41</f>
        <v/>
      </c>
      <c r="G189" s="217">
        <f>'2.7'!G41</f>
        <v>0</v>
      </c>
      <c r="H189" s="143" t="str">
        <f>'2.7'!H41</f>
        <v/>
      </c>
      <c r="I189" s="143" t="str">
        <f>'2.7'!I41</f>
        <v/>
      </c>
    </row>
    <row r="190" ht="14.25" customHeight="1">
      <c r="A190" s="204" t="str">
        <f>'2.7'!A42</f>
        <v/>
      </c>
      <c r="B190" s="92" t="str">
        <f>'2.7'!B42</f>
        <v/>
      </c>
      <c r="C190" s="92" t="str">
        <f>'2.7'!C42</f>
        <v/>
      </c>
      <c r="D190" s="204" t="str">
        <f>'2.7'!D42</f>
        <v/>
      </c>
      <c r="E190" s="204" t="str">
        <f>'2.7'!E42</f>
        <v/>
      </c>
      <c r="F190" s="206" t="str">
        <f>'2.7'!F42</f>
        <v/>
      </c>
      <c r="G190" s="217">
        <f>'2.7'!G42</f>
        <v>0</v>
      </c>
      <c r="H190" s="143" t="str">
        <f>'2.7'!H42</f>
        <v/>
      </c>
      <c r="I190" s="143" t="str">
        <f>'2.7'!I42</f>
        <v/>
      </c>
    </row>
    <row r="191" ht="14.25" customHeight="1">
      <c r="A191" s="204" t="str">
        <f>'2.7'!A43</f>
        <v/>
      </c>
      <c r="B191" s="92" t="str">
        <f>'2.7'!B43</f>
        <v/>
      </c>
      <c r="C191" s="92" t="str">
        <f>'2.7'!C43</f>
        <v/>
      </c>
      <c r="D191" s="204" t="str">
        <f>'2.7'!D43</f>
        <v/>
      </c>
      <c r="E191" s="204" t="str">
        <f>'2.7'!E43</f>
        <v/>
      </c>
      <c r="F191" s="206" t="str">
        <f>'2.7'!F43</f>
        <v/>
      </c>
      <c r="G191" s="217">
        <f>'2.7'!G43</f>
        <v>0</v>
      </c>
      <c r="H191" s="143" t="str">
        <f>'2.7'!H43</f>
        <v/>
      </c>
      <c r="I191" s="143" t="str">
        <f>'2.7'!I43</f>
        <v/>
      </c>
    </row>
    <row r="192" ht="14.25" customHeight="1">
      <c r="A192" s="204" t="str">
        <f>'2.7'!A44</f>
        <v/>
      </c>
      <c r="B192" s="92" t="str">
        <f>'2.7'!B44</f>
        <v/>
      </c>
      <c r="C192" s="92" t="str">
        <f>'2.7'!C44</f>
        <v/>
      </c>
      <c r="D192" s="204" t="str">
        <f>'2.7'!D44</f>
        <v/>
      </c>
      <c r="E192" s="204" t="str">
        <f>'2.7'!E44</f>
        <v/>
      </c>
      <c r="F192" s="206" t="str">
        <f>'2.7'!F44</f>
        <v/>
      </c>
      <c r="G192" s="217">
        <f>'2.7'!G44</f>
        <v>0</v>
      </c>
      <c r="H192" s="143" t="str">
        <f>'2.7'!H44</f>
        <v/>
      </c>
      <c r="I192" s="143" t="str">
        <f>'2.7'!I44</f>
        <v/>
      </c>
    </row>
    <row r="193" ht="14.25" customHeight="1">
      <c r="A193" s="204" t="str">
        <f>'2.7'!A45</f>
        <v/>
      </c>
      <c r="B193" s="92" t="str">
        <f>'2.7'!B45</f>
        <v/>
      </c>
      <c r="C193" s="92" t="str">
        <f>'2.7'!C45</f>
        <v/>
      </c>
      <c r="D193" s="204" t="str">
        <f>'2.7'!D45</f>
        <v/>
      </c>
      <c r="E193" s="204" t="str">
        <f>'2.7'!E45</f>
        <v/>
      </c>
      <c r="F193" s="206" t="str">
        <f>'2.7'!F45</f>
        <v/>
      </c>
      <c r="G193" s="217">
        <f>'2.7'!G45</f>
        <v>0</v>
      </c>
      <c r="H193" s="143" t="str">
        <f>'2.7'!H45</f>
        <v/>
      </c>
      <c r="I193" s="143" t="str">
        <f>'2.7'!I45</f>
        <v/>
      </c>
    </row>
    <row r="194" ht="14.25" customHeight="1">
      <c r="A194" s="204" t="str">
        <f>'2.7'!A46</f>
        <v/>
      </c>
      <c r="B194" s="92" t="str">
        <f>'2.7'!B46</f>
        <v/>
      </c>
      <c r="C194" s="92" t="str">
        <f>'2.7'!C46</f>
        <v/>
      </c>
      <c r="D194" s="204" t="str">
        <f>'2.7'!D46</f>
        <v/>
      </c>
      <c r="E194" s="204" t="str">
        <f>'2.7'!E46</f>
        <v/>
      </c>
      <c r="F194" s="206" t="str">
        <f>'2.7'!F46</f>
        <v/>
      </c>
      <c r="G194" s="217">
        <f>'2.7'!G46</f>
        <v>0</v>
      </c>
      <c r="H194" s="143" t="str">
        <f>'2.7'!H46</f>
        <v/>
      </c>
      <c r="I194" s="143" t="str">
        <f>'2.7'!I46</f>
        <v/>
      </c>
    </row>
    <row r="195" ht="14.25" customHeight="1">
      <c r="A195" s="216" t="str">
        <f>'2.7'!A47</f>
        <v/>
      </c>
      <c r="B195" s="216" t="str">
        <f>'2.7'!B47</f>
        <v/>
      </c>
      <c r="C195" s="216" t="str">
        <f>'2.7'!C47</f>
        <v/>
      </c>
      <c r="D195" s="216" t="str">
        <f>'2.7'!D47</f>
        <v/>
      </c>
      <c r="E195" s="216" t="str">
        <f>'2.7'!E47</f>
        <v/>
      </c>
      <c r="F195" s="208" t="str">
        <f>'2.7'!F47</f>
        <v/>
      </c>
      <c r="G195" s="3" t="str">
        <f>'2.7'!G47</f>
        <v/>
      </c>
      <c r="H195" s="143" t="str">
        <f>'2.7'!H47</f>
        <v/>
      </c>
      <c r="I195" s="143" t="str">
        <f>'2.7'!I47</f>
        <v/>
      </c>
    </row>
    <row r="196" ht="14.25" customHeight="1">
      <c r="A196" s="222" t="str">
        <f>'2.7'!A48</f>
        <v>TOTAL</v>
      </c>
      <c r="B196" s="223" t="str">
        <f>'2.7'!B48</f>
        <v/>
      </c>
      <c r="C196" s="223" t="str">
        <f>'2.7'!C48</f>
        <v/>
      </c>
      <c r="D196" s="223" t="str">
        <f>'2.7'!D48</f>
        <v/>
      </c>
      <c r="E196" s="223" t="str">
        <f>'2.7'!E48</f>
        <v/>
      </c>
      <c r="F196" s="223" t="str">
        <f>'2.7'!F48</f>
        <v/>
      </c>
      <c r="G196" s="211" t="str">
        <f>'2.7'!G48</f>
        <v/>
      </c>
      <c r="H196" s="223" t="str">
        <f>'2.7'!H48</f>
        <v/>
      </c>
      <c r="I196" s="224">
        <f>'2.7'!I48</f>
        <v>0</v>
      </c>
    </row>
    <row r="197" ht="14.25" customHeight="1">
      <c r="G197" s="3"/>
    </row>
    <row r="198" ht="14.25" customHeight="1">
      <c r="G198" s="3"/>
    </row>
    <row r="199" ht="14.25" customHeight="1">
      <c r="A199" s="201" t="str">
        <f>'2.7'!A67</f>
        <v>MANO DE OBRA - SUBCONTRATOS</v>
      </c>
      <c r="B199" s="94" t="str">
        <f>'2.7'!B67</f>
        <v/>
      </c>
      <c r="C199" s="94" t="str">
        <f>'2.7'!C67</f>
        <v/>
      </c>
      <c r="D199" s="94" t="str">
        <f>'2.7'!D67</f>
        <v/>
      </c>
      <c r="E199" s="94" t="str">
        <f>'2.7'!E67</f>
        <v/>
      </c>
      <c r="F199" s="94" t="str">
        <f>'2.7'!F67</f>
        <v/>
      </c>
      <c r="G199" s="2" t="str">
        <f>'2.7'!G67</f>
        <v/>
      </c>
      <c r="H199" s="94" t="str">
        <f>'2.7'!H67</f>
        <v/>
      </c>
      <c r="I199" s="94" t="str">
        <f>'2.7'!I67</f>
        <v/>
      </c>
    </row>
    <row r="200" ht="14.25" customHeight="1">
      <c r="A200" s="202" t="str">
        <f>'2.7'!A68</f>
        <v>Código</v>
      </c>
      <c r="B200" s="202" t="str">
        <f>'2.7'!B68</f>
        <v>Descripción</v>
      </c>
      <c r="C200" s="202" t="str">
        <f>'2.7'!C68</f>
        <v>Unidad</v>
      </c>
      <c r="D200" s="202" t="str">
        <f>'2.7'!D68</f>
        <v>Cantidad</v>
      </c>
      <c r="E200" s="202" t="str">
        <f>'2.7'!E68</f>
        <v>Dias</v>
      </c>
      <c r="F200" s="202" t="str">
        <f>'2.7'!F68</f>
        <v>Desperdicio</v>
      </c>
      <c r="G200" s="4" t="str">
        <f>'2.7'!G68</f>
        <v>Cantidad + Desperdicio</v>
      </c>
      <c r="H200" s="202" t="str">
        <f>'2.7'!H68</f>
        <v>Precio Unitario</v>
      </c>
      <c r="I200" s="202" t="str">
        <f>'2.7'!I68</f>
        <v>Subtotal</v>
      </c>
    </row>
    <row r="201" ht="14.25" customHeight="1">
      <c r="A201" s="204" t="str">
        <f>'2.7'!A69</f>
        <v/>
      </c>
      <c r="B201" s="92" t="str">
        <f>'2.7'!B69</f>
        <v/>
      </c>
      <c r="C201" s="92" t="str">
        <f>'2.7'!C69</f>
        <v/>
      </c>
      <c r="D201" s="204" t="str">
        <f>'2.7'!D69</f>
        <v/>
      </c>
      <c r="E201" s="204" t="str">
        <f>'2.7'!E69</f>
        <v/>
      </c>
      <c r="F201" s="206" t="str">
        <f>'2.7'!F69</f>
        <v/>
      </c>
      <c r="G201" s="221">
        <f>'2.7'!G69</f>
        <v>0</v>
      </c>
      <c r="H201" s="143" t="str">
        <f>'2.7'!H69</f>
        <v/>
      </c>
      <c r="I201" s="143" t="str">
        <f>'2.7'!I69</f>
        <v/>
      </c>
    </row>
    <row r="202" ht="14.25" customHeight="1">
      <c r="A202" s="204" t="str">
        <f>'2.7'!A70</f>
        <v/>
      </c>
      <c r="B202" s="92" t="str">
        <f>'2.7'!B70</f>
        <v/>
      </c>
      <c r="C202" s="92" t="str">
        <f>'2.7'!C70</f>
        <v/>
      </c>
      <c r="D202" s="204" t="str">
        <f>'2.7'!D70</f>
        <v/>
      </c>
      <c r="E202" s="204" t="str">
        <f>'2.7'!E70</f>
        <v/>
      </c>
      <c r="F202" s="206" t="str">
        <f>'2.7'!F70</f>
        <v/>
      </c>
      <c r="G202" s="221">
        <f>'2.7'!G70</f>
        <v>0</v>
      </c>
      <c r="H202" s="143" t="str">
        <f>'2.7'!H70</f>
        <v/>
      </c>
      <c r="I202" s="143" t="str">
        <f>'2.7'!I70</f>
        <v/>
      </c>
    </row>
    <row r="203" ht="14.25" customHeight="1">
      <c r="A203" s="204" t="str">
        <f>'2.7'!A71</f>
        <v/>
      </c>
      <c r="B203" s="92" t="str">
        <f>'2.7'!B71</f>
        <v/>
      </c>
      <c r="C203" s="92" t="str">
        <f>'2.7'!C71</f>
        <v/>
      </c>
      <c r="D203" s="204" t="str">
        <f>'2.7'!D71</f>
        <v/>
      </c>
      <c r="E203" s="204" t="str">
        <f>'2.7'!E71</f>
        <v/>
      </c>
      <c r="F203" s="206" t="str">
        <f>'2.7'!F71</f>
        <v/>
      </c>
      <c r="G203" s="221">
        <f>'2.7'!G71</f>
        <v>0</v>
      </c>
      <c r="H203" s="143" t="str">
        <f>'2.7'!H71</f>
        <v/>
      </c>
      <c r="I203" s="143" t="str">
        <f>'2.7'!I71</f>
        <v/>
      </c>
    </row>
    <row r="204" ht="14.25" customHeight="1">
      <c r="A204" s="204" t="str">
        <f>'2.7'!A72</f>
        <v/>
      </c>
      <c r="B204" s="92" t="str">
        <f>'2.7'!B72</f>
        <v/>
      </c>
      <c r="C204" s="92" t="str">
        <f>'2.7'!C72</f>
        <v/>
      </c>
      <c r="D204" s="204" t="str">
        <f>'2.7'!D72</f>
        <v/>
      </c>
      <c r="E204" s="204" t="str">
        <f>'2.7'!E72</f>
        <v/>
      </c>
      <c r="F204" s="206" t="str">
        <f>'2.7'!F72</f>
        <v/>
      </c>
      <c r="G204" s="221">
        <f>'2.7'!G72</f>
        <v>0</v>
      </c>
      <c r="H204" s="143" t="str">
        <f>'2.7'!H72</f>
        <v/>
      </c>
      <c r="I204" s="143" t="str">
        <f>'2.7'!I72</f>
        <v/>
      </c>
    </row>
    <row r="205" ht="14.25" customHeight="1">
      <c r="A205" s="204" t="str">
        <f>'2.7'!A73</f>
        <v/>
      </c>
      <c r="B205" s="92" t="str">
        <f>'2.7'!B73</f>
        <v/>
      </c>
      <c r="C205" s="92" t="str">
        <f>'2.7'!C73</f>
        <v/>
      </c>
      <c r="D205" s="204" t="str">
        <f>'2.7'!D73</f>
        <v/>
      </c>
      <c r="E205" s="204" t="str">
        <f>'2.7'!E73</f>
        <v/>
      </c>
      <c r="F205" s="206" t="str">
        <f>'2.7'!F73</f>
        <v/>
      </c>
      <c r="G205" s="221">
        <f>'2.7'!G73</f>
        <v>0</v>
      </c>
      <c r="H205" s="143" t="str">
        <f>'2.7'!H73</f>
        <v/>
      </c>
      <c r="I205" s="143" t="str">
        <f>'2.7'!I73</f>
        <v/>
      </c>
    </row>
    <row r="206" ht="14.25" customHeight="1">
      <c r="A206" s="204" t="str">
        <f>'2.7'!A74</f>
        <v/>
      </c>
      <c r="B206" s="92" t="str">
        <f>'2.7'!B74</f>
        <v/>
      </c>
      <c r="C206" s="92" t="str">
        <f>'2.7'!C74</f>
        <v/>
      </c>
      <c r="D206" s="204" t="str">
        <f>'2.7'!D74</f>
        <v/>
      </c>
      <c r="E206" s="204" t="str">
        <f>'2.7'!E74</f>
        <v/>
      </c>
      <c r="F206" s="206" t="str">
        <f>'2.7'!F74</f>
        <v/>
      </c>
      <c r="G206" s="221">
        <f>'2.7'!G74</f>
        <v>0</v>
      </c>
      <c r="H206" s="143" t="str">
        <f>'2.7'!H74</f>
        <v/>
      </c>
      <c r="I206" s="143" t="str">
        <f>'2.7'!I74</f>
        <v/>
      </c>
    </row>
    <row r="207" ht="14.25" customHeight="1">
      <c r="A207" s="216" t="str">
        <f>'2.7'!A75</f>
        <v/>
      </c>
      <c r="B207" s="216" t="str">
        <f>'2.7'!B75</f>
        <v/>
      </c>
      <c r="C207" s="216" t="str">
        <f>'2.7'!C75</f>
        <v/>
      </c>
      <c r="D207" s="216" t="str">
        <f>'2.7'!D75</f>
        <v/>
      </c>
      <c r="E207" s="216" t="str">
        <f>'2.7'!E75</f>
        <v/>
      </c>
      <c r="F207" s="208" t="str">
        <f>'2.7'!F75</f>
        <v/>
      </c>
      <c r="G207" s="3" t="str">
        <f>'2.7'!G75</f>
        <v/>
      </c>
      <c r="H207" s="143" t="str">
        <f>'2.7'!H75</f>
        <v/>
      </c>
      <c r="I207" s="143" t="str">
        <f>'2.7'!I75</f>
        <v/>
      </c>
    </row>
    <row r="208" ht="14.25" customHeight="1">
      <c r="A208" s="222" t="str">
        <f>'2.7'!A76</f>
        <v>TOTAL</v>
      </c>
      <c r="B208" s="223" t="str">
        <f>'2.7'!B76</f>
        <v/>
      </c>
      <c r="C208" s="223" t="str">
        <f>'2.7'!C76</f>
        <v/>
      </c>
      <c r="D208" s="223" t="str">
        <f>'2.7'!D76</f>
        <v/>
      </c>
      <c r="E208" s="223" t="str">
        <f>'2.7'!E76</f>
        <v/>
      </c>
      <c r="F208" s="223" t="str">
        <f>'2.7'!F76</f>
        <v/>
      </c>
      <c r="G208" s="211" t="str">
        <f>'2.7'!G76</f>
        <v/>
      </c>
      <c r="H208" s="223" t="str">
        <f>'2.7'!H76</f>
        <v/>
      </c>
      <c r="I208" s="224">
        <f>'2.7'!I76</f>
        <v>0</v>
      </c>
    </row>
    <row r="209" ht="14.25" customHeight="1">
      <c r="G209" s="3"/>
    </row>
    <row r="210" ht="14.25" customHeight="1">
      <c r="G210" s="3"/>
    </row>
    <row r="211" ht="23.25" customHeight="1">
      <c r="A211" s="195">
        <f>'2.8'!A3</f>
        <v>46236</v>
      </c>
      <c r="B211" s="196" t="str">
        <f>'2.1.'!B211</f>
        <v/>
      </c>
      <c r="C211" s="197"/>
      <c r="D211" s="197"/>
      <c r="E211" s="197"/>
      <c r="F211" s="197"/>
      <c r="G211" s="198" t="str">
        <f>'2.1.'!G211</f>
        <v/>
      </c>
      <c r="H211" s="199" t="str">
        <f>'2.1.'!H211</f>
        <v/>
      </c>
      <c r="I211" s="200" t="str">
        <f>'2.1.'!I211</f>
        <v/>
      </c>
    </row>
    <row r="212" ht="14.25" customHeight="1">
      <c r="G212" s="3"/>
    </row>
    <row r="213" ht="14.25" customHeight="1">
      <c r="A213" s="201" t="str">
        <f>'2.8'!A39</f>
        <v>MANO DE OBRA - EQUIPOS</v>
      </c>
      <c r="B213" s="94" t="str">
        <f>'2.8'!B39</f>
        <v/>
      </c>
      <c r="C213" s="94" t="str">
        <f>'2.8'!C39</f>
        <v/>
      </c>
      <c r="D213" s="94" t="str">
        <f>'2.8'!D39</f>
        <v/>
      </c>
      <c r="E213" s="94" t="str">
        <f>'2.8'!E39</f>
        <v/>
      </c>
      <c r="F213" s="94" t="str">
        <f>'2.8'!F39</f>
        <v/>
      </c>
      <c r="G213" s="2" t="str">
        <f>'2.8'!G39</f>
        <v/>
      </c>
      <c r="H213" s="94" t="str">
        <f>'2.8'!H39</f>
        <v/>
      </c>
      <c r="I213" s="94" t="str">
        <f>'2.8'!I39</f>
        <v/>
      </c>
    </row>
    <row r="214" ht="14.25" customHeight="1">
      <c r="A214" s="202" t="str">
        <f>'2.8'!A40</f>
        <v>Código</v>
      </c>
      <c r="B214" s="202" t="str">
        <f>'2.8'!B40</f>
        <v>Descripción</v>
      </c>
      <c r="C214" s="202" t="str">
        <f>'2.8'!C40</f>
        <v>Unidad</v>
      </c>
      <c r="D214" s="202" t="str">
        <f>'2.8'!D40</f>
        <v>Cantidad</v>
      </c>
      <c r="E214" s="202" t="str">
        <f>'2.8'!E40</f>
        <v>Dias</v>
      </c>
      <c r="F214" s="202" t="str">
        <f>'2.8'!F40</f>
        <v>Desperdicio</v>
      </c>
      <c r="G214" s="4" t="str">
        <f>'2.8'!G40</f>
        <v>Cantidad + Desperdicio</v>
      </c>
      <c r="H214" s="202" t="str">
        <f>'2.8'!H40</f>
        <v>Precio Unitario</v>
      </c>
      <c r="I214" s="202" t="str">
        <f>'2.8'!I40</f>
        <v>Subtotal</v>
      </c>
    </row>
    <row r="215" ht="14.25" customHeight="1">
      <c r="A215" s="204" t="str">
        <f>'2.8'!A41</f>
        <v/>
      </c>
      <c r="B215" s="92" t="str">
        <f>'2.8'!B41</f>
        <v/>
      </c>
      <c r="C215" s="92" t="str">
        <f>'2.8'!C41</f>
        <v/>
      </c>
      <c r="D215" s="204" t="str">
        <f>'2.8'!D41</f>
        <v/>
      </c>
      <c r="E215" s="204" t="str">
        <f>'2.8'!E41</f>
        <v/>
      </c>
      <c r="F215" s="206" t="str">
        <f>'2.8'!F41</f>
        <v/>
      </c>
      <c r="G215" s="217">
        <f>'2.8'!G41</f>
        <v>0</v>
      </c>
      <c r="H215" s="143" t="str">
        <f>'2.8'!H41</f>
        <v/>
      </c>
      <c r="I215" s="143" t="str">
        <f>'2.8'!I41</f>
        <v/>
      </c>
    </row>
    <row r="216" ht="14.25" customHeight="1">
      <c r="A216" s="204" t="str">
        <f>'2.8'!A42</f>
        <v/>
      </c>
      <c r="B216" s="92" t="str">
        <f>'2.8'!B42</f>
        <v/>
      </c>
      <c r="C216" s="92" t="str">
        <f>'2.8'!C42</f>
        <v/>
      </c>
      <c r="D216" s="204" t="str">
        <f>'2.8'!D42</f>
        <v/>
      </c>
      <c r="E216" s="204" t="str">
        <f>'2.8'!E42</f>
        <v/>
      </c>
      <c r="F216" s="206" t="str">
        <f>'2.8'!F42</f>
        <v/>
      </c>
      <c r="G216" s="217">
        <f>'2.8'!G42</f>
        <v>0</v>
      </c>
      <c r="H216" s="143" t="str">
        <f>'2.8'!H42</f>
        <v/>
      </c>
      <c r="I216" s="143" t="str">
        <f>'2.8'!I42</f>
        <v/>
      </c>
    </row>
    <row r="217" ht="14.25" customHeight="1">
      <c r="A217" s="204" t="str">
        <f>'2.8'!A43</f>
        <v/>
      </c>
      <c r="B217" s="92" t="str">
        <f>'2.8'!B43</f>
        <v/>
      </c>
      <c r="C217" s="92" t="str">
        <f>'2.8'!C43</f>
        <v/>
      </c>
      <c r="D217" s="204" t="str">
        <f>'2.8'!D43</f>
        <v/>
      </c>
      <c r="E217" s="204" t="str">
        <f>'2.8'!E43</f>
        <v/>
      </c>
      <c r="F217" s="206" t="str">
        <f>'2.8'!F43</f>
        <v/>
      </c>
      <c r="G217" s="217">
        <f>'2.8'!G43</f>
        <v>0</v>
      </c>
      <c r="H217" s="143" t="str">
        <f>'2.8'!H43</f>
        <v/>
      </c>
      <c r="I217" s="143" t="str">
        <f>'2.8'!I43</f>
        <v/>
      </c>
    </row>
    <row r="218" ht="14.25" customHeight="1">
      <c r="A218" s="204" t="str">
        <f>'2.8'!A44</f>
        <v/>
      </c>
      <c r="B218" s="92" t="str">
        <f>'2.8'!B44</f>
        <v/>
      </c>
      <c r="C218" s="92" t="str">
        <f>'2.8'!C44</f>
        <v/>
      </c>
      <c r="D218" s="204" t="str">
        <f>'2.8'!D44</f>
        <v/>
      </c>
      <c r="E218" s="204" t="str">
        <f>'2.8'!E44</f>
        <v/>
      </c>
      <c r="F218" s="206" t="str">
        <f>'2.8'!F44</f>
        <v/>
      </c>
      <c r="G218" s="217">
        <f>'2.8'!G44</f>
        <v>0</v>
      </c>
      <c r="H218" s="143" t="str">
        <f>'2.8'!H44</f>
        <v/>
      </c>
      <c r="I218" s="143" t="str">
        <f>'2.8'!I44</f>
        <v/>
      </c>
    </row>
    <row r="219" ht="14.25" customHeight="1">
      <c r="A219" s="204" t="str">
        <f>'2.8'!A45</f>
        <v/>
      </c>
      <c r="B219" s="92" t="str">
        <f>'2.8'!B45</f>
        <v/>
      </c>
      <c r="C219" s="92" t="str">
        <f>'2.8'!C45</f>
        <v/>
      </c>
      <c r="D219" s="204" t="str">
        <f>'2.8'!D45</f>
        <v/>
      </c>
      <c r="E219" s="204" t="str">
        <f>'2.8'!E45</f>
        <v/>
      </c>
      <c r="F219" s="206" t="str">
        <f>'2.8'!F45</f>
        <v/>
      </c>
      <c r="G219" s="217">
        <f>'2.8'!G45</f>
        <v>0</v>
      </c>
      <c r="H219" s="143" t="str">
        <f>'2.8'!H45</f>
        <v/>
      </c>
      <c r="I219" s="143" t="str">
        <f>'2.8'!I45</f>
        <v/>
      </c>
    </row>
    <row r="220" ht="14.25" customHeight="1">
      <c r="A220" s="204" t="str">
        <f>'2.8'!A46</f>
        <v/>
      </c>
      <c r="B220" s="92" t="str">
        <f>'2.8'!B46</f>
        <v/>
      </c>
      <c r="C220" s="92" t="str">
        <f>'2.8'!C46</f>
        <v/>
      </c>
      <c r="D220" s="204" t="str">
        <f>'2.8'!D46</f>
        <v/>
      </c>
      <c r="E220" s="204" t="str">
        <f>'2.8'!E46</f>
        <v/>
      </c>
      <c r="F220" s="206" t="str">
        <f>'2.8'!F46</f>
        <v/>
      </c>
      <c r="G220" s="217">
        <f>'2.8'!G46</f>
        <v>0</v>
      </c>
      <c r="H220" s="143" t="str">
        <f>'2.8'!H46</f>
        <v/>
      </c>
      <c r="I220" s="143" t="str">
        <f>'2.8'!I46</f>
        <v/>
      </c>
    </row>
    <row r="221" ht="14.25" customHeight="1">
      <c r="A221" s="216" t="str">
        <f>'2.8'!A47</f>
        <v/>
      </c>
      <c r="B221" s="216" t="str">
        <f>'2.8'!B47</f>
        <v/>
      </c>
      <c r="C221" s="216" t="str">
        <f>'2.8'!C47</f>
        <v/>
      </c>
      <c r="D221" s="216" t="str">
        <f>'2.8'!D47</f>
        <v/>
      </c>
      <c r="E221" s="216" t="str">
        <f>'2.8'!E47</f>
        <v/>
      </c>
      <c r="F221" s="208" t="str">
        <f>'2.8'!F47</f>
        <v/>
      </c>
      <c r="G221" s="3" t="str">
        <f>'2.8'!G47</f>
        <v/>
      </c>
      <c r="H221" s="143" t="str">
        <f>'2.8'!H47</f>
        <v/>
      </c>
      <c r="I221" s="143" t="str">
        <f>'2.8'!I47</f>
        <v/>
      </c>
    </row>
    <row r="222" ht="14.25" customHeight="1">
      <c r="A222" s="222" t="str">
        <f>'2.8'!A48</f>
        <v>TOTAL</v>
      </c>
      <c r="B222" s="223" t="str">
        <f>'2.8'!B48</f>
        <v/>
      </c>
      <c r="C222" s="223" t="str">
        <f>'2.8'!C48</f>
        <v/>
      </c>
      <c r="D222" s="223" t="str">
        <f>'2.8'!D48</f>
        <v/>
      </c>
      <c r="E222" s="223" t="str">
        <f>'2.8'!E48</f>
        <v/>
      </c>
      <c r="F222" s="223" t="str">
        <f>'2.8'!F48</f>
        <v/>
      </c>
      <c r="G222" s="211" t="str">
        <f>'2.8'!G48</f>
        <v/>
      </c>
      <c r="H222" s="223" t="str">
        <f>'2.8'!H48</f>
        <v/>
      </c>
      <c r="I222" s="224">
        <f>'2.8'!I48</f>
        <v>0</v>
      </c>
    </row>
    <row r="223" ht="14.25" customHeight="1">
      <c r="G223" s="3"/>
    </row>
    <row r="224" ht="14.25" customHeight="1">
      <c r="G224" s="3"/>
    </row>
    <row r="225" ht="14.25" customHeight="1">
      <c r="A225" s="201" t="str">
        <f>'2.8'!A67</f>
        <v>MANO DE OBRA - SUBCONTRATOS</v>
      </c>
      <c r="B225" s="94" t="str">
        <f>'2.8'!B67</f>
        <v/>
      </c>
      <c r="C225" s="94" t="str">
        <f>'2.8'!C67</f>
        <v/>
      </c>
      <c r="D225" s="94" t="str">
        <f>'2.8'!D67</f>
        <v/>
      </c>
      <c r="E225" s="94" t="str">
        <f>'2.8'!E67</f>
        <v/>
      </c>
      <c r="F225" s="94" t="str">
        <f>'2.8'!F67</f>
        <v/>
      </c>
      <c r="G225" s="2" t="str">
        <f>'2.8'!G67</f>
        <v/>
      </c>
      <c r="H225" s="94" t="str">
        <f>'2.8'!H67</f>
        <v/>
      </c>
      <c r="I225" s="94" t="str">
        <f>'2.8'!I67</f>
        <v/>
      </c>
    </row>
    <row r="226" ht="14.25" customHeight="1">
      <c r="A226" s="202" t="str">
        <f>'2.8'!A68</f>
        <v>Código</v>
      </c>
      <c r="B226" s="202" t="str">
        <f>'2.8'!B68</f>
        <v>Descripción</v>
      </c>
      <c r="C226" s="202" t="str">
        <f>'2.8'!C68</f>
        <v>Unidad</v>
      </c>
      <c r="D226" s="202" t="str">
        <f>'2.8'!D68</f>
        <v>Cantidad</v>
      </c>
      <c r="E226" s="202" t="str">
        <f>'2.8'!E68</f>
        <v>Dias</v>
      </c>
      <c r="F226" s="202" t="str">
        <f>'2.8'!F68</f>
        <v>Desperdicio</v>
      </c>
      <c r="G226" s="4" t="str">
        <f>'2.8'!G68</f>
        <v>Cantidad + Desperdicio</v>
      </c>
      <c r="H226" s="202" t="str">
        <f>'2.8'!H68</f>
        <v>Precio Unitario</v>
      </c>
      <c r="I226" s="202" t="str">
        <f>'2.8'!I68</f>
        <v>Subtotal</v>
      </c>
    </row>
    <row r="227" ht="14.25" customHeight="1">
      <c r="A227" s="204" t="str">
        <f>'2.8'!A69</f>
        <v>SILL-RE</v>
      </c>
      <c r="B227" s="92" t="str">
        <f>'2.8'!B69</f>
        <v>REVOQUE EXTERIOR CON SILLETA. (con ceresita)</v>
      </c>
      <c r="C227" s="92" t="str">
        <f>'2.8'!C69</f>
        <v>m2</v>
      </c>
      <c r="D227" s="204">
        <f>'2.8'!D69</f>
        <v>456</v>
      </c>
      <c r="E227" s="204" t="str">
        <f>'2.8'!E69</f>
        <v/>
      </c>
      <c r="F227" s="206">
        <f>'2.8'!F69</f>
        <v>0.5</v>
      </c>
      <c r="G227" s="221">
        <f>'2.8'!G69</f>
        <v>684</v>
      </c>
      <c r="H227" s="143">
        <f>'2.8'!H69</f>
        <v>25000</v>
      </c>
      <c r="I227" s="143">
        <f>'2.8'!I69</f>
        <v>17100000</v>
      </c>
    </row>
    <row r="228" ht="14.25" customHeight="1">
      <c r="A228" s="204" t="str">
        <f>'2.8'!A70</f>
        <v/>
      </c>
      <c r="B228" s="92" t="str">
        <f>'2.8'!B70</f>
        <v/>
      </c>
      <c r="C228" s="92" t="str">
        <f>'2.8'!C70</f>
        <v/>
      </c>
      <c r="D228" s="204" t="str">
        <f>'2.8'!D70</f>
        <v/>
      </c>
      <c r="E228" s="204" t="str">
        <f>'2.8'!E70</f>
        <v/>
      </c>
      <c r="F228" s="206" t="str">
        <f>'2.8'!F70</f>
        <v/>
      </c>
      <c r="G228" s="221">
        <f>'2.8'!G70</f>
        <v>0</v>
      </c>
      <c r="H228" s="143" t="str">
        <f>'2.8'!H70</f>
        <v/>
      </c>
      <c r="I228" s="143" t="str">
        <f>'2.8'!I70</f>
        <v/>
      </c>
    </row>
    <row r="229" ht="14.25" customHeight="1">
      <c r="A229" s="204" t="str">
        <f>'2.8'!A71</f>
        <v/>
      </c>
      <c r="B229" s="92" t="str">
        <f>'2.8'!B71</f>
        <v/>
      </c>
      <c r="C229" s="92" t="str">
        <f>'2.8'!C71</f>
        <v/>
      </c>
      <c r="D229" s="204" t="str">
        <f>'2.8'!D71</f>
        <v/>
      </c>
      <c r="E229" s="204" t="str">
        <f>'2.8'!E71</f>
        <v/>
      </c>
      <c r="F229" s="206" t="str">
        <f>'2.8'!F71</f>
        <v/>
      </c>
      <c r="G229" s="221">
        <f>'2.8'!G71</f>
        <v>0</v>
      </c>
      <c r="H229" s="143" t="str">
        <f>'2.8'!H71</f>
        <v/>
      </c>
      <c r="I229" s="143" t="str">
        <f>'2.8'!I71</f>
        <v/>
      </c>
    </row>
    <row r="230" ht="14.25" customHeight="1">
      <c r="A230" s="204" t="str">
        <f>'2.8'!A72</f>
        <v/>
      </c>
      <c r="B230" s="92" t="str">
        <f>'2.8'!B72</f>
        <v/>
      </c>
      <c r="C230" s="92" t="str">
        <f>'2.8'!C72</f>
        <v/>
      </c>
      <c r="D230" s="204" t="str">
        <f>'2.8'!D72</f>
        <v/>
      </c>
      <c r="E230" s="204" t="str">
        <f>'2.8'!E72</f>
        <v/>
      </c>
      <c r="F230" s="206" t="str">
        <f>'2.8'!F72</f>
        <v/>
      </c>
      <c r="G230" s="221">
        <f>'2.8'!G72</f>
        <v>0</v>
      </c>
      <c r="H230" s="143" t="str">
        <f>'2.8'!H72</f>
        <v/>
      </c>
      <c r="I230" s="143" t="str">
        <f>'2.8'!I72</f>
        <v/>
      </c>
    </row>
    <row r="231" ht="14.25" customHeight="1">
      <c r="A231" s="204" t="str">
        <f>'2.8'!A73</f>
        <v/>
      </c>
      <c r="B231" s="92" t="str">
        <f>'2.8'!B73</f>
        <v/>
      </c>
      <c r="C231" s="92" t="str">
        <f>'2.8'!C73</f>
        <v/>
      </c>
      <c r="D231" s="204" t="str">
        <f>'2.8'!D73</f>
        <v/>
      </c>
      <c r="E231" s="204" t="str">
        <f>'2.8'!E73</f>
        <v/>
      </c>
      <c r="F231" s="206" t="str">
        <f>'2.8'!F73</f>
        <v/>
      </c>
      <c r="G231" s="221">
        <f>'2.8'!G73</f>
        <v>0</v>
      </c>
      <c r="H231" s="143" t="str">
        <f>'2.8'!H73</f>
        <v/>
      </c>
      <c r="I231" s="143" t="str">
        <f>'2.8'!I73</f>
        <v/>
      </c>
    </row>
    <row r="232" ht="14.25" customHeight="1">
      <c r="A232" s="204" t="str">
        <f>'2.8'!A74</f>
        <v/>
      </c>
      <c r="B232" s="92" t="str">
        <f>'2.8'!B74</f>
        <v/>
      </c>
      <c r="C232" s="92" t="str">
        <f>'2.8'!C74</f>
        <v/>
      </c>
      <c r="D232" s="204" t="str">
        <f>'2.8'!D74</f>
        <v/>
      </c>
      <c r="E232" s="204" t="str">
        <f>'2.8'!E74</f>
        <v/>
      </c>
      <c r="F232" s="206" t="str">
        <f>'2.8'!F74</f>
        <v/>
      </c>
      <c r="G232" s="221">
        <f>'2.8'!G74</f>
        <v>0</v>
      </c>
      <c r="H232" s="143" t="str">
        <f>'2.8'!H74</f>
        <v/>
      </c>
      <c r="I232" s="143" t="str">
        <f>'2.8'!I74</f>
        <v/>
      </c>
    </row>
    <row r="233" ht="14.25" customHeight="1">
      <c r="A233" s="216" t="str">
        <f>'2.8'!A75</f>
        <v/>
      </c>
      <c r="B233" s="216" t="str">
        <f>'2.8'!B75</f>
        <v/>
      </c>
      <c r="C233" s="216" t="str">
        <f>'2.8'!C75</f>
        <v/>
      </c>
      <c r="D233" s="216" t="str">
        <f>'2.8'!D75</f>
        <v/>
      </c>
      <c r="E233" s="216" t="str">
        <f>'2.8'!E75</f>
        <v/>
      </c>
      <c r="F233" s="208" t="str">
        <f>'2.8'!F75</f>
        <v/>
      </c>
      <c r="G233" s="3" t="str">
        <f>'2.8'!G75</f>
        <v/>
      </c>
      <c r="H233" s="143" t="str">
        <f>'2.8'!H75</f>
        <v/>
      </c>
      <c r="I233" s="143" t="str">
        <f>'2.8'!I75</f>
        <v/>
      </c>
    </row>
    <row r="234" ht="14.25" customHeight="1">
      <c r="A234" s="222" t="str">
        <f>'2.8'!A76</f>
        <v>TOTAL</v>
      </c>
      <c r="B234" s="223" t="str">
        <f>'2.8'!B76</f>
        <v/>
      </c>
      <c r="C234" s="223" t="str">
        <f>'2.8'!C76</f>
        <v/>
      </c>
      <c r="D234" s="223" t="str">
        <f>'2.8'!D76</f>
        <v/>
      </c>
      <c r="E234" s="223" t="str">
        <f>'2.8'!E76</f>
        <v/>
      </c>
      <c r="F234" s="223" t="str">
        <f>'2.8'!F76</f>
        <v/>
      </c>
      <c r="G234" s="211" t="str">
        <f>'2.8'!G76</f>
        <v/>
      </c>
      <c r="H234" s="223" t="str">
        <f>'2.8'!H76</f>
        <v/>
      </c>
      <c r="I234" s="224">
        <f>'2.8'!I76</f>
        <v>17100000</v>
      </c>
    </row>
    <row r="235" ht="15.75" customHeight="1">
      <c r="G235" s="3"/>
    </row>
    <row r="236" ht="15.75" customHeight="1">
      <c r="G236" s="3"/>
    </row>
    <row r="237" ht="23.25" customHeight="1">
      <c r="A237" s="195" t="str">
        <f>'2.10.'!A3</f>
        <v>#REF!</v>
      </c>
      <c r="B237" s="196" t="str">
        <f>'2.1.'!B237</f>
        <v/>
      </c>
      <c r="C237" s="197"/>
      <c r="D237" s="197"/>
      <c r="E237" s="197"/>
      <c r="F237" s="197"/>
      <c r="G237" s="198" t="str">
        <f>'2.1.'!G237</f>
        <v/>
      </c>
      <c r="H237" s="199" t="str">
        <f>'2.1.'!H237</f>
        <v/>
      </c>
      <c r="I237" s="200" t="str">
        <f>'2.1.'!I237</f>
        <v/>
      </c>
    </row>
    <row r="238" ht="14.25" customHeight="1">
      <c r="G238" s="3"/>
    </row>
    <row r="239" ht="14.25" customHeight="1">
      <c r="A239" s="201" t="str">
        <f t="shared" ref="A239:I239" si="81">'2.10.'!A39</f>
        <v>#REF!</v>
      </c>
      <c r="B239" s="94" t="str">
        <f t="shared" si="81"/>
        <v>#REF!</v>
      </c>
      <c r="C239" s="94" t="str">
        <f t="shared" si="81"/>
        <v>#REF!</v>
      </c>
      <c r="D239" s="94" t="str">
        <f t="shared" si="81"/>
        <v>#REF!</v>
      </c>
      <c r="E239" s="94" t="str">
        <f t="shared" si="81"/>
        <v>#REF!</v>
      </c>
      <c r="F239" s="94" t="str">
        <f t="shared" si="81"/>
        <v>#REF!</v>
      </c>
      <c r="G239" s="2" t="str">
        <f t="shared" si="81"/>
        <v>#REF!</v>
      </c>
      <c r="H239" s="94" t="str">
        <f t="shared" si="81"/>
        <v>#REF!</v>
      </c>
      <c r="I239" s="94" t="str">
        <f t="shared" si="81"/>
        <v>#REF!</v>
      </c>
    </row>
    <row r="240" ht="14.25" customHeight="1">
      <c r="A240" s="202" t="str">
        <f t="shared" ref="A240:I240" si="82">'2.10.'!A40</f>
        <v>#REF!</v>
      </c>
      <c r="B240" s="202" t="str">
        <f t="shared" si="82"/>
        <v>#REF!</v>
      </c>
      <c r="C240" s="202" t="str">
        <f t="shared" si="82"/>
        <v>#REF!</v>
      </c>
      <c r="D240" s="202" t="str">
        <f t="shared" si="82"/>
        <v>#REF!</v>
      </c>
      <c r="E240" s="202" t="str">
        <f t="shared" si="82"/>
        <v>#REF!</v>
      </c>
      <c r="F240" s="202" t="str">
        <f t="shared" si="82"/>
        <v>#REF!</v>
      </c>
      <c r="G240" s="4" t="str">
        <f t="shared" si="82"/>
        <v>#REF!</v>
      </c>
      <c r="H240" s="202" t="str">
        <f t="shared" si="82"/>
        <v>#REF!</v>
      </c>
      <c r="I240" s="202" t="str">
        <f t="shared" si="82"/>
        <v>#REF!</v>
      </c>
    </row>
    <row r="241" ht="14.25" customHeight="1">
      <c r="A241" s="204" t="str">
        <f t="shared" ref="A241:I241" si="83">'2.10.'!A41</f>
        <v>#REF!</v>
      </c>
      <c r="B241" s="92" t="str">
        <f t="shared" si="83"/>
        <v>#REF!</v>
      </c>
      <c r="C241" s="92" t="str">
        <f t="shared" si="83"/>
        <v>#REF!</v>
      </c>
      <c r="D241" s="204" t="str">
        <f t="shared" si="83"/>
        <v>#REF!</v>
      </c>
      <c r="E241" s="204" t="str">
        <f t="shared" si="83"/>
        <v>#REF!</v>
      </c>
      <c r="F241" s="206" t="str">
        <f t="shared" si="83"/>
        <v>#REF!</v>
      </c>
      <c r="G241" s="217" t="str">
        <f t="shared" si="83"/>
        <v>#REF!</v>
      </c>
      <c r="H241" s="143" t="str">
        <f t="shared" si="83"/>
        <v>#REF!</v>
      </c>
      <c r="I241" s="143" t="str">
        <f t="shared" si="83"/>
        <v>#REF!</v>
      </c>
    </row>
    <row r="242" ht="14.25" customHeight="1">
      <c r="A242" s="204" t="str">
        <f t="shared" ref="A242:I242" si="84">'2.10.'!A42</f>
        <v>#REF!</v>
      </c>
      <c r="B242" s="92" t="str">
        <f t="shared" si="84"/>
        <v>#REF!</v>
      </c>
      <c r="C242" s="92" t="str">
        <f t="shared" si="84"/>
        <v>#REF!</v>
      </c>
      <c r="D242" s="204" t="str">
        <f t="shared" si="84"/>
        <v>#REF!</v>
      </c>
      <c r="E242" s="204" t="str">
        <f t="shared" si="84"/>
        <v>#REF!</v>
      </c>
      <c r="F242" s="206" t="str">
        <f t="shared" si="84"/>
        <v>#REF!</v>
      </c>
      <c r="G242" s="217" t="str">
        <f t="shared" si="84"/>
        <v>#REF!</v>
      </c>
      <c r="H242" s="143" t="str">
        <f t="shared" si="84"/>
        <v>#REF!</v>
      </c>
      <c r="I242" s="143" t="str">
        <f t="shared" si="84"/>
        <v>#REF!</v>
      </c>
    </row>
    <row r="243" ht="14.25" customHeight="1">
      <c r="A243" s="204" t="str">
        <f t="shared" ref="A243:I243" si="85">'2.10.'!A43</f>
        <v>#REF!</v>
      </c>
      <c r="B243" s="92" t="str">
        <f t="shared" si="85"/>
        <v>#REF!</v>
      </c>
      <c r="C243" s="92" t="str">
        <f t="shared" si="85"/>
        <v>#REF!</v>
      </c>
      <c r="D243" s="204" t="str">
        <f t="shared" si="85"/>
        <v>#REF!</v>
      </c>
      <c r="E243" s="204" t="str">
        <f t="shared" si="85"/>
        <v>#REF!</v>
      </c>
      <c r="F243" s="206" t="str">
        <f t="shared" si="85"/>
        <v>#REF!</v>
      </c>
      <c r="G243" s="217" t="str">
        <f t="shared" si="85"/>
        <v>#REF!</v>
      </c>
      <c r="H243" s="143" t="str">
        <f t="shared" si="85"/>
        <v>#REF!</v>
      </c>
      <c r="I243" s="143" t="str">
        <f t="shared" si="85"/>
        <v>#REF!</v>
      </c>
    </row>
    <row r="244" ht="14.25" customHeight="1">
      <c r="A244" s="204" t="str">
        <f t="shared" ref="A244:I244" si="86">'2.10.'!A44</f>
        <v>#REF!</v>
      </c>
      <c r="B244" s="92" t="str">
        <f t="shared" si="86"/>
        <v>#REF!</v>
      </c>
      <c r="C244" s="92" t="str">
        <f t="shared" si="86"/>
        <v>#REF!</v>
      </c>
      <c r="D244" s="204" t="str">
        <f t="shared" si="86"/>
        <v>#REF!</v>
      </c>
      <c r="E244" s="204" t="str">
        <f t="shared" si="86"/>
        <v>#REF!</v>
      </c>
      <c r="F244" s="206" t="str">
        <f t="shared" si="86"/>
        <v>#REF!</v>
      </c>
      <c r="G244" s="217" t="str">
        <f t="shared" si="86"/>
        <v>#REF!</v>
      </c>
      <c r="H244" s="143" t="str">
        <f t="shared" si="86"/>
        <v>#REF!</v>
      </c>
      <c r="I244" s="143" t="str">
        <f t="shared" si="86"/>
        <v>#REF!</v>
      </c>
    </row>
    <row r="245" ht="14.25" customHeight="1">
      <c r="A245" s="204" t="str">
        <f t="shared" ref="A245:I245" si="87">'2.10.'!A45</f>
        <v>#REF!</v>
      </c>
      <c r="B245" s="92" t="str">
        <f t="shared" si="87"/>
        <v>#REF!</v>
      </c>
      <c r="C245" s="92" t="str">
        <f t="shared" si="87"/>
        <v>#REF!</v>
      </c>
      <c r="D245" s="204" t="str">
        <f t="shared" si="87"/>
        <v>#REF!</v>
      </c>
      <c r="E245" s="204" t="str">
        <f t="shared" si="87"/>
        <v>#REF!</v>
      </c>
      <c r="F245" s="206" t="str">
        <f t="shared" si="87"/>
        <v>#REF!</v>
      </c>
      <c r="G245" s="217" t="str">
        <f t="shared" si="87"/>
        <v>#REF!</v>
      </c>
      <c r="H245" s="143" t="str">
        <f t="shared" si="87"/>
        <v>#REF!</v>
      </c>
      <c r="I245" s="143" t="str">
        <f t="shared" si="87"/>
        <v>#REF!</v>
      </c>
    </row>
    <row r="246" ht="14.25" customHeight="1">
      <c r="A246" s="204" t="str">
        <f t="shared" ref="A246:I246" si="88">'2.10.'!A46</f>
        <v>#REF!</v>
      </c>
      <c r="B246" s="92" t="str">
        <f t="shared" si="88"/>
        <v>#REF!</v>
      </c>
      <c r="C246" s="92" t="str">
        <f t="shared" si="88"/>
        <v>#REF!</v>
      </c>
      <c r="D246" s="204" t="str">
        <f t="shared" si="88"/>
        <v>#REF!</v>
      </c>
      <c r="E246" s="204" t="str">
        <f t="shared" si="88"/>
        <v>#REF!</v>
      </c>
      <c r="F246" s="206" t="str">
        <f t="shared" si="88"/>
        <v>#REF!</v>
      </c>
      <c r="G246" s="217" t="str">
        <f t="shared" si="88"/>
        <v>#REF!</v>
      </c>
      <c r="H246" s="143" t="str">
        <f t="shared" si="88"/>
        <v>#REF!</v>
      </c>
      <c r="I246" s="143" t="str">
        <f t="shared" si="88"/>
        <v>#REF!</v>
      </c>
    </row>
    <row r="247" ht="14.25" customHeight="1">
      <c r="A247" s="216" t="str">
        <f t="shared" ref="A247:I247" si="89">'2.10.'!A47</f>
        <v>#REF!</v>
      </c>
      <c r="B247" s="216" t="str">
        <f t="shared" si="89"/>
        <v>#REF!</v>
      </c>
      <c r="C247" s="216" t="str">
        <f t="shared" si="89"/>
        <v>#REF!</v>
      </c>
      <c r="D247" s="216" t="str">
        <f t="shared" si="89"/>
        <v>#REF!</v>
      </c>
      <c r="E247" s="216" t="str">
        <f t="shared" si="89"/>
        <v>#REF!</v>
      </c>
      <c r="F247" s="208" t="str">
        <f t="shared" si="89"/>
        <v>#REF!</v>
      </c>
      <c r="G247" s="3" t="str">
        <f t="shared" si="89"/>
        <v>#REF!</v>
      </c>
      <c r="H247" s="143" t="str">
        <f t="shared" si="89"/>
        <v>#REF!</v>
      </c>
      <c r="I247" s="143" t="str">
        <f t="shared" si="89"/>
        <v>#REF!</v>
      </c>
    </row>
    <row r="248" ht="14.25" customHeight="1">
      <c r="A248" s="222" t="str">
        <f t="shared" ref="A248:I248" si="90">'2.10.'!A48</f>
        <v>#REF!</v>
      </c>
      <c r="B248" s="223" t="str">
        <f t="shared" si="90"/>
        <v>#REF!</v>
      </c>
      <c r="C248" s="223" t="str">
        <f t="shared" si="90"/>
        <v>#REF!</v>
      </c>
      <c r="D248" s="223" t="str">
        <f t="shared" si="90"/>
        <v>#REF!</v>
      </c>
      <c r="E248" s="223" t="str">
        <f t="shared" si="90"/>
        <v>#REF!</v>
      </c>
      <c r="F248" s="223" t="str">
        <f t="shared" si="90"/>
        <v>#REF!</v>
      </c>
      <c r="G248" s="211" t="str">
        <f t="shared" si="90"/>
        <v>#REF!</v>
      </c>
      <c r="H248" s="223" t="str">
        <f t="shared" si="90"/>
        <v>#REF!</v>
      </c>
      <c r="I248" s="224" t="str">
        <f t="shared" si="90"/>
        <v>#REF!</v>
      </c>
    </row>
    <row r="249" ht="14.25" customHeight="1">
      <c r="G249" s="3"/>
    </row>
    <row r="250" ht="14.25" customHeight="1">
      <c r="G250" s="3"/>
    </row>
    <row r="251" ht="14.25" customHeight="1">
      <c r="A251" s="201" t="str">
        <f t="shared" ref="A251:I251" si="91">'2.10.'!A67</f>
        <v>#REF!</v>
      </c>
      <c r="B251" s="94" t="str">
        <f t="shared" si="91"/>
        <v>#REF!</v>
      </c>
      <c r="C251" s="94" t="str">
        <f t="shared" si="91"/>
        <v>#REF!</v>
      </c>
      <c r="D251" s="94" t="str">
        <f t="shared" si="91"/>
        <v>#REF!</v>
      </c>
      <c r="E251" s="94" t="str">
        <f t="shared" si="91"/>
        <v>#REF!</v>
      </c>
      <c r="F251" s="94" t="str">
        <f t="shared" si="91"/>
        <v>#REF!</v>
      </c>
      <c r="G251" s="2" t="str">
        <f t="shared" si="91"/>
        <v>#REF!</v>
      </c>
      <c r="H251" s="94" t="str">
        <f t="shared" si="91"/>
        <v>#REF!</v>
      </c>
      <c r="I251" s="94" t="str">
        <f t="shared" si="91"/>
        <v>#REF!</v>
      </c>
    </row>
    <row r="252" ht="14.25" customHeight="1">
      <c r="A252" s="202" t="str">
        <f t="shared" ref="A252:I252" si="92">'2.10.'!A68</f>
        <v>#REF!</v>
      </c>
      <c r="B252" s="202" t="str">
        <f t="shared" si="92"/>
        <v>#REF!</v>
      </c>
      <c r="C252" s="202" t="str">
        <f t="shared" si="92"/>
        <v>#REF!</v>
      </c>
      <c r="D252" s="202" t="str">
        <f t="shared" si="92"/>
        <v>#REF!</v>
      </c>
      <c r="E252" s="202" t="str">
        <f t="shared" si="92"/>
        <v>#REF!</v>
      </c>
      <c r="F252" s="202" t="str">
        <f t="shared" si="92"/>
        <v>#REF!</v>
      </c>
      <c r="G252" s="4" t="str">
        <f t="shared" si="92"/>
        <v>#REF!</v>
      </c>
      <c r="H252" s="202" t="str">
        <f t="shared" si="92"/>
        <v>#REF!</v>
      </c>
      <c r="I252" s="202" t="str">
        <f t="shared" si="92"/>
        <v>#REF!</v>
      </c>
    </row>
    <row r="253" ht="14.25" customHeight="1">
      <c r="A253" s="204" t="str">
        <f t="shared" ref="A253:I253" si="93">'2.10.'!A69</f>
        <v>#REF!</v>
      </c>
      <c r="B253" s="92" t="str">
        <f t="shared" si="93"/>
        <v>#REF!</v>
      </c>
      <c r="C253" s="92" t="str">
        <f t="shared" si="93"/>
        <v>#REF!</v>
      </c>
      <c r="D253" s="204" t="str">
        <f t="shared" si="93"/>
        <v>#REF!</v>
      </c>
      <c r="E253" s="204" t="str">
        <f t="shared" si="93"/>
        <v>#REF!</v>
      </c>
      <c r="F253" s="206" t="str">
        <f t="shared" si="93"/>
        <v>#REF!</v>
      </c>
      <c r="G253" s="221" t="str">
        <f t="shared" si="93"/>
        <v>#REF!</v>
      </c>
      <c r="H253" s="143" t="str">
        <f t="shared" si="93"/>
        <v>#REF!</v>
      </c>
      <c r="I253" s="143" t="str">
        <f t="shared" si="93"/>
        <v>#REF!</v>
      </c>
    </row>
    <row r="254" ht="14.25" customHeight="1">
      <c r="A254" s="204" t="str">
        <f t="shared" ref="A254:I254" si="94">'2.10.'!A70</f>
        <v>#REF!</v>
      </c>
      <c r="B254" s="92" t="str">
        <f t="shared" si="94"/>
        <v>#REF!</v>
      </c>
      <c r="C254" s="92" t="str">
        <f t="shared" si="94"/>
        <v>#REF!</v>
      </c>
      <c r="D254" s="204" t="str">
        <f t="shared" si="94"/>
        <v>#REF!</v>
      </c>
      <c r="E254" s="204" t="str">
        <f t="shared" si="94"/>
        <v>#REF!</v>
      </c>
      <c r="F254" s="206" t="str">
        <f t="shared" si="94"/>
        <v>#REF!</v>
      </c>
      <c r="G254" s="221" t="str">
        <f t="shared" si="94"/>
        <v>#REF!</v>
      </c>
      <c r="H254" s="143" t="str">
        <f t="shared" si="94"/>
        <v>#REF!</v>
      </c>
      <c r="I254" s="143" t="str">
        <f t="shared" si="94"/>
        <v>#REF!</v>
      </c>
    </row>
    <row r="255" ht="14.25" customHeight="1">
      <c r="A255" s="204" t="str">
        <f t="shared" ref="A255:I255" si="95">'2.10.'!A71</f>
        <v>#REF!</v>
      </c>
      <c r="B255" s="92" t="str">
        <f t="shared" si="95"/>
        <v>#REF!</v>
      </c>
      <c r="C255" s="92" t="str">
        <f t="shared" si="95"/>
        <v>#REF!</v>
      </c>
      <c r="D255" s="204" t="str">
        <f t="shared" si="95"/>
        <v>#REF!</v>
      </c>
      <c r="E255" s="204" t="str">
        <f t="shared" si="95"/>
        <v>#REF!</v>
      </c>
      <c r="F255" s="206" t="str">
        <f t="shared" si="95"/>
        <v>#REF!</v>
      </c>
      <c r="G255" s="221" t="str">
        <f t="shared" si="95"/>
        <v>#REF!</v>
      </c>
      <c r="H255" s="143" t="str">
        <f t="shared" si="95"/>
        <v>#REF!</v>
      </c>
      <c r="I255" s="143" t="str">
        <f t="shared" si="95"/>
        <v>#REF!</v>
      </c>
    </row>
    <row r="256" ht="14.25" customHeight="1">
      <c r="A256" s="204" t="str">
        <f t="shared" ref="A256:I256" si="96">'2.10.'!A72</f>
        <v>#REF!</v>
      </c>
      <c r="B256" s="92" t="str">
        <f t="shared" si="96"/>
        <v>#REF!</v>
      </c>
      <c r="C256" s="92" t="str">
        <f t="shared" si="96"/>
        <v>#REF!</v>
      </c>
      <c r="D256" s="204" t="str">
        <f t="shared" si="96"/>
        <v>#REF!</v>
      </c>
      <c r="E256" s="204" t="str">
        <f t="shared" si="96"/>
        <v>#REF!</v>
      </c>
      <c r="F256" s="206" t="str">
        <f t="shared" si="96"/>
        <v>#REF!</v>
      </c>
      <c r="G256" s="221" t="str">
        <f t="shared" si="96"/>
        <v>#REF!</v>
      </c>
      <c r="H256" s="143" t="str">
        <f t="shared" si="96"/>
        <v>#REF!</v>
      </c>
      <c r="I256" s="143" t="str">
        <f t="shared" si="96"/>
        <v>#REF!</v>
      </c>
    </row>
    <row r="257" ht="14.25" customHeight="1">
      <c r="A257" s="204" t="str">
        <f t="shared" ref="A257:I257" si="97">'2.10.'!A73</f>
        <v>#REF!</v>
      </c>
      <c r="B257" s="92" t="str">
        <f t="shared" si="97"/>
        <v>#REF!</v>
      </c>
      <c r="C257" s="92" t="str">
        <f t="shared" si="97"/>
        <v>#REF!</v>
      </c>
      <c r="D257" s="204" t="str">
        <f t="shared" si="97"/>
        <v>#REF!</v>
      </c>
      <c r="E257" s="204" t="str">
        <f t="shared" si="97"/>
        <v>#REF!</v>
      </c>
      <c r="F257" s="206" t="str">
        <f t="shared" si="97"/>
        <v>#REF!</v>
      </c>
      <c r="G257" s="221" t="str">
        <f t="shared" si="97"/>
        <v>#REF!</v>
      </c>
      <c r="H257" s="143" t="str">
        <f t="shared" si="97"/>
        <v>#REF!</v>
      </c>
      <c r="I257" s="143" t="str">
        <f t="shared" si="97"/>
        <v>#REF!</v>
      </c>
    </row>
    <row r="258" ht="14.25" customHeight="1">
      <c r="A258" s="204" t="str">
        <f t="shared" ref="A258:I258" si="98">'2.10.'!A74</f>
        <v>#REF!</v>
      </c>
      <c r="B258" s="92" t="str">
        <f t="shared" si="98"/>
        <v>#REF!</v>
      </c>
      <c r="C258" s="92" t="str">
        <f t="shared" si="98"/>
        <v>#REF!</v>
      </c>
      <c r="D258" s="204" t="str">
        <f t="shared" si="98"/>
        <v>#REF!</v>
      </c>
      <c r="E258" s="204" t="str">
        <f t="shared" si="98"/>
        <v>#REF!</v>
      </c>
      <c r="F258" s="206" t="str">
        <f t="shared" si="98"/>
        <v>#REF!</v>
      </c>
      <c r="G258" s="221" t="str">
        <f t="shared" si="98"/>
        <v>#REF!</v>
      </c>
      <c r="H258" s="143" t="str">
        <f t="shared" si="98"/>
        <v>#REF!</v>
      </c>
      <c r="I258" s="143" t="str">
        <f t="shared" si="98"/>
        <v>#REF!</v>
      </c>
    </row>
    <row r="259" ht="14.25" customHeight="1">
      <c r="A259" s="216" t="str">
        <f t="shared" ref="A259:I259" si="99">'2.10.'!A75</f>
        <v>#REF!</v>
      </c>
      <c r="B259" s="216" t="str">
        <f t="shared" si="99"/>
        <v>#REF!</v>
      </c>
      <c r="C259" s="216" t="str">
        <f t="shared" si="99"/>
        <v>#REF!</v>
      </c>
      <c r="D259" s="216" t="str">
        <f t="shared" si="99"/>
        <v>#REF!</v>
      </c>
      <c r="E259" s="216" t="str">
        <f t="shared" si="99"/>
        <v>#REF!</v>
      </c>
      <c r="F259" s="208" t="str">
        <f t="shared" si="99"/>
        <v>#REF!</v>
      </c>
      <c r="G259" s="3" t="str">
        <f t="shared" si="99"/>
        <v>#REF!</v>
      </c>
      <c r="H259" s="143" t="str">
        <f t="shared" si="99"/>
        <v>#REF!</v>
      </c>
      <c r="I259" s="143" t="str">
        <f t="shared" si="99"/>
        <v>#REF!</v>
      </c>
    </row>
    <row r="260" ht="14.25" customHeight="1">
      <c r="A260" s="222" t="str">
        <f t="shared" ref="A260:I260" si="100">'2.10.'!A76</f>
        <v>#REF!</v>
      </c>
      <c r="B260" s="223" t="str">
        <f t="shared" si="100"/>
        <v>#REF!</v>
      </c>
      <c r="C260" s="223" t="str">
        <f t="shared" si="100"/>
        <v>#REF!</v>
      </c>
      <c r="D260" s="223" t="str">
        <f t="shared" si="100"/>
        <v>#REF!</v>
      </c>
      <c r="E260" s="223" t="str">
        <f t="shared" si="100"/>
        <v>#REF!</v>
      </c>
      <c r="F260" s="223" t="str">
        <f t="shared" si="100"/>
        <v>#REF!</v>
      </c>
      <c r="G260" s="211" t="str">
        <f t="shared" si="100"/>
        <v>#REF!</v>
      </c>
      <c r="H260" s="223" t="str">
        <f t="shared" si="100"/>
        <v>#REF!</v>
      </c>
      <c r="I260" s="224" t="str">
        <f t="shared" si="100"/>
        <v>#REF!</v>
      </c>
    </row>
    <row r="261" ht="15.75" customHeight="1">
      <c r="G261" s="3"/>
    </row>
    <row r="262" ht="15.75" customHeight="1">
      <c r="G262" s="3"/>
    </row>
    <row r="263" ht="23.25" customHeight="1">
      <c r="A263" s="195" t="str">
        <f>'2.11.'!A3</f>
        <v>#REF!</v>
      </c>
      <c r="B263" s="196" t="str">
        <f>'2.1.'!B263</f>
        <v/>
      </c>
      <c r="C263" s="197"/>
      <c r="D263" s="197"/>
      <c r="E263" s="197"/>
      <c r="F263" s="197"/>
      <c r="G263" s="198" t="str">
        <f>'2.1.'!G263</f>
        <v/>
      </c>
      <c r="H263" s="199" t="str">
        <f>'2.1.'!H263</f>
        <v/>
      </c>
      <c r="I263" s="200" t="str">
        <f>'2.1.'!I263</f>
        <v/>
      </c>
    </row>
    <row r="264" ht="14.25" customHeight="1">
      <c r="G264" s="3"/>
    </row>
    <row r="265" ht="14.25" customHeight="1">
      <c r="A265" s="201" t="str">
        <f t="shared" ref="A265:I265" si="101">'2.11.'!A39</f>
        <v>#REF!</v>
      </c>
      <c r="B265" s="94" t="str">
        <f t="shared" si="101"/>
        <v>#REF!</v>
      </c>
      <c r="C265" s="94" t="str">
        <f t="shared" si="101"/>
        <v>#REF!</v>
      </c>
      <c r="D265" s="94" t="str">
        <f t="shared" si="101"/>
        <v>#REF!</v>
      </c>
      <c r="E265" s="94" t="str">
        <f t="shared" si="101"/>
        <v>#REF!</v>
      </c>
      <c r="F265" s="94" t="str">
        <f t="shared" si="101"/>
        <v>#REF!</v>
      </c>
      <c r="G265" s="2" t="str">
        <f t="shared" si="101"/>
        <v>#REF!</v>
      </c>
      <c r="H265" s="94" t="str">
        <f t="shared" si="101"/>
        <v>#REF!</v>
      </c>
      <c r="I265" s="94" t="str">
        <f t="shared" si="101"/>
        <v>#REF!</v>
      </c>
    </row>
    <row r="266" ht="14.25" customHeight="1">
      <c r="A266" s="202" t="str">
        <f t="shared" ref="A266:I266" si="102">'2.11.'!A40</f>
        <v>#REF!</v>
      </c>
      <c r="B266" s="202" t="str">
        <f t="shared" si="102"/>
        <v>#REF!</v>
      </c>
      <c r="C266" s="202" t="str">
        <f t="shared" si="102"/>
        <v>#REF!</v>
      </c>
      <c r="D266" s="202" t="str">
        <f t="shared" si="102"/>
        <v>#REF!</v>
      </c>
      <c r="E266" s="202" t="str">
        <f t="shared" si="102"/>
        <v>#REF!</v>
      </c>
      <c r="F266" s="202" t="str">
        <f t="shared" si="102"/>
        <v>#REF!</v>
      </c>
      <c r="G266" s="4" t="str">
        <f t="shared" si="102"/>
        <v>#REF!</v>
      </c>
      <c r="H266" s="202" t="str">
        <f t="shared" si="102"/>
        <v>#REF!</v>
      </c>
      <c r="I266" s="202" t="str">
        <f t="shared" si="102"/>
        <v>#REF!</v>
      </c>
    </row>
    <row r="267" ht="14.25" customHeight="1">
      <c r="A267" s="204" t="str">
        <f t="shared" ref="A267:I267" si="103">'2.11.'!A41</f>
        <v>#REF!</v>
      </c>
      <c r="B267" s="92" t="str">
        <f t="shared" si="103"/>
        <v>#REF!</v>
      </c>
      <c r="C267" s="92" t="str">
        <f t="shared" si="103"/>
        <v>#REF!</v>
      </c>
      <c r="D267" s="204" t="str">
        <f t="shared" si="103"/>
        <v>#REF!</v>
      </c>
      <c r="E267" s="204" t="str">
        <f t="shared" si="103"/>
        <v>#REF!</v>
      </c>
      <c r="F267" s="206" t="str">
        <f t="shared" si="103"/>
        <v>#REF!</v>
      </c>
      <c r="G267" s="217" t="str">
        <f t="shared" si="103"/>
        <v>#REF!</v>
      </c>
      <c r="H267" s="143" t="str">
        <f t="shared" si="103"/>
        <v>#REF!</v>
      </c>
      <c r="I267" s="143" t="str">
        <f t="shared" si="103"/>
        <v>#REF!</v>
      </c>
    </row>
    <row r="268" ht="14.25" customHeight="1">
      <c r="A268" s="204" t="str">
        <f t="shared" ref="A268:I268" si="104">'2.11.'!A42</f>
        <v>#REF!</v>
      </c>
      <c r="B268" s="92" t="str">
        <f t="shared" si="104"/>
        <v>#REF!</v>
      </c>
      <c r="C268" s="92" t="str">
        <f t="shared" si="104"/>
        <v>#REF!</v>
      </c>
      <c r="D268" s="204" t="str">
        <f t="shared" si="104"/>
        <v>#REF!</v>
      </c>
      <c r="E268" s="204" t="str">
        <f t="shared" si="104"/>
        <v>#REF!</v>
      </c>
      <c r="F268" s="206" t="str">
        <f t="shared" si="104"/>
        <v>#REF!</v>
      </c>
      <c r="G268" s="217" t="str">
        <f t="shared" si="104"/>
        <v>#REF!</v>
      </c>
      <c r="H268" s="143" t="str">
        <f t="shared" si="104"/>
        <v>#REF!</v>
      </c>
      <c r="I268" s="143" t="str">
        <f t="shared" si="104"/>
        <v>#REF!</v>
      </c>
    </row>
    <row r="269" ht="14.25" customHeight="1">
      <c r="A269" s="204" t="str">
        <f t="shared" ref="A269:I269" si="105">'2.11.'!A43</f>
        <v>#REF!</v>
      </c>
      <c r="B269" s="92" t="str">
        <f t="shared" si="105"/>
        <v>#REF!</v>
      </c>
      <c r="C269" s="92" t="str">
        <f t="shared" si="105"/>
        <v>#REF!</v>
      </c>
      <c r="D269" s="204" t="str">
        <f t="shared" si="105"/>
        <v>#REF!</v>
      </c>
      <c r="E269" s="204" t="str">
        <f t="shared" si="105"/>
        <v>#REF!</v>
      </c>
      <c r="F269" s="206" t="str">
        <f t="shared" si="105"/>
        <v>#REF!</v>
      </c>
      <c r="G269" s="217" t="str">
        <f t="shared" si="105"/>
        <v>#REF!</v>
      </c>
      <c r="H269" s="143" t="str">
        <f t="shared" si="105"/>
        <v>#REF!</v>
      </c>
      <c r="I269" s="143" t="str">
        <f t="shared" si="105"/>
        <v>#REF!</v>
      </c>
    </row>
    <row r="270" ht="14.25" customHeight="1">
      <c r="A270" s="204" t="str">
        <f t="shared" ref="A270:I270" si="106">'2.11.'!A44</f>
        <v>#REF!</v>
      </c>
      <c r="B270" s="92" t="str">
        <f t="shared" si="106"/>
        <v>#REF!</v>
      </c>
      <c r="C270" s="92" t="str">
        <f t="shared" si="106"/>
        <v>#REF!</v>
      </c>
      <c r="D270" s="204" t="str">
        <f t="shared" si="106"/>
        <v>#REF!</v>
      </c>
      <c r="E270" s="204" t="str">
        <f t="shared" si="106"/>
        <v>#REF!</v>
      </c>
      <c r="F270" s="206" t="str">
        <f t="shared" si="106"/>
        <v>#REF!</v>
      </c>
      <c r="G270" s="217" t="str">
        <f t="shared" si="106"/>
        <v>#REF!</v>
      </c>
      <c r="H270" s="143" t="str">
        <f t="shared" si="106"/>
        <v>#REF!</v>
      </c>
      <c r="I270" s="143" t="str">
        <f t="shared" si="106"/>
        <v>#REF!</v>
      </c>
    </row>
    <row r="271" ht="14.25" customHeight="1">
      <c r="A271" s="204" t="str">
        <f t="shared" ref="A271:I271" si="107">'2.11.'!A45</f>
        <v>#REF!</v>
      </c>
      <c r="B271" s="92" t="str">
        <f t="shared" si="107"/>
        <v>#REF!</v>
      </c>
      <c r="C271" s="92" t="str">
        <f t="shared" si="107"/>
        <v>#REF!</v>
      </c>
      <c r="D271" s="204" t="str">
        <f t="shared" si="107"/>
        <v>#REF!</v>
      </c>
      <c r="E271" s="204" t="str">
        <f t="shared" si="107"/>
        <v>#REF!</v>
      </c>
      <c r="F271" s="206" t="str">
        <f t="shared" si="107"/>
        <v>#REF!</v>
      </c>
      <c r="G271" s="217" t="str">
        <f t="shared" si="107"/>
        <v>#REF!</v>
      </c>
      <c r="H271" s="143" t="str">
        <f t="shared" si="107"/>
        <v>#REF!</v>
      </c>
      <c r="I271" s="143" t="str">
        <f t="shared" si="107"/>
        <v>#REF!</v>
      </c>
    </row>
    <row r="272" ht="14.25" customHeight="1">
      <c r="A272" s="204" t="str">
        <f t="shared" ref="A272:I272" si="108">'2.11.'!A46</f>
        <v>#REF!</v>
      </c>
      <c r="B272" s="92" t="str">
        <f t="shared" si="108"/>
        <v>#REF!</v>
      </c>
      <c r="C272" s="92" t="str">
        <f t="shared" si="108"/>
        <v>#REF!</v>
      </c>
      <c r="D272" s="204" t="str">
        <f t="shared" si="108"/>
        <v>#REF!</v>
      </c>
      <c r="E272" s="204" t="str">
        <f t="shared" si="108"/>
        <v>#REF!</v>
      </c>
      <c r="F272" s="206" t="str">
        <f t="shared" si="108"/>
        <v>#REF!</v>
      </c>
      <c r="G272" s="217" t="str">
        <f t="shared" si="108"/>
        <v>#REF!</v>
      </c>
      <c r="H272" s="143" t="str">
        <f t="shared" si="108"/>
        <v>#REF!</v>
      </c>
      <c r="I272" s="143" t="str">
        <f t="shared" si="108"/>
        <v>#REF!</v>
      </c>
    </row>
    <row r="273" ht="14.25" customHeight="1">
      <c r="A273" s="216" t="str">
        <f t="shared" ref="A273:I273" si="109">'2.11.'!A47</f>
        <v>#REF!</v>
      </c>
      <c r="B273" s="216" t="str">
        <f t="shared" si="109"/>
        <v>#REF!</v>
      </c>
      <c r="C273" s="216" t="str">
        <f t="shared" si="109"/>
        <v>#REF!</v>
      </c>
      <c r="D273" s="216" t="str">
        <f t="shared" si="109"/>
        <v>#REF!</v>
      </c>
      <c r="E273" s="216" t="str">
        <f t="shared" si="109"/>
        <v>#REF!</v>
      </c>
      <c r="F273" s="208" t="str">
        <f t="shared" si="109"/>
        <v>#REF!</v>
      </c>
      <c r="G273" s="3" t="str">
        <f t="shared" si="109"/>
        <v>#REF!</v>
      </c>
      <c r="H273" s="143" t="str">
        <f t="shared" si="109"/>
        <v>#REF!</v>
      </c>
      <c r="I273" s="143" t="str">
        <f t="shared" si="109"/>
        <v>#REF!</v>
      </c>
    </row>
    <row r="274" ht="14.25" customHeight="1">
      <c r="A274" s="222" t="str">
        <f t="shared" ref="A274:I274" si="110">'2.11.'!A48</f>
        <v>#REF!</v>
      </c>
      <c r="B274" s="223" t="str">
        <f t="shared" si="110"/>
        <v>#REF!</v>
      </c>
      <c r="C274" s="223" t="str">
        <f t="shared" si="110"/>
        <v>#REF!</v>
      </c>
      <c r="D274" s="223" t="str">
        <f t="shared" si="110"/>
        <v>#REF!</v>
      </c>
      <c r="E274" s="223" t="str">
        <f t="shared" si="110"/>
        <v>#REF!</v>
      </c>
      <c r="F274" s="223" t="str">
        <f t="shared" si="110"/>
        <v>#REF!</v>
      </c>
      <c r="G274" s="211" t="str">
        <f t="shared" si="110"/>
        <v>#REF!</v>
      </c>
      <c r="H274" s="223" t="str">
        <f t="shared" si="110"/>
        <v>#REF!</v>
      </c>
      <c r="I274" s="224" t="str">
        <f t="shared" si="110"/>
        <v>#REF!</v>
      </c>
    </row>
    <row r="275" ht="14.25" customHeight="1">
      <c r="G275" s="3"/>
    </row>
    <row r="276" ht="14.25" customHeight="1">
      <c r="G276" s="3"/>
    </row>
    <row r="277" ht="14.25" customHeight="1">
      <c r="A277" s="201" t="str">
        <f t="shared" ref="A277:I277" si="111">'2.11.'!A67</f>
        <v>#REF!</v>
      </c>
      <c r="B277" s="94" t="str">
        <f t="shared" si="111"/>
        <v>#REF!</v>
      </c>
      <c r="C277" s="94" t="str">
        <f t="shared" si="111"/>
        <v>#REF!</v>
      </c>
      <c r="D277" s="94" t="str">
        <f t="shared" si="111"/>
        <v>#REF!</v>
      </c>
      <c r="E277" s="94" t="str">
        <f t="shared" si="111"/>
        <v>#REF!</v>
      </c>
      <c r="F277" s="94" t="str">
        <f t="shared" si="111"/>
        <v>#REF!</v>
      </c>
      <c r="G277" s="2" t="str">
        <f t="shared" si="111"/>
        <v>#REF!</v>
      </c>
      <c r="H277" s="94" t="str">
        <f t="shared" si="111"/>
        <v>#REF!</v>
      </c>
      <c r="I277" s="94" t="str">
        <f t="shared" si="111"/>
        <v>#REF!</v>
      </c>
    </row>
    <row r="278" ht="14.25" customHeight="1">
      <c r="A278" s="202" t="str">
        <f t="shared" ref="A278:I278" si="112">'2.11.'!A68</f>
        <v>#REF!</v>
      </c>
      <c r="B278" s="202" t="str">
        <f t="shared" si="112"/>
        <v>#REF!</v>
      </c>
      <c r="C278" s="202" t="str">
        <f t="shared" si="112"/>
        <v>#REF!</v>
      </c>
      <c r="D278" s="202" t="str">
        <f t="shared" si="112"/>
        <v>#REF!</v>
      </c>
      <c r="E278" s="202" t="str">
        <f t="shared" si="112"/>
        <v>#REF!</v>
      </c>
      <c r="F278" s="202" t="str">
        <f t="shared" si="112"/>
        <v>#REF!</v>
      </c>
      <c r="G278" s="4" t="str">
        <f t="shared" si="112"/>
        <v>#REF!</v>
      </c>
      <c r="H278" s="202" t="str">
        <f t="shared" si="112"/>
        <v>#REF!</v>
      </c>
      <c r="I278" s="202" t="str">
        <f t="shared" si="112"/>
        <v>#REF!</v>
      </c>
    </row>
    <row r="279" ht="14.25" customHeight="1">
      <c r="A279" s="204" t="str">
        <f t="shared" ref="A279:I279" si="113">'2.11.'!A69</f>
        <v>#REF!</v>
      </c>
      <c r="B279" s="92" t="str">
        <f t="shared" si="113"/>
        <v>#REF!</v>
      </c>
      <c r="C279" s="92" t="str">
        <f t="shared" si="113"/>
        <v>#REF!</v>
      </c>
      <c r="D279" s="204" t="str">
        <f t="shared" si="113"/>
        <v>#REF!</v>
      </c>
      <c r="E279" s="204" t="str">
        <f t="shared" si="113"/>
        <v>#REF!</v>
      </c>
      <c r="F279" s="206" t="str">
        <f t="shared" si="113"/>
        <v>#REF!</v>
      </c>
      <c r="G279" s="221" t="str">
        <f t="shared" si="113"/>
        <v>#REF!</v>
      </c>
      <c r="H279" s="143" t="str">
        <f t="shared" si="113"/>
        <v>#REF!</v>
      </c>
      <c r="I279" s="143" t="str">
        <f t="shared" si="113"/>
        <v>#REF!</v>
      </c>
    </row>
    <row r="280" ht="14.25" customHeight="1">
      <c r="A280" s="204" t="str">
        <f t="shared" ref="A280:I280" si="114">'2.11.'!A70</f>
        <v>#REF!</v>
      </c>
      <c r="B280" s="92" t="str">
        <f t="shared" si="114"/>
        <v>#REF!</v>
      </c>
      <c r="C280" s="92" t="str">
        <f t="shared" si="114"/>
        <v>#REF!</v>
      </c>
      <c r="D280" s="204" t="str">
        <f t="shared" si="114"/>
        <v>#REF!</v>
      </c>
      <c r="E280" s="204" t="str">
        <f t="shared" si="114"/>
        <v>#REF!</v>
      </c>
      <c r="F280" s="206" t="str">
        <f t="shared" si="114"/>
        <v>#REF!</v>
      </c>
      <c r="G280" s="221" t="str">
        <f t="shared" si="114"/>
        <v>#REF!</v>
      </c>
      <c r="H280" s="143" t="str">
        <f t="shared" si="114"/>
        <v>#REF!</v>
      </c>
      <c r="I280" s="143" t="str">
        <f t="shared" si="114"/>
        <v>#REF!</v>
      </c>
    </row>
    <row r="281" ht="14.25" customHeight="1">
      <c r="A281" s="204" t="str">
        <f t="shared" ref="A281:I281" si="115">'2.11.'!A71</f>
        <v>#REF!</v>
      </c>
      <c r="B281" s="92" t="str">
        <f t="shared" si="115"/>
        <v>#REF!</v>
      </c>
      <c r="C281" s="92" t="str">
        <f t="shared" si="115"/>
        <v>#REF!</v>
      </c>
      <c r="D281" s="204" t="str">
        <f t="shared" si="115"/>
        <v>#REF!</v>
      </c>
      <c r="E281" s="204" t="str">
        <f t="shared" si="115"/>
        <v>#REF!</v>
      </c>
      <c r="F281" s="206" t="str">
        <f t="shared" si="115"/>
        <v>#REF!</v>
      </c>
      <c r="G281" s="221" t="str">
        <f t="shared" si="115"/>
        <v>#REF!</v>
      </c>
      <c r="H281" s="143" t="str">
        <f t="shared" si="115"/>
        <v>#REF!</v>
      </c>
      <c r="I281" s="143" t="str">
        <f t="shared" si="115"/>
        <v>#REF!</v>
      </c>
    </row>
    <row r="282" ht="14.25" customHeight="1">
      <c r="A282" s="204" t="str">
        <f t="shared" ref="A282:I282" si="116">'2.11.'!A72</f>
        <v>#REF!</v>
      </c>
      <c r="B282" s="92" t="str">
        <f t="shared" si="116"/>
        <v>#REF!</v>
      </c>
      <c r="C282" s="92" t="str">
        <f t="shared" si="116"/>
        <v>#REF!</v>
      </c>
      <c r="D282" s="204" t="str">
        <f t="shared" si="116"/>
        <v>#REF!</v>
      </c>
      <c r="E282" s="204" t="str">
        <f t="shared" si="116"/>
        <v>#REF!</v>
      </c>
      <c r="F282" s="206" t="str">
        <f t="shared" si="116"/>
        <v>#REF!</v>
      </c>
      <c r="G282" s="221" t="str">
        <f t="shared" si="116"/>
        <v>#REF!</v>
      </c>
      <c r="H282" s="143" t="str">
        <f t="shared" si="116"/>
        <v>#REF!</v>
      </c>
      <c r="I282" s="143" t="str">
        <f t="shared" si="116"/>
        <v>#REF!</v>
      </c>
    </row>
    <row r="283" ht="14.25" customHeight="1">
      <c r="A283" s="204" t="str">
        <f t="shared" ref="A283:I283" si="117">'2.11.'!A73</f>
        <v>#REF!</v>
      </c>
      <c r="B283" s="92" t="str">
        <f t="shared" si="117"/>
        <v>#REF!</v>
      </c>
      <c r="C283" s="92" t="str">
        <f t="shared" si="117"/>
        <v>#REF!</v>
      </c>
      <c r="D283" s="204" t="str">
        <f t="shared" si="117"/>
        <v>#REF!</v>
      </c>
      <c r="E283" s="204" t="str">
        <f t="shared" si="117"/>
        <v>#REF!</v>
      </c>
      <c r="F283" s="206" t="str">
        <f t="shared" si="117"/>
        <v>#REF!</v>
      </c>
      <c r="G283" s="221" t="str">
        <f t="shared" si="117"/>
        <v>#REF!</v>
      </c>
      <c r="H283" s="143" t="str">
        <f t="shared" si="117"/>
        <v>#REF!</v>
      </c>
      <c r="I283" s="143" t="str">
        <f t="shared" si="117"/>
        <v>#REF!</v>
      </c>
    </row>
    <row r="284" ht="14.25" customHeight="1">
      <c r="A284" s="204" t="str">
        <f t="shared" ref="A284:I284" si="118">'2.11.'!A74</f>
        <v>#REF!</v>
      </c>
      <c r="B284" s="92" t="str">
        <f t="shared" si="118"/>
        <v>#REF!</v>
      </c>
      <c r="C284" s="92" t="str">
        <f t="shared" si="118"/>
        <v>#REF!</v>
      </c>
      <c r="D284" s="204" t="str">
        <f t="shared" si="118"/>
        <v>#REF!</v>
      </c>
      <c r="E284" s="204" t="str">
        <f t="shared" si="118"/>
        <v>#REF!</v>
      </c>
      <c r="F284" s="206" t="str">
        <f t="shared" si="118"/>
        <v>#REF!</v>
      </c>
      <c r="G284" s="221" t="str">
        <f t="shared" si="118"/>
        <v>#REF!</v>
      </c>
      <c r="H284" s="143" t="str">
        <f t="shared" si="118"/>
        <v>#REF!</v>
      </c>
      <c r="I284" s="143" t="str">
        <f t="shared" si="118"/>
        <v>#REF!</v>
      </c>
    </row>
    <row r="285" ht="14.25" customHeight="1">
      <c r="A285" s="216" t="str">
        <f t="shared" ref="A285:I285" si="119">'2.11.'!A75</f>
        <v>#REF!</v>
      </c>
      <c r="B285" s="216" t="str">
        <f t="shared" si="119"/>
        <v>#REF!</v>
      </c>
      <c r="C285" s="216" t="str">
        <f t="shared" si="119"/>
        <v>#REF!</v>
      </c>
      <c r="D285" s="216" t="str">
        <f t="shared" si="119"/>
        <v>#REF!</v>
      </c>
      <c r="E285" s="216" t="str">
        <f t="shared" si="119"/>
        <v>#REF!</v>
      </c>
      <c r="F285" s="208" t="str">
        <f t="shared" si="119"/>
        <v>#REF!</v>
      </c>
      <c r="G285" s="3" t="str">
        <f t="shared" si="119"/>
        <v>#REF!</v>
      </c>
      <c r="H285" s="143" t="str">
        <f t="shared" si="119"/>
        <v>#REF!</v>
      </c>
      <c r="I285" s="143" t="str">
        <f t="shared" si="119"/>
        <v>#REF!</v>
      </c>
    </row>
    <row r="286" ht="14.25" customHeight="1">
      <c r="A286" s="222" t="str">
        <f t="shared" ref="A286:I286" si="120">'2.11.'!A76</f>
        <v>#REF!</v>
      </c>
      <c r="B286" s="223" t="str">
        <f t="shared" si="120"/>
        <v>#REF!</v>
      </c>
      <c r="C286" s="223" t="str">
        <f t="shared" si="120"/>
        <v>#REF!</v>
      </c>
      <c r="D286" s="223" t="str">
        <f t="shared" si="120"/>
        <v>#REF!</v>
      </c>
      <c r="E286" s="223" t="str">
        <f t="shared" si="120"/>
        <v>#REF!</v>
      </c>
      <c r="F286" s="223" t="str">
        <f t="shared" si="120"/>
        <v>#REF!</v>
      </c>
      <c r="G286" s="211" t="str">
        <f t="shared" si="120"/>
        <v>#REF!</v>
      </c>
      <c r="H286" s="223" t="str">
        <f t="shared" si="120"/>
        <v>#REF!</v>
      </c>
      <c r="I286" s="224" t="str">
        <f t="shared" si="120"/>
        <v>#REF!</v>
      </c>
    </row>
    <row r="287" ht="15.75" customHeight="1">
      <c r="G287" s="3"/>
    </row>
    <row r="288" ht="15.75" customHeight="1">
      <c r="G288" s="3"/>
    </row>
    <row r="289" ht="23.25" customHeight="1">
      <c r="A289" s="195" t="str">
        <f>'2.12.'!A3</f>
        <v>#REF!</v>
      </c>
      <c r="B289" s="196" t="str">
        <f>'2.1.'!B289</f>
        <v/>
      </c>
      <c r="C289" s="197"/>
      <c r="D289" s="197"/>
      <c r="E289" s="197"/>
      <c r="F289" s="197"/>
      <c r="G289" s="198" t="str">
        <f>'2.1.'!G289</f>
        <v/>
      </c>
      <c r="H289" s="199" t="str">
        <f>'2.1.'!H289</f>
        <v/>
      </c>
      <c r="I289" s="200" t="str">
        <f>'2.1.'!I289</f>
        <v/>
      </c>
    </row>
    <row r="290" ht="14.25" customHeight="1">
      <c r="G290" s="3"/>
    </row>
    <row r="291" ht="14.25" customHeight="1">
      <c r="A291" s="201" t="str">
        <f t="shared" ref="A291:I291" si="121">'2.12.'!A39</f>
        <v>#REF!</v>
      </c>
      <c r="B291" s="94" t="str">
        <f t="shared" si="121"/>
        <v>#REF!</v>
      </c>
      <c r="C291" s="94" t="str">
        <f t="shared" si="121"/>
        <v>#REF!</v>
      </c>
      <c r="D291" s="94" t="str">
        <f t="shared" si="121"/>
        <v>#REF!</v>
      </c>
      <c r="E291" s="94" t="str">
        <f t="shared" si="121"/>
        <v>#REF!</v>
      </c>
      <c r="F291" s="94" t="str">
        <f t="shared" si="121"/>
        <v>#REF!</v>
      </c>
      <c r="G291" s="2" t="str">
        <f t="shared" si="121"/>
        <v>#REF!</v>
      </c>
      <c r="H291" s="94" t="str">
        <f t="shared" si="121"/>
        <v>#REF!</v>
      </c>
      <c r="I291" s="94" t="str">
        <f t="shared" si="121"/>
        <v>#REF!</v>
      </c>
    </row>
    <row r="292" ht="14.25" customHeight="1">
      <c r="A292" s="202" t="str">
        <f t="shared" ref="A292:I292" si="122">'2.12.'!A40</f>
        <v>#REF!</v>
      </c>
      <c r="B292" s="202" t="str">
        <f t="shared" si="122"/>
        <v>#REF!</v>
      </c>
      <c r="C292" s="202" t="str">
        <f t="shared" si="122"/>
        <v>#REF!</v>
      </c>
      <c r="D292" s="202" t="str">
        <f t="shared" si="122"/>
        <v>#REF!</v>
      </c>
      <c r="E292" s="202" t="str">
        <f t="shared" si="122"/>
        <v>#REF!</v>
      </c>
      <c r="F292" s="202" t="str">
        <f t="shared" si="122"/>
        <v>#REF!</v>
      </c>
      <c r="G292" s="4" t="str">
        <f t="shared" si="122"/>
        <v>#REF!</v>
      </c>
      <c r="H292" s="202" t="str">
        <f t="shared" si="122"/>
        <v>#REF!</v>
      </c>
      <c r="I292" s="202" t="str">
        <f t="shared" si="122"/>
        <v>#REF!</v>
      </c>
    </row>
    <row r="293" ht="14.25" customHeight="1">
      <c r="A293" s="204" t="str">
        <f t="shared" ref="A293:I293" si="123">'2.12.'!A41</f>
        <v>#REF!</v>
      </c>
      <c r="B293" s="92" t="str">
        <f t="shared" si="123"/>
        <v>#REF!</v>
      </c>
      <c r="C293" s="92" t="str">
        <f t="shared" si="123"/>
        <v>#REF!</v>
      </c>
      <c r="D293" s="204" t="str">
        <f t="shared" si="123"/>
        <v>#REF!</v>
      </c>
      <c r="E293" s="204" t="str">
        <f t="shared" si="123"/>
        <v>#REF!</v>
      </c>
      <c r="F293" s="206" t="str">
        <f t="shared" si="123"/>
        <v>#REF!</v>
      </c>
      <c r="G293" s="217" t="str">
        <f t="shared" si="123"/>
        <v>#REF!</v>
      </c>
      <c r="H293" s="143" t="str">
        <f t="shared" si="123"/>
        <v>#REF!</v>
      </c>
      <c r="I293" s="143" t="str">
        <f t="shared" si="123"/>
        <v>#REF!</v>
      </c>
    </row>
    <row r="294" ht="14.25" customHeight="1">
      <c r="A294" s="204" t="str">
        <f t="shared" ref="A294:I294" si="124">'2.12.'!A42</f>
        <v>#REF!</v>
      </c>
      <c r="B294" s="92" t="str">
        <f t="shared" si="124"/>
        <v>#REF!</v>
      </c>
      <c r="C294" s="92" t="str">
        <f t="shared" si="124"/>
        <v>#REF!</v>
      </c>
      <c r="D294" s="204" t="str">
        <f t="shared" si="124"/>
        <v>#REF!</v>
      </c>
      <c r="E294" s="204" t="str">
        <f t="shared" si="124"/>
        <v>#REF!</v>
      </c>
      <c r="F294" s="206" t="str">
        <f t="shared" si="124"/>
        <v>#REF!</v>
      </c>
      <c r="G294" s="217" t="str">
        <f t="shared" si="124"/>
        <v>#REF!</v>
      </c>
      <c r="H294" s="143" t="str">
        <f t="shared" si="124"/>
        <v>#REF!</v>
      </c>
      <c r="I294" s="143" t="str">
        <f t="shared" si="124"/>
        <v>#REF!</v>
      </c>
    </row>
    <row r="295" ht="14.25" customHeight="1">
      <c r="A295" s="204" t="str">
        <f t="shared" ref="A295:I295" si="125">'2.12.'!A43</f>
        <v>#REF!</v>
      </c>
      <c r="B295" s="92" t="str">
        <f t="shared" si="125"/>
        <v>#REF!</v>
      </c>
      <c r="C295" s="92" t="str">
        <f t="shared" si="125"/>
        <v>#REF!</v>
      </c>
      <c r="D295" s="204" t="str">
        <f t="shared" si="125"/>
        <v>#REF!</v>
      </c>
      <c r="E295" s="204" t="str">
        <f t="shared" si="125"/>
        <v>#REF!</v>
      </c>
      <c r="F295" s="206" t="str">
        <f t="shared" si="125"/>
        <v>#REF!</v>
      </c>
      <c r="G295" s="217" t="str">
        <f t="shared" si="125"/>
        <v>#REF!</v>
      </c>
      <c r="H295" s="143" t="str">
        <f t="shared" si="125"/>
        <v>#REF!</v>
      </c>
      <c r="I295" s="143" t="str">
        <f t="shared" si="125"/>
        <v>#REF!</v>
      </c>
    </row>
    <row r="296" ht="14.25" customHeight="1">
      <c r="A296" s="204" t="str">
        <f t="shared" ref="A296:I296" si="126">'2.12.'!A44</f>
        <v>#REF!</v>
      </c>
      <c r="B296" s="92" t="str">
        <f t="shared" si="126"/>
        <v>#REF!</v>
      </c>
      <c r="C296" s="92" t="str">
        <f t="shared" si="126"/>
        <v>#REF!</v>
      </c>
      <c r="D296" s="204" t="str">
        <f t="shared" si="126"/>
        <v>#REF!</v>
      </c>
      <c r="E296" s="204" t="str">
        <f t="shared" si="126"/>
        <v>#REF!</v>
      </c>
      <c r="F296" s="206" t="str">
        <f t="shared" si="126"/>
        <v>#REF!</v>
      </c>
      <c r="G296" s="217" t="str">
        <f t="shared" si="126"/>
        <v>#REF!</v>
      </c>
      <c r="H296" s="143" t="str">
        <f t="shared" si="126"/>
        <v>#REF!</v>
      </c>
      <c r="I296" s="143" t="str">
        <f t="shared" si="126"/>
        <v>#REF!</v>
      </c>
    </row>
    <row r="297" ht="14.25" customHeight="1">
      <c r="A297" s="204" t="str">
        <f t="shared" ref="A297:I297" si="127">'2.12.'!A45</f>
        <v>#REF!</v>
      </c>
      <c r="B297" s="92" t="str">
        <f t="shared" si="127"/>
        <v>#REF!</v>
      </c>
      <c r="C297" s="92" t="str">
        <f t="shared" si="127"/>
        <v>#REF!</v>
      </c>
      <c r="D297" s="204" t="str">
        <f t="shared" si="127"/>
        <v>#REF!</v>
      </c>
      <c r="E297" s="204" t="str">
        <f t="shared" si="127"/>
        <v>#REF!</v>
      </c>
      <c r="F297" s="206" t="str">
        <f t="shared" si="127"/>
        <v>#REF!</v>
      </c>
      <c r="G297" s="217" t="str">
        <f t="shared" si="127"/>
        <v>#REF!</v>
      </c>
      <c r="H297" s="143" t="str">
        <f t="shared" si="127"/>
        <v>#REF!</v>
      </c>
      <c r="I297" s="143" t="str">
        <f t="shared" si="127"/>
        <v>#REF!</v>
      </c>
    </row>
    <row r="298" ht="14.25" customHeight="1">
      <c r="A298" s="204" t="str">
        <f t="shared" ref="A298:I298" si="128">'2.12.'!A46</f>
        <v>#REF!</v>
      </c>
      <c r="B298" s="92" t="str">
        <f t="shared" si="128"/>
        <v>#REF!</v>
      </c>
      <c r="C298" s="92" t="str">
        <f t="shared" si="128"/>
        <v>#REF!</v>
      </c>
      <c r="D298" s="204" t="str">
        <f t="shared" si="128"/>
        <v>#REF!</v>
      </c>
      <c r="E298" s="204" t="str">
        <f t="shared" si="128"/>
        <v>#REF!</v>
      </c>
      <c r="F298" s="206" t="str">
        <f t="shared" si="128"/>
        <v>#REF!</v>
      </c>
      <c r="G298" s="217" t="str">
        <f t="shared" si="128"/>
        <v>#REF!</v>
      </c>
      <c r="H298" s="143" t="str">
        <f t="shared" si="128"/>
        <v>#REF!</v>
      </c>
      <c r="I298" s="143" t="str">
        <f t="shared" si="128"/>
        <v>#REF!</v>
      </c>
    </row>
    <row r="299" ht="14.25" customHeight="1">
      <c r="A299" s="216" t="str">
        <f t="shared" ref="A299:I299" si="129">'2.12.'!A47</f>
        <v>#REF!</v>
      </c>
      <c r="B299" s="216" t="str">
        <f t="shared" si="129"/>
        <v>#REF!</v>
      </c>
      <c r="C299" s="216" t="str">
        <f t="shared" si="129"/>
        <v>#REF!</v>
      </c>
      <c r="D299" s="216" t="str">
        <f t="shared" si="129"/>
        <v>#REF!</v>
      </c>
      <c r="E299" s="216" t="str">
        <f t="shared" si="129"/>
        <v>#REF!</v>
      </c>
      <c r="F299" s="208" t="str">
        <f t="shared" si="129"/>
        <v>#REF!</v>
      </c>
      <c r="G299" s="3" t="str">
        <f t="shared" si="129"/>
        <v>#REF!</v>
      </c>
      <c r="H299" s="143" t="str">
        <f t="shared" si="129"/>
        <v>#REF!</v>
      </c>
      <c r="I299" s="143" t="str">
        <f t="shared" si="129"/>
        <v>#REF!</v>
      </c>
    </row>
    <row r="300" ht="14.25" customHeight="1">
      <c r="A300" s="222" t="str">
        <f t="shared" ref="A300:I300" si="130">'2.12.'!A48</f>
        <v>#REF!</v>
      </c>
      <c r="B300" s="223" t="str">
        <f t="shared" si="130"/>
        <v>#REF!</v>
      </c>
      <c r="C300" s="223" t="str">
        <f t="shared" si="130"/>
        <v>#REF!</v>
      </c>
      <c r="D300" s="223" t="str">
        <f t="shared" si="130"/>
        <v>#REF!</v>
      </c>
      <c r="E300" s="223" t="str">
        <f t="shared" si="130"/>
        <v>#REF!</v>
      </c>
      <c r="F300" s="223" t="str">
        <f t="shared" si="130"/>
        <v>#REF!</v>
      </c>
      <c r="G300" s="211" t="str">
        <f t="shared" si="130"/>
        <v>#REF!</v>
      </c>
      <c r="H300" s="223" t="str">
        <f t="shared" si="130"/>
        <v>#REF!</v>
      </c>
      <c r="I300" s="224" t="str">
        <f t="shared" si="130"/>
        <v>#REF!</v>
      </c>
    </row>
    <row r="301" ht="14.25" customHeight="1">
      <c r="G301" s="3"/>
    </row>
    <row r="302" ht="14.25" customHeight="1">
      <c r="G302" s="3"/>
    </row>
    <row r="303" ht="14.25" customHeight="1">
      <c r="A303" s="201" t="str">
        <f t="shared" ref="A303:I303" si="131">'2.12.'!A67</f>
        <v>#REF!</v>
      </c>
      <c r="B303" s="94" t="str">
        <f t="shared" si="131"/>
        <v>#REF!</v>
      </c>
      <c r="C303" s="94" t="str">
        <f t="shared" si="131"/>
        <v>#REF!</v>
      </c>
      <c r="D303" s="94" t="str">
        <f t="shared" si="131"/>
        <v>#REF!</v>
      </c>
      <c r="E303" s="94" t="str">
        <f t="shared" si="131"/>
        <v>#REF!</v>
      </c>
      <c r="F303" s="94" t="str">
        <f t="shared" si="131"/>
        <v>#REF!</v>
      </c>
      <c r="G303" s="2" t="str">
        <f t="shared" si="131"/>
        <v>#REF!</v>
      </c>
      <c r="H303" s="94" t="str">
        <f t="shared" si="131"/>
        <v>#REF!</v>
      </c>
      <c r="I303" s="94" t="str">
        <f t="shared" si="131"/>
        <v>#REF!</v>
      </c>
    </row>
    <row r="304" ht="14.25" customHeight="1">
      <c r="A304" s="202" t="str">
        <f t="shared" ref="A304:I304" si="132">'2.12.'!A68</f>
        <v>#REF!</v>
      </c>
      <c r="B304" s="202" t="str">
        <f t="shared" si="132"/>
        <v>#REF!</v>
      </c>
      <c r="C304" s="202" t="str">
        <f t="shared" si="132"/>
        <v>#REF!</v>
      </c>
      <c r="D304" s="202" t="str">
        <f t="shared" si="132"/>
        <v>#REF!</v>
      </c>
      <c r="E304" s="202" t="str">
        <f t="shared" si="132"/>
        <v>#REF!</v>
      </c>
      <c r="F304" s="202" t="str">
        <f t="shared" si="132"/>
        <v>#REF!</v>
      </c>
      <c r="G304" s="4" t="str">
        <f t="shared" si="132"/>
        <v>#REF!</v>
      </c>
      <c r="H304" s="202" t="str">
        <f t="shared" si="132"/>
        <v>#REF!</v>
      </c>
      <c r="I304" s="202" t="str">
        <f t="shared" si="132"/>
        <v>#REF!</v>
      </c>
    </row>
    <row r="305" ht="14.25" customHeight="1">
      <c r="A305" s="204" t="str">
        <f t="shared" ref="A305:I305" si="133">'2.12.'!A69</f>
        <v>#REF!</v>
      </c>
      <c r="B305" s="92" t="str">
        <f t="shared" si="133"/>
        <v>#REF!</v>
      </c>
      <c r="C305" s="92" t="str">
        <f t="shared" si="133"/>
        <v>#REF!</v>
      </c>
      <c r="D305" s="204" t="str">
        <f t="shared" si="133"/>
        <v>#REF!</v>
      </c>
      <c r="E305" s="204" t="str">
        <f t="shared" si="133"/>
        <v>#REF!</v>
      </c>
      <c r="F305" s="206" t="str">
        <f t="shared" si="133"/>
        <v>#REF!</v>
      </c>
      <c r="G305" s="221" t="str">
        <f t="shared" si="133"/>
        <v>#REF!</v>
      </c>
      <c r="H305" s="143" t="str">
        <f t="shared" si="133"/>
        <v>#REF!</v>
      </c>
      <c r="I305" s="143" t="str">
        <f t="shared" si="133"/>
        <v>#REF!</v>
      </c>
    </row>
    <row r="306" ht="14.25" customHeight="1">
      <c r="A306" s="204" t="str">
        <f t="shared" ref="A306:I306" si="134">'2.12.'!A70</f>
        <v>#REF!</v>
      </c>
      <c r="B306" s="92" t="str">
        <f t="shared" si="134"/>
        <v>#REF!</v>
      </c>
      <c r="C306" s="92" t="str">
        <f t="shared" si="134"/>
        <v>#REF!</v>
      </c>
      <c r="D306" s="204" t="str">
        <f t="shared" si="134"/>
        <v>#REF!</v>
      </c>
      <c r="E306" s="204" t="str">
        <f t="shared" si="134"/>
        <v>#REF!</v>
      </c>
      <c r="F306" s="206" t="str">
        <f t="shared" si="134"/>
        <v>#REF!</v>
      </c>
      <c r="G306" s="221" t="str">
        <f t="shared" si="134"/>
        <v>#REF!</v>
      </c>
      <c r="H306" s="143" t="str">
        <f t="shared" si="134"/>
        <v>#REF!</v>
      </c>
      <c r="I306" s="143" t="str">
        <f t="shared" si="134"/>
        <v>#REF!</v>
      </c>
    </row>
    <row r="307" ht="14.25" customHeight="1">
      <c r="A307" s="204" t="str">
        <f t="shared" ref="A307:I307" si="135">'2.12.'!A71</f>
        <v>#REF!</v>
      </c>
      <c r="B307" s="92" t="str">
        <f t="shared" si="135"/>
        <v>#REF!</v>
      </c>
      <c r="C307" s="92" t="str">
        <f t="shared" si="135"/>
        <v>#REF!</v>
      </c>
      <c r="D307" s="204" t="str">
        <f t="shared" si="135"/>
        <v>#REF!</v>
      </c>
      <c r="E307" s="204" t="str">
        <f t="shared" si="135"/>
        <v>#REF!</v>
      </c>
      <c r="F307" s="206" t="str">
        <f t="shared" si="135"/>
        <v>#REF!</v>
      </c>
      <c r="G307" s="221" t="str">
        <f t="shared" si="135"/>
        <v>#REF!</v>
      </c>
      <c r="H307" s="143" t="str">
        <f t="shared" si="135"/>
        <v>#REF!</v>
      </c>
      <c r="I307" s="143" t="str">
        <f t="shared" si="135"/>
        <v>#REF!</v>
      </c>
    </row>
    <row r="308" ht="14.25" customHeight="1">
      <c r="A308" s="204" t="str">
        <f t="shared" ref="A308:I308" si="136">'2.12.'!A72</f>
        <v>#REF!</v>
      </c>
      <c r="B308" s="92" t="str">
        <f t="shared" si="136"/>
        <v>#REF!</v>
      </c>
      <c r="C308" s="92" t="str">
        <f t="shared" si="136"/>
        <v>#REF!</v>
      </c>
      <c r="D308" s="204" t="str">
        <f t="shared" si="136"/>
        <v>#REF!</v>
      </c>
      <c r="E308" s="204" t="str">
        <f t="shared" si="136"/>
        <v>#REF!</v>
      </c>
      <c r="F308" s="206" t="str">
        <f t="shared" si="136"/>
        <v>#REF!</v>
      </c>
      <c r="G308" s="221" t="str">
        <f t="shared" si="136"/>
        <v>#REF!</v>
      </c>
      <c r="H308" s="143" t="str">
        <f t="shared" si="136"/>
        <v>#REF!</v>
      </c>
      <c r="I308" s="143" t="str">
        <f t="shared" si="136"/>
        <v>#REF!</v>
      </c>
    </row>
    <row r="309" ht="14.25" customHeight="1">
      <c r="A309" s="204" t="str">
        <f t="shared" ref="A309:I309" si="137">'2.12.'!A73</f>
        <v>#REF!</v>
      </c>
      <c r="B309" s="92" t="str">
        <f t="shared" si="137"/>
        <v>#REF!</v>
      </c>
      <c r="C309" s="92" t="str">
        <f t="shared" si="137"/>
        <v>#REF!</v>
      </c>
      <c r="D309" s="204" t="str">
        <f t="shared" si="137"/>
        <v>#REF!</v>
      </c>
      <c r="E309" s="204" t="str">
        <f t="shared" si="137"/>
        <v>#REF!</v>
      </c>
      <c r="F309" s="206" t="str">
        <f t="shared" si="137"/>
        <v>#REF!</v>
      </c>
      <c r="G309" s="221" t="str">
        <f t="shared" si="137"/>
        <v>#REF!</v>
      </c>
      <c r="H309" s="143" t="str">
        <f t="shared" si="137"/>
        <v>#REF!</v>
      </c>
      <c r="I309" s="143" t="str">
        <f t="shared" si="137"/>
        <v>#REF!</v>
      </c>
    </row>
    <row r="310" ht="14.25" customHeight="1">
      <c r="A310" s="204" t="str">
        <f t="shared" ref="A310:I310" si="138">'2.12.'!A74</f>
        <v>#REF!</v>
      </c>
      <c r="B310" s="92" t="str">
        <f t="shared" si="138"/>
        <v>#REF!</v>
      </c>
      <c r="C310" s="92" t="str">
        <f t="shared" si="138"/>
        <v>#REF!</v>
      </c>
      <c r="D310" s="204" t="str">
        <f t="shared" si="138"/>
        <v>#REF!</v>
      </c>
      <c r="E310" s="204" t="str">
        <f t="shared" si="138"/>
        <v>#REF!</v>
      </c>
      <c r="F310" s="206" t="str">
        <f t="shared" si="138"/>
        <v>#REF!</v>
      </c>
      <c r="G310" s="221" t="str">
        <f t="shared" si="138"/>
        <v>#REF!</v>
      </c>
      <c r="H310" s="143" t="str">
        <f t="shared" si="138"/>
        <v>#REF!</v>
      </c>
      <c r="I310" s="143" t="str">
        <f t="shared" si="138"/>
        <v>#REF!</v>
      </c>
    </row>
    <row r="311" ht="14.25" customHeight="1">
      <c r="A311" s="216" t="str">
        <f t="shared" ref="A311:I311" si="139">'2.12.'!A75</f>
        <v>#REF!</v>
      </c>
      <c r="B311" s="216" t="str">
        <f t="shared" si="139"/>
        <v>#REF!</v>
      </c>
      <c r="C311" s="216" t="str">
        <f t="shared" si="139"/>
        <v>#REF!</v>
      </c>
      <c r="D311" s="216" t="str">
        <f t="shared" si="139"/>
        <v>#REF!</v>
      </c>
      <c r="E311" s="216" t="str">
        <f t="shared" si="139"/>
        <v>#REF!</v>
      </c>
      <c r="F311" s="208" t="str">
        <f t="shared" si="139"/>
        <v>#REF!</v>
      </c>
      <c r="G311" s="3" t="str">
        <f t="shared" si="139"/>
        <v>#REF!</v>
      </c>
      <c r="H311" s="143" t="str">
        <f t="shared" si="139"/>
        <v>#REF!</v>
      </c>
      <c r="I311" s="143" t="str">
        <f t="shared" si="139"/>
        <v>#REF!</v>
      </c>
    </row>
    <row r="312" ht="14.25" customHeight="1">
      <c r="A312" s="222" t="str">
        <f t="shared" ref="A312:I312" si="140">'2.12.'!A76</f>
        <v>#REF!</v>
      </c>
      <c r="B312" s="223" t="str">
        <f t="shared" si="140"/>
        <v>#REF!</v>
      </c>
      <c r="C312" s="223" t="str">
        <f t="shared" si="140"/>
        <v>#REF!</v>
      </c>
      <c r="D312" s="223" t="str">
        <f t="shared" si="140"/>
        <v>#REF!</v>
      </c>
      <c r="E312" s="223" t="str">
        <f t="shared" si="140"/>
        <v>#REF!</v>
      </c>
      <c r="F312" s="223" t="str">
        <f t="shared" si="140"/>
        <v>#REF!</v>
      </c>
      <c r="G312" s="211" t="str">
        <f t="shared" si="140"/>
        <v>#REF!</v>
      </c>
      <c r="H312" s="223" t="str">
        <f t="shared" si="140"/>
        <v>#REF!</v>
      </c>
      <c r="I312" s="224" t="str">
        <f t="shared" si="140"/>
        <v>#REF!</v>
      </c>
    </row>
    <row r="313" ht="15.75" customHeight="1">
      <c r="G313" s="3"/>
    </row>
    <row r="314" ht="15.75" customHeight="1">
      <c r="G314" s="3"/>
    </row>
    <row r="315" ht="23.25" customHeight="1">
      <c r="A315" s="195" t="str">
        <f>'2.13.'!A3</f>
        <v>#REF!</v>
      </c>
      <c r="B315" s="196" t="str">
        <f>'2.1.'!B315</f>
        <v/>
      </c>
      <c r="C315" s="197"/>
      <c r="D315" s="197"/>
      <c r="E315" s="197"/>
      <c r="F315" s="197"/>
      <c r="G315" s="198" t="str">
        <f>'2.1.'!G315</f>
        <v/>
      </c>
      <c r="H315" s="199" t="str">
        <f>'2.1.'!H315</f>
        <v/>
      </c>
      <c r="I315" s="200" t="str">
        <f>'2.1.'!I315</f>
        <v/>
      </c>
    </row>
    <row r="316" ht="14.25" customHeight="1">
      <c r="G316" s="3"/>
    </row>
    <row r="317" ht="14.25" customHeight="1">
      <c r="A317" s="201" t="str">
        <f t="shared" ref="A317:I317" si="141">'2.13.'!A39</f>
        <v>#REF!</v>
      </c>
      <c r="B317" s="94" t="str">
        <f t="shared" si="141"/>
        <v>#REF!</v>
      </c>
      <c r="C317" s="94" t="str">
        <f t="shared" si="141"/>
        <v>#REF!</v>
      </c>
      <c r="D317" s="94" t="str">
        <f t="shared" si="141"/>
        <v>#REF!</v>
      </c>
      <c r="E317" s="94" t="str">
        <f t="shared" si="141"/>
        <v>#REF!</v>
      </c>
      <c r="F317" s="94" t="str">
        <f t="shared" si="141"/>
        <v>#REF!</v>
      </c>
      <c r="G317" s="2" t="str">
        <f t="shared" si="141"/>
        <v>#REF!</v>
      </c>
      <c r="H317" s="94" t="str">
        <f t="shared" si="141"/>
        <v>#REF!</v>
      </c>
      <c r="I317" s="94" t="str">
        <f t="shared" si="141"/>
        <v>#REF!</v>
      </c>
    </row>
    <row r="318" ht="14.25" customHeight="1">
      <c r="A318" s="202" t="str">
        <f t="shared" ref="A318:I318" si="142">'2.13.'!A40</f>
        <v>#REF!</v>
      </c>
      <c r="B318" s="202" t="str">
        <f t="shared" si="142"/>
        <v>#REF!</v>
      </c>
      <c r="C318" s="202" t="str">
        <f t="shared" si="142"/>
        <v>#REF!</v>
      </c>
      <c r="D318" s="202" t="str">
        <f t="shared" si="142"/>
        <v>#REF!</v>
      </c>
      <c r="E318" s="202" t="str">
        <f t="shared" si="142"/>
        <v>#REF!</v>
      </c>
      <c r="F318" s="202" t="str">
        <f t="shared" si="142"/>
        <v>#REF!</v>
      </c>
      <c r="G318" s="4" t="str">
        <f t="shared" si="142"/>
        <v>#REF!</v>
      </c>
      <c r="H318" s="202" t="str">
        <f t="shared" si="142"/>
        <v>#REF!</v>
      </c>
      <c r="I318" s="202" t="str">
        <f t="shared" si="142"/>
        <v>#REF!</v>
      </c>
    </row>
    <row r="319" ht="14.25" customHeight="1">
      <c r="A319" s="204" t="str">
        <f t="shared" ref="A319:I319" si="143">'2.13.'!A41</f>
        <v>#REF!</v>
      </c>
      <c r="B319" s="92" t="str">
        <f t="shared" si="143"/>
        <v>#REF!</v>
      </c>
      <c r="C319" s="92" t="str">
        <f t="shared" si="143"/>
        <v>#REF!</v>
      </c>
      <c r="D319" s="204" t="str">
        <f t="shared" si="143"/>
        <v>#REF!</v>
      </c>
      <c r="E319" s="204" t="str">
        <f t="shared" si="143"/>
        <v>#REF!</v>
      </c>
      <c r="F319" s="206" t="str">
        <f t="shared" si="143"/>
        <v>#REF!</v>
      </c>
      <c r="G319" s="217" t="str">
        <f t="shared" si="143"/>
        <v>#REF!</v>
      </c>
      <c r="H319" s="143" t="str">
        <f t="shared" si="143"/>
        <v>#REF!</v>
      </c>
      <c r="I319" s="143" t="str">
        <f t="shared" si="143"/>
        <v>#REF!</v>
      </c>
    </row>
    <row r="320" ht="14.25" customHeight="1">
      <c r="A320" s="204" t="str">
        <f t="shared" ref="A320:I320" si="144">'2.13.'!A42</f>
        <v>#REF!</v>
      </c>
      <c r="B320" s="92" t="str">
        <f t="shared" si="144"/>
        <v>#REF!</v>
      </c>
      <c r="C320" s="92" t="str">
        <f t="shared" si="144"/>
        <v>#REF!</v>
      </c>
      <c r="D320" s="204" t="str">
        <f t="shared" si="144"/>
        <v>#REF!</v>
      </c>
      <c r="E320" s="204" t="str">
        <f t="shared" si="144"/>
        <v>#REF!</v>
      </c>
      <c r="F320" s="206" t="str">
        <f t="shared" si="144"/>
        <v>#REF!</v>
      </c>
      <c r="G320" s="217" t="str">
        <f t="shared" si="144"/>
        <v>#REF!</v>
      </c>
      <c r="H320" s="143" t="str">
        <f t="shared" si="144"/>
        <v>#REF!</v>
      </c>
      <c r="I320" s="143" t="str">
        <f t="shared" si="144"/>
        <v>#REF!</v>
      </c>
    </row>
    <row r="321" ht="14.25" customHeight="1">
      <c r="A321" s="204" t="str">
        <f t="shared" ref="A321:I321" si="145">'2.13.'!A43</f>
        <v>#REF!</v>
      </c>
      <c r="B321" s="92" t="str">
        <f t="shared" si="145"/>
        <v>#REF!</v>
      </c>
      <c r="C321" s="92" t="str">
        <f t="shared" si="145"/>
        <v>#REF!</v>
      </c>
      <c r="D321" s="204" t="str">
        <f t="shared" si="145"/>
        <v>#REF!</v>
      </c>
      <c r="E321" s="204" t="str">
        <f t="shared" si="145"/>
        <v>#REF!</v>
      </c>
      <c r="F321" s="206" t="str">
        <f t="shared" si="145"/>
        <v>#REF!</v>
      </c>
      <c r="G321" s="217" t="str">
        <f t="shared" si="145"/>
        <v>#REF!</v>
      </c>
      <c r="H321" s="143" t="str">
        <f t="shared" si="145"/>
        <v>#REF!</v>
      </c>
      <c r="I321" s="143" t="str">
        <f t="shared" si="145"/>
        <v>#REF!</v>
      </c>
    </row>
    <row r="322" ht="14.25" customHeight="1">
      <c r="A322" s="204" t="str">
        <f t="shared" ref="A322:I322" si="146">'2.13.'!A44</f>
        <v>#REF!</v>
      </c>
      <c r="B322" s="92" t="str">
        <f t="shared" si="146"/>
        <v>#REF!</v>
      </c>
      <c r="C322" s="92" t="str">
        <f t="shared" si="146"/>
        <v>#REF!</v>
      </c>
      <c r="D322" s="204" t="str">
        <f t="shared" si="146"/>
        <v>#REF!</v>
      </c>
      <c r="E322" s="204" t="str">
        <f t="shared" si="146"/>
        <v>#REF!</v>
      </c>
      <c r="F322" s="206" t="str">
        <f t="shared" si="146"/>
        <v>#REF!</v>
      </c>
      <c r="G322" s="217" t="str">
        <f t="shared" si="146"/>
        <v>#REF!</v>
      </c>
      <c r="H322" s="143" t="str">
        <f t="shared" si="146"/>
        <v>#REF!</v>
      </c>
      <c r="I322" s="143" t="str">
        <f t="shared" si="146"/>
        <v>#REF!</v>
      </c>
    </row>
    <row r="323" ht="14.25" customHeight="1">
      <c r="A323" s="204" t="str">
        <f t="shared" ref="A323:I323" si="147">'2.13.'!A45</f>
        <v>#REF!</v>
      </c>
      <c r="B323" s="92" t="str">
        <f t="shared" si="147"/>
        <v>#REF!</v>
      </c>
      <c r="C323" s="92" t="str">
        <f t="shared" si="147"/>
        <v>#REF!</v>
      </c>
      <c r="D323" s="204" t="str">
        <f t="shared" si="147"/>
        <v>#REF!</v>
      </c>
      <c r="E323" s="204" t="str">
        <f t="shared" si="147"/>
        <v>#REF!</v>
      </c>
      <c r="F323" s="206" t="str">
        <f t="shared" si="147"/>
        <v>#REF!</v>
      </c>
      <c r="G323" s="217" t="str">
        <f t="shared" si="147"/>
        <v>#REF!</v>
      </c>
      <c r="H323" s="143" t="str">
        <f t="shared" si="147"/>
        <v>#REF!</v>
      </c>
      <c r="I323" s="143" t="str">
        <f t="shared" si="147"/>
        <v>#REF!</v>
      </c>
    </row>
    <row r="324" ht="14.25" customHeight="1">
      <c r="A324" s="204" t="str">
        <f t="shared" ref="A324:I324" si="148">'2.13.'!A46</f>
        <v>#REF!</v>
      </c>
      <c r="B324" s="92" t="str">
        <f t="shared" si="148"/>
        <v>#REF!</v>
      </c>
      <c r="C324" s="92" t="str">
        <f t="shared" si="148"/>
        <v>#REF!</v>
      </c>
      <c r="D324" s="204" t="str">
        <f t="shared" si="148"/>
        <v>#REF!</v>
      </c>
      <c r="E324" s="204" t="str">
        <f t="shared" si="148"/>
        <v>#REF!</v>
      </c>
      <c r="F324" s="206" t="str">
        <f t="shared" si="148"/>
        <v>#REF!</v>
      </c>
      <c r="G324" s="217" t="str">
        <f t="shared" si="148"/>
        <v>#REF!</v>
      </c>
      <c r="H324" s="143" t="str">
        <f t="shared" si="148"/>
        <v>#REF!</v>
      </c>
      <c r="I324" s="143" t="str">
        <f t="shared" si="148"/>
        <v>#REF!</v>
      </c>
    </row>
    <row r="325" ht="14.25" customHeight="1">
      <c r="A325" s="216" t="str">
        <f t="shared" ref="A325:I325" si="149">'2.13.'!A47</f>
        <v>#REF!</v>
      </c>
      <c r="B325" s="216" t="str">
        <f t="shared" si="149"/>
        <v>#REF!</v>
      </c>
      <c r="C325" s="216" t="str">
        <f t="shared" si="149"/>
        <v>#REF!</v>
      </c>
      <c r="D325" s="216" t="str">
        <f t="shared" si="149"/>
        <v>#REF!</v>
      </c>
      <c r="E325" s="216" t="str">
        <f t="shared" si="149"/>
        <v>#REF!</v>
      </c>
      <c r="F325" s="208" t="str">
        <f t="shared" si="149"/>
        <v>#REF!</v>
      </c>
      <c r="G325" s="3" t="str">
        <f t="shared" si="149"/>
        <v>#REF!</v>
      </c>
      <c r="H325" s="143" t="str">
        <f t="shared" si="149"/>
        <v>#REF!</v>
      </c>
      <c r="I325" s="143" t="str">
        <f t="shared" si="149"/>
        <v>#REF!</v>
      </c>
    </row>
    <row r="326" ht="14.25" customHeight="1">
      <c r="A326" s="222" t="str">
        <f t="shared" ref="A326:I326" si="150">'2.13.'!A48</f>
        <v>#REF!</v>
      </c>
      <c r="B326" s="223" t="str">
        <f t="shared" si="150"/>
        <v>#REF!</v>
      </c>
      <c r="C326" s="223" t="str">
        <f t="shared" si="150"/>
        <v>#REF!</v>
      </c>
      <c r="D326" s="223" t="str">
        <f t="shared" si="150"/>
        <v>#REF!</v>
      </c>
      <c r="E326" s="223" t="str">
        <f t="shared" si="150"/>
        <v>#REF!</v>
      </c>
      <c r="F326" s="223" t="str">
        <f t="shared" si="150"/>
        <v>#REF!</v>
      </c>
      <c r="G326" s="211" t="str">
        <f t="shared" si="150"/>
        <v>#REF!</v>
      </c>
      <c r="H326" s="223" t="str">
        <f t="shared" si="150"/>
        <v>#REF!</v>
      </c>
      <c r="I326" s="224" t="str">
        <f t="shared" si="150"/>
        <v>#REF!</v>
      </c>
    </row>
    <row r="327" ht="14.25" customHeight="1">
      <c r="G327" s="3"/>
    </row>
    <row r="328" ht="14.25" customHeight="1">
      <c r="G328" s="3"/>
    </row>
    <row r="329" ht="14.25" customHeight="1">
      <c r="A329" s="201" t="str">
        <f t="shared" ref="A329:I329" si="151">'2.13.'!A67</f>
        <v>#REF!</v>
      </c>
      <c r="B329" s="94" t="str">
        <f t="shared" si="151"/>
        <v>#REF!</v>
      </c>
      <c r="C329" s="94" t="str">
        <f t="shared" si="151"/>
        <v>#REF!</v>
      </c>
      <c r="D329" s="94" t="str">
        <f t="shared" si="151"/>
        <v>#REF!</v>
      </c>
      <c r="E329" s="94" t="str">
        <f t="shared" si="151"/>
        <v>#REF!</v>
      </c>
      <c r="F329" s="94" t="str">
        <f t="shared" si="151"/>
        <v>#REF!</v>
      </c>
      <c r="G329" s="2" t="str">
        <f t="shared" si="151"/>
        <v>#REF!</v>
      </c>
      <c r="H329" s="94" t="str">
        <f t="shared" si="151"/>
        <v>#REF!</v>
      </c>
      <c r="I329" s="94" t="str">
        <f t="shared" si="151"/>
        <v>#REF!</v>
      </c>
    </row>
    <row r="330" ht="14.25" customHeight="1">
      <c r="A330" s="202" t="str">
        <f t="shared" ref="A330:I330" si="152">'2.13.'!A68</f>
        <v>#REF!</v>
      </c>
      <c r="B330" s="202" t="str">
        <f t="shared" si="152"/>
        <v>#REF!</v>
      </c>
      <c r="C330" s="202" t="str">
        <f t="shared" si="152"/>
        <v>#REF!</v>
      </c>
      <c r="D330" s="202" t="str">
        <f t="shared" si="152"/>
        <v>#REF!</v>
      </c>
      <c r="E330" s="202" t="str">
        <f t="shared" si="152"/>
        <v>#REF!</v>
      </c>
      <c r="F330" s="202" t="str">
        <f t="shared" si="152"/>
        <v>#REF!</v>
      </c>
      <c r="G330" s="4" t="str">
        <f t="shared" si="152"/>
        <v>#REF!</v>
      </c>
      <c r="H330" s="202" t="str">
        <f t="shared" si="152"/>
        <v>#REF!</v>
      </c>
      <c r="I330" s="202" t="str">
        <f t="shared" si="152"/>
        <v>#REF!</v>
      </c>
    </row>
    <row r="331" ht="14.25" customHeight="1">
      <c r="A331" s="204" t="str">
        <f t="shared" ref="A331:I331" si="153">'2.13.'!A69</f>
        <v>#REF!</v>
      </c>
      <c r="B331" s="92" t="str">
        <f t="shared" si="153"/>
        <v>#REF!</v>
      </c>
      <c r="C331" s="92" t="str">
        <f t="shared" si="153"/>
        <v>#REF!</v>
      </c>
      <c r="D331" s="204" t="str">
        <f t="shared" si="153"/>
        <v>#REF!</v>
      </c>
      <c r="E331" s="204" t="str">
        <f t="shared" si="153"/>
        <v>#REF!</v>
      </c>
      <c r="F331" s="206" t="str">
        <f t="shared" si="153"/>
        <v>#REF!</v>
      </c>
      <c r="G331" s="221" t="str">
        <f t="shared" si="153"/>
        <v>#REF!</v>
      </c>
      <c r="H331" s="143" t="str">
        <f t="shared" si="153"/>
        <v>#REF!</v>
      </c>
      <c r="I331" s="143" t="str">
        <f t="shared" si="153"/>
        <v>#REF!</v>
      </c>
    </row>
    <row r="332" ht="14.25" customHeight="1">
      <c r="A332" s="204" t="str">
        <f t="shared" ref="A332:I332" si="154">'2.13.'!A70</f>
        <v>#REF!</v>
      </c>
      <c r="B332" s="92" t="str">
        <f t="shared" si="154"/>
        <v>#REF!</v>
      </c>
      <c r="C332" s="92" t="str">
        <f t="shared" si="154"/>
        <v>#REF!</v>
      </c>
      <c r="D332" s="204" t="str">
        <f t="shared" si="154"/>
        <v>#REF!</v>
      </c>
      <c r="E332" s="204" t="str">
        <f t="shared" si="154"/>
        <v>#REF!</v>
      </c>
      <c r="F332" s="206" t="str">
        <f t="shared" si="154"/>
        <v>#REF!</v>
      </c>
      <c r="G332" s="221" t="str">
        <f t="shared" si="154"/>
        <v>#REF!</v>
      </c>
      <c r="H332" s="143" t="str">
        <f t="shared" si="154"/>
        <v>#REF!</v>
      </c>
      <c r="I332" s="143" t="str">
        <f t="shared" si="154"/>
        <v>#REF!</v>
      </c>
    </row>
    <row r="333" ht="14.25" customHeight="1">
      <c r="A333" s="204" t="str">
        <f t="shared" ref="A333:I333" si="155">'2.13.'!A71</f>
        <v>#REF!</v>
      </c>
      <c r="B333" s="92" t="str">
        <f t="shared" si="155"/>
        <v>#REF!</v>
      </c>
      <c r="C333" s="92" t="str">
        <f t="shared" si="155"/>
        <v>#REF!</v>
      </c>
      <c r="D333" s="204" t="str">
        <f t="shared" si="155"/>
        <v>#REF!</v>
      </c>
      <c r="E333" s="204" t="str">
        <f t="shared" si="155"/>
        <v>#REF!</v>
      </c>
      <c r="F333" s="206" t="str">
        <f t="shared" si="155"/>
        <v>#REF!</v>
      </c>
      <c r="G333" s="221" t="str">
        <f t="shared" si="155"/>
        <v>#REF!</v>
      </c>
      <c r="H333" s="143" t="str">
        <f t="shared" si="155"/>
        <v>#REF!</v>
      </c>
      <c r="I333" s="143" t="str">
        <f t="shared" si="155"/>
        <v>#REF!</v>
      </c>
    </row>
    <row r="334" ht="14.25" customHeight="1">
      <c r="A334" s="204" t="str">
        <f t="shared" ref="A334:I334" si="156">'2.13.'!A72</f>
        <v>#REF!</v>
      </c>
      <c r="B334" s="92" t="str">
        <f t="shared" si="156"/>
        <v>#REF!</v>
      </c>
      <c r="C334" s="92" t="str">
        <f t="shared" si="156"/>
        <v>#REF!</v>
      </c>
      <c r="D334" s="204" t="str">
        <f t="shared" si="156"/>
        <v>#REF!</v>
      </c>
      <c r="E334" s="204" t="str">
        <f t="shared" si="156"/>
        <v>#REF!</v>
      </c>
      <c r="F334" s="206" t="str">
        <f t="shared" si="156"/>
        <v>#REF!</v>
      </c>
      <c r="G334" s="221" t="str">
        <f t="shared" si="156"/>
        <v>#REF!</v>
      </c>
      <c r="H334" s="143" t="str">
        <f t="shared" si="156"/>
        <v>#REF!</v>
      </c>
      <c r="I334" s="143" t="str">
        <f t="shared" si="156"/>
        <v>#REF!</v>
      </c>
    </row>
    <row r="335" ht="14.25" customHeight="1">
      <c r="A335" s="204" t="str">
        <f t="shared" ref="A335:I335" si="157">'2.13.'!A73</f>
        <v>#REF!</v>
      </c>
      <c r="B335" s="92" t="str">
        <f t="shared" si="157"/>
        <v>#REF!</v>
      </c>
      <c r="C335" s="92" t="str">
        <f t="shared" si="157"/>
        <v>#REF!</v>
      </c>
      <c r="D335" s="204" t="str">
        <f t="shared" si="157"/>
        <v>#REF!</v>
      </c>
      <c r="E335" s="204" t="str">
        <f t="shared" si="157"/>
        <v>#REF!</v>
      </c>
      <c r="F335" s="206" t="str">
        <f t="shared" si="157"/>
        <v>#REF!</v>
      </c>
      <c r="G335" s="221" t="str">
        <f t="shared" si="157"/>
        <v>#REF!</v>
      </c>
      <c r="H335" s="143" t="str">
        <f t="shared" si="157"/>
        <v>#REF!</v>
      </c>
      <c r="I335" s="143" t="str">
        <f t="shared" si="157"/>
        <v>#REF!</v>
      </c>
    </row>
    <row r="336" ht="14.25" customHeight="1">
      <c r="A336" s="204" t="str">
        <f t="shared" ref="A336:I336" si="158">'2.13.'!A74</f>
        <v>#REF!</v>
      </c>
      <c r="B336" s="92" t="str">
        <f t="shared" si="158"/>
        <v>#REF!</v>
      </c>
      <c r="C336" s="92" t="str">
        <f t="shared" si="158"/>
        <v>#REF!</v>
      </c>
      <c r="D336" s="204" t="str">
        <f t="shared" si="158"/>
        <v>#REF!</v>
      </c>
      <c r="E336" s="204" t="str">
        <f t="shared" si="158"/>
        <v>#REF!</v>
      </c>
      <c r="F336" s="206" t="str">
        <f t="shared" si="158"/>
        <v>#REF!</v>
      </c>
      <c r="G336" s="221" t="str">
        <f t="shared" si="158"/>
        <v>#REF!</v>
      </c>
      <c r="H336" s="143" t="str">
        <f t="shared" si="158"/>
        <v>#REF!</v>
      </c>
      <c r="I336" s="143" t="str">
        <f t="shared" si="158"/>
        <v>#REF!</v>
      </c>
    </row>
    <row r="337" ht="14.25" customHeight="1">
      <c r="A337" s="216" t="str">
        <f t="shared" ref="A337:I337" si="159">'2.13.'!A75</f>
        <v>#REF!</v>
      </c>
      <c r="B337" s="216" t="str">
        <f t="shared" si="159"/>
        <v>#REF!</v>
      </c>
      <c r="C337" s="216" t="str">
        <f t="shared" si="159"/>
        <v>#REF!</v>
      </c>
      <c r="D337" s="216" t="str">
        <f t="shared" si="159"/>
        <v>#REF!</v>
      </c>
      <c r="E337" s="216" t="str">
        <f t="shared" si="159"/>
        <v>#REF!</v>
      </c>
      <c r="F337" s="208" t="str">
        <f t="shared" si="159"/>
        <v>#REF!</v>
      </c>
      <c r="G337" s="3" t="str">
        <f t="shared" si="159"/>
        <v>#REF!</v>
      </c>
      <c r="H337" s="143" t="str">
        <f t="shared" si="159"/>
        <v>#REF!</v>
      </c>
      <c r="I337" s="143" t="str">
        <f t="shared" si="159"/>
        <v>#REF!</v>
      </c>
    </row>
    <row r="338" ht="14.25" customHeight="1">
      <c r="A338" s="222" t="str">
        <f t="shared" ref="A338:I338" si="160">'2.13.'!A76</f>
        <v>#REF!</v>
      </c>
      <c r="B338" s="223" t="str">
        <f t="shared" si="160"/>
        <v>#REF!</v>
      </c>
      <c r="C338" s="223" t="str">
        <f t="shared" si="160"/>
        <v>#REF!</v>
      </c>
      <c r="D338" s="223" t="str">
        <f t="shared" si="160"/>
        <v>#REF!</v>
      </c>
      <c r="E338" s="223" t="str">
        <f t="shared" si="160"/>
        <v>#REF!</v>
      </c>
      <c r="F338" s="223" t="str">
        <f t="shared" si="160"/>
        <v>#REF!</v>
      </c>
      <c r="G338" s="211" t="str">
        <f t="shared" si="160"/>
        <v>#REF!</v>
      </c>
      <c r="H338" s="223" t="str">
        <f t="shared" si="160"/>
        <v>#REF!</v>
      </c>
      <c r="I338" s="224" t="str">
        <f t="shared" si="160"/>
        <v>#REF!</v>
      </c>
    </row>
    <row r="339" ht="15.75" customHeight="1">
      <c r="G339" s="3"/>
    </row>
    <row r="340" ht="15.75" customHeight="1">
      <c r="G340" s="3"/>
    </row>
    <row r="341" ht="23.25" customHeight="1">
      <c r="A341" s="195" t="str">
        <f>'2.14.'!A3</f>
        <v>#REF!</v>
      </c>
      <c r="B341" s="196" t="str">
        <f>'2.1.'!B341</f>
        <v/>
      </c>
      <c r="C341" s="197"/>
      <c r="D341" s="197"/>
      <c r="E341" s="197"/>
      <c r="F341" s="197"/>
      <c r="G341" s="198" t="str">
        <f>'2.1.'!G341</f>
        <v/>
      </c>
      <c r="H341" s="199" t="str">
        <f>'2.1.'!H341</f>
        <v/>
      </c>
      <c r="I341" s="200" t="str">
        <f>'2.1.'!I341</f>
        <v/>
      </c>
    </row>
    <row r="342" ht="14.25" customHeight="1">
      <c r="G342" s="3"/>
    </row>
    <row r="343" ht="14.25" customHeight="1">
      <c r="A343" s="201" t="str">
        <f t="shared" ref="A343:I343" si="161">'2.14.'!A39</f>
        <v>#REF!</v>
      </c>
      <c r="B343" s="94" t="str">
        <f t="shared" si="161"/>
        <v>#REF!</v>
      </c>
      <c r="C343" s="94" t="str">
        <f t="shared" si="161"/>
        <v>#REF!</v>
      </c>
      <c r="D343" s="94" t="str">
        <f t="shared" si="161"/>
        <v>#REF!</v>
      </c>
      <c r="E343" s="94" t="str">
        <f t="shared" si="161"/>
        <v>#REF!</v>
      </c>
      <c r="F343" s="94" t="str">
        <f t="shared" si="161"/>
        <v>#REF!</v>
      </c>
      <c r="G343" s="2" t="str">
        <f t="shared" si="161"/>
        <v>#REF!</v>
      </c>
      <c r="H343" s="94" t="str">
        <f t="shared" si="161"/>
        <v>#REF!</v>
      </c>
      <c r="I343" s="94" t="str">
        <f t="shared" si="161"/>
        <v>#REF!</v>
      </c>
    </row>
    <row r="344" ht="14.25" customHeight="1">
      <c r="A344" s="202" t="str">
        <f t="shared" ref="A344:I344" si="162">'2.14.'!A40</f>
        <v>#REF!</v>
      </c>
      <c r="B344" s="202" t="str">
        <f t="shared" si="162"/>
        <v>#REF!</v>
      </c>
      <c r="C344" s="202" t="str">
        <f t="shared" si="162"/>
        <v>#REF!</v>
      </c>
      <c r="D344" s="202" t="str">
        <f t="shared" si="162"/>
        <v>#REF!</v>
      </c>
      <c r="E344" s="202" t="str">
        <f t="shared" si="162"/>
        <v>#REF!</v>
      </c>
      <c r="F344" s="202" t="str">
        <f t="shared" si="162"/>
        <v>#REF!</v>
      </c>
      <c r="G344" s="4" t="str">
        <f t="shared" si="162"/>
        <v>#REF!</v>
      </c>
      <c r="H344" s="202" t="str">
        <f t="shared" si="162"/>
        <v>#REF!</v>
      </c>
      <c r="I344" s="202" t="str">
        <f t="shared" si="162"/>
        <v>#REF!</v>
      </c>
    </row>
    <row r="345" ht="14.25" customHeight="1">
      <c r="A345" s="204" t="str">
        <f t="shared" ref="A345:I345" si="163">'2.14.'!A41</f>
        <v>#REF!</v>
      </c>
      <c r="B345" s="92" t="str">
        <f t="shared" si="163"/>
        <v>#REF!</v>
      </c>
      <c r="C345" s="92" t="str">
        <f t="shared" si="163"/>
        <v>#REF!</v>
      </c>
      <c r="D345" s="204" t="str">
        <f t="shared" si="163"/>
        <v>#REF!</v>
      </c>
      <c r="E345" s="204" t="str">
        <f t="shared" si="163"/>
        <v>#REF!</v>
      </c>
      <c r="F345" s="206" t="str">
        <f t="shared" si="163"/>
        <v>#REF!</v>
      </c>
      <c r="G345" s="217" t="str">
        <f t="shared" si="163"/>
        <v>#REF!</v>
      </c>
      <c r="H345" s="143" t="str">
        <f t="shared" si="163"/>
        <v>#REF!</v>
      </c>
      <c r="I345" s="143" t="str">
        <f t="shared" si="163"/>
        <v>#REF!</v>
      </c>
    </row>
    <row r="346" ht="14.25" customHeight="1">
      <c r="A346" s="204" t="str">
        <f t="shared" ref="A346:I346" si="164">'2.14.'!A42</f>
        <v>#REF!</v>
      </c>
      <c r="B346" s="92" t="str">
        <f t="shared" si="164"/>
        <v>#REF!</v>
      </c>
      <c r="C346" s="92" t="str">
        <f t="shared" si="164"/>
        <v>#REF!</v>
      </c>
      <c r="D346" s="204" t="str">
        <f t="shared" si="164"/>
        <v>#REF!</v>
      </c>
      <c r="E346" s="204" t="str">
        <f t="shared" si="164"/>
        <v>#REF!</v>
      </c>
      <c r="F346" s="206" t="str">
        <f t="shared" si="164"/>
        <v>#REF!</v>
      </c>
      <c r="G346" s="217" t="str">
        <f t="shared" si="164"/>
        <v>#REF!</v>
      </c>
      <c r="H346" s="143" t="str">
        <f t="shared" si="164"/>
        <v>#REF!</v>
      </c>
      <c r="I346" s="143" t="str">
        <f t="shared" si="164"/>
        <v>#REF!</v>
      </c>
    </row>
    <row r="347" ht="14.25" customHeight="1">
      <c r="A347" s="204" t="str">
        <f t="shared" ref="A347:I347" si="165">'2.14.'!A43</f>
        <v>#REF!</v>
      </c>
      <c r="B347" s="92" t="str">
        <f t="shared" si="165"/>
        <v>#REF!</v>
      </c>
      <c r="C347" s="92" t="str">
        <f t="shared" si="165"/>
        <v>#REF!</v>
      </c>
      <c r="D347" s="204" t="str">
        <f t="shared" si="165"/>
        <v>#REF!</v>
      </c>
      <c r="E347" s="204" t="str">
        <f t="shared" si="165"/>
        <v>#REF!</v>
      </c>
      <c r="F347" s="206" t="str">
        <f t="shared" si="165"/>
        <v>#REF!</v>
      </c>
      <c r="G347" s="217" t="str">
        <f t="shared" si="165"/>
        <v>#REF!</v>
      </c>
      <c r="H347" s="143" t="str">
        <f t="shared" si="165"/>
        <v>#REF!</v>
      </c>
      <c r="I347" s="143" t="str">
        <f t="shared" si="165"/>
        <v>#REF!</v>
      </c>
    </row>
    <row r="348" ht="14.25" customHeight="1">
      <c r="A348" s="204" t="str">
        <f t="shared" ref="A348:I348" si="166">'2.14.'!A44</f>
        <v>#REF!</v>
      </c>
      <c r="B348" s="92" t="str">
        <f t="shared" si="166"/>
        <v>#REF!</v>
      </c>
      <c r="C348" s="92" t="str">
        <f t="shared" si="166"/>
        <v>#REF!</v>
      </c>
      <c r="D348" s="204" t="str">
        <f t="shared" si="166"/>
        <v>#REF!</v>
      </c>
      <c r="E348" s="204" t="str">
        <f t="shared" si="166"/>
        <v>#REF!</v>
      </c>
      <c r="F348" s="206" t="str">
        <f t="shared" si="166"/>
        <v>#REF!</v>
      </c>
      <c r="G348" s="217" t="str">
        <f t="shared" si="166"/>
        <v>#REF!</v>
      </c>
      <c r="H348" s="143" t="str">
        <f t="shared" si="166"/>
        <v>#REF!</v>
      </c>
      <c r="I348" s="143" t="str">
        <f t="shared" si="166"/>
        <v>#REF!</v>
      </c>
    </row>
    <row r="349" ht="14.25" customHeight="1">
      <c r="A349" s="204" t="str">
        <f t="shared" ref="A349:I349" si="167">'2.14.'!A45</f>
        <v>#REF!</v>
      </c>
      <c r="B349" s="92" t="str">
        <f t="shared" si="167"/>
        <v>#REF!</v>
      </c>
      <c r="C349" s="92" t="str">
        <f t="shared" si="167"/>
        <v>#REF!</v>
      </c>
      <c r="D349" s="204" t="str">
        <f t="shared" si="167"/>
        <v>#REF!</v>
      </c>
      <c r="E349" s="204" t="str">
        <f t="shared" si="167"/>
        <v>#REF!</v>
      </c>
      <c r="F349" s="206" t="str">
        <f t="shared" si="167"/>
        <v>#REF!</v>
      </c>
      <c r="G349" s="217" t="str">
        <f t="shared" si="167"/>
        <v>#REF!</v>
      </c>
      <c r="H349" s="143" t="str">
        <f t="shared" si="167"/>
        <v>#REF!</v>
      </c>
      <c r="I349" s="143" t="str">
        <f t="shared" si="167"/>
        <v>#REF!</v>
      </c>
    </row>
    <row r="350" ht="14.25" customHeight="1">
      <c r="A350" s="204" t="str">
        <f t="shared" ref="A350:I350" si="168">'2.14.'!A46</f>
        <v>#REF!</v>
      </c>
      <c r="B350" s="92" t="str">
        <f t="shared" si="168"/>
        <v>#REF!</v>
      </c>
      <c r="C350" s="92" t="str">
        <f t="shared" si="168"/>
        <v>#REF!</v>
      </c>
      <c r="D350" s="204" t="str">
        <f t="shared" si="168"/>
        <v>#REF!</v>
      </c>
      <c r="E350" s="204" t="str">
        <f t="shared" si="168"/>
        <v>#REF!</v>
      </c>
      <c r="F350" s="206" t="str">
        <f t="shared" si="168"/>
        <v>#REF!</v>
      </c>
      <c r="G350" s="217" t="str">
        <f t="shared" si="168"/>
        <v>#REF!</v>
      </c>
      <c r="H350" s="143" t="str">
        <f t="shared" si="168"/>
        <v>#REF!</v>
      </c>
      <c r="I350" s="143" t="str">
        <f t="shared" si="168"/>
        <v>#REF!</v>
      </c>
    </row>
    <row r="351" ht="14.25" customHeight="1">
      <c r="A351" s="216" t="str">
        <f t="shared" ref="A351:I351" si="169">'2.14.'!A47</f>
        <v>#REF!</v>
      </c>
      <c r="B351" s="216" t="str">
        <f t="shared" si="169"/>
        <v>#REF!</v>
      </c>
      <c r="C351" s="216" t="str">
        <f t="shared" si="169"/>
        <v>#REF!</v>
      </c>
      <c r="D351" s="216" t="str">
        <f t="shared" si="169"/>
        <v>#REF!</v>
      </c>
      <c r="E351" s="216" t="str">
        <f t="shared" si="169"/>
        <v>#REF!</v>
      </c>
      <c r="F351" s="208" t="str">
        <f t="shared" si="169"/>
        <v>#REF!</v>
      </c>
      <c r="G351" s="3" t="str">
        <f t="shared" si="169"/>
        <v>#REF!</v>
      </c>
      <c r="H351" s="143" t="str">
        <f t="shared" si="169"/>
        <v>#REF!</v>
      </c>
      <c r="I351" s="143" t="str">
        <f t="shared" si="169"/>
        <v>#REF!</v>
      </c>
    </row>
    <row r="352" ht="14.25" customHeight="1">
      <c r="A352" s="222" t="str">
        <f t="shared" ref="A352:I352" si="170">'2.14.'!A48</f>
        <v>#REF!</v>
      </c>
      <c r="B352" s="223" t="str">
        <f t="shared" si="170"/>
        <v>#REF!</v>
      </c>
      <c r="C352" s="223" t="str">
        <f t="shared" si="170"/>
        <v>#REF!</v>
      </c>
      <c r="D352" s="223" t="str">
        <f t="shared" si="170"/>
        <v>#REF!</v>
      </c>
      <c r="E352" s="223" t="str">
        <f t="shared" si="170"/>
        <v>#REF!</v>
      </c>
      <c r="F352" s="223" t="str">
        <f t="shared" si="170"/>
        <v>#REF!</v>
      </c>
      <c r="G352" s="211" t="str">
        <f t="shared" si="170"/>
        <v>#REF!</v>
      </c>
      <c r="H352" s="223" t="str">
        <f t="shared" si="170"/>
        <v>#REF!</v>
      </c>
      <c r="I352" s="224" t="str">
        <f t="shared" si="170"/>
        <v>#REF!</v>
      </c>
    </row>
    <row r="353" ht="14.25" customHeight="1">
      <c r="G353" s="3"/>
    </row>
    <row r="354" ht="14.25" customHeight="1">
      <c r="G354" s="3"/>
    </row>
    <row r="355" ht="14.25" customHeight="1">
      <c r="A355" s="201" t="str">
        <f t="shared" ref="A355:I355" si="171">'2.14.'!A67</f>
        <v>#REF!</v>
      </c>
      <c r="B355" s="94" t="str">
        <f t="shared" si="171"/>
        <v>#REF!</v>
      </c>
      <c r="C355" s="94" t="str">
        <f t="shared" si="171"/>
        <v>#REF!</v>
      </c>
      <c r="D355" s="94" t="str">
        <f t="shared" si="171"/>
        <v>#REF!</v>
      </c>
      <c r="E355" s="94" t="str">
        <f t="shared" si="171"/>
        <v>#REF!</v>
      </c>
      <c r="F355" s="94" t="str">
        <f t="shared" si="171"/>
        <v>#REF!</v>
      </c>
      <c r="G355" s="2" t="str">
        <f t="shared" si="171"/>
        <v>#REF!</v>
      </c>
      <c r="H355" s="94" t="str">
        <f t="shared" si="171"/>
        <v>#REF!</v>
      </c>
      <c r="I355" s="94" t="str">
        <f t="shared" si="171"/>
        <v>#REF!</v>
      </c>
    </row>
    <row r="356" ht="14.25" customHeight="1">
      <c r="A356" s="202" t="str">
        <f t="shared" ref="A356:I356" si="172">'2.14.'!A68</f>
        <v>#REF!</v>
      </c>
      <c r="B356" s="202" t="str">
        <f t="shared" si="172"/>
        <v>#REF!</v>
      </c>
      <c r="C356" s="202" t="str">
        <f t="shared" si="172"/>
        <v>#REF!</v>
      </c>
      <c r="D356" s="202" t="str">
        <f t="shared" si="172"/>
        <v>#REF!</v>
      </c>
      <c r="E356" s="202" t="str">
        <f t="shared" si="172"/>
        <v>#REF!</v>
      </c>
      <c r="F356" s="202" t="str">
        <f t="shared" si="172"/>
        <v>#REF!</v>
      </c>
      <c r="G356" s="4" t="str">
        <f t="shared" si="172"/>
        <v>#REF!</v>
      </c>
      <c r="H356" s="202" t="str">
        <f t="shared" si="172"/>
        <v>#REF!</v>
      </c>
      <c r="I356" s="202" t="str">
        <f t="shared" si="172"/>
        <v>#REF!</v>
      </c>
    </row>
    <row r="357" ht="14.25" customHeight="1">
      <c r="A357" s="204" t="str">
        <f t="shared" ref="A357:I357" si="173">'2.14.'!A69</f>
        <v>#REF!</v>
      </c>
      <c r="B357" s="92" t="str">
        <f t="shared" si="173"/>
        <v>#REF!</v>
      </c>
      <c r="C357" s="92" t="str">
        <f t="shared" si="173"/>
        <v>#REF!</v>
      </c>
      <c r="D357" s="204" t="str">
        <f t="shared" si="173"/>
        <v>#REF!</v>
      </c>
      <c r="E357" s="204" t="str">
        <f t="shared" si="173"/>
        <v>#REF!</v>
      </c>
      <c r="F357" s="206" t="str">
        <f t="shared" si="173"/>
        <v>#REF!</v>
      </c>
      <c r="G357" s="221" t="str">
        <f t="shared" si="173"/>
        <v>#REF!</v>
      </c>
      <c r="H357" s="143" t="str">
        <f t="shared" si="173"/>
        <v>#REF!</v>
      </c>
      <c r="I357" s="143" t="str">
        <f t="shared" si="173"/>
        <v>#REF!</v>
      </c>
    </row>
    <row r="358" ht="14.25" customHeight="1">
      <c r="A358" s="204" t="str">
        <f t="shared" ref="A358:I358" si="174">'2.14.'!A70</f>
        <v>#REF!</v>
      </c>
      <c r="B358" s="92" t="str">
        <f t="shared" si="174"/>
        <v>#REF!</v>
      </c>
      <c r="C358" s="92" t="str">
        <f t="shared" si="174"/>
        <v>#REF!</v>
      </c>
      <c r="D358" s="204" t="str">
        <f t="shared" si="174"/>
        <v>#REF!</v>
      </c>
      <c r="E358" s="204" t="str">
        <f t="shared" si="174"/>
        <v>#REF!</v>
      </c>
      <c r="F358" s="206" t="str">
        <f t="shared" si="174"/>
        <v>#REF!</v>
      </c>
      <c r="G358" s="221" t="str">
        <f t="shared" si="174"/>
        <v>#REF!</v>
      </c>
      <c r="H358" s="143" t="str">
        <f t="shared" si="174"/>
        <v>#REF!</v>
      </c>
      <c r="I358" s="143" t="str">
        <f t="shared" si="174"/>
        <v>#REF!</v>
      </c>
    </row>
    <row r="359" ht="14.25" customHeight="1">
      <c r="A359" s="204" t="str">
        <f t="shared" ref="A359:I359" si="175">'2.14.'!A71</f>
        <v>#REF!</v>
      </c>
      <c r="B359" s="92" t="str">
        <f t="shared" si="175"/>
        <v>#REF!</v>
      </c>
      <c r="C359" s="92" t="str">
        <f t="shared" si="175"/>
        <v>#REF!</v>
      </c>
      <c r="D359" s="204" t="str">
        <f t="shared" si="175"/>
        <v>#REF!</v>
      </c>
      <c r="E359" s="204" t="str">
        <f t="shared" si="175"/>
        <v>#REF!</v>
      </c>
      <c r="F359" s="206" t="str">
        <f t="shared" si="175"/>
        <v>#REF!</v>
      </c>
      <c r="G359" s="221" t="str">
        <f t="shared" si="175"/>
        <v>#REF!</v>
      </c>
      <c r="H359" s="143" t="str">
        <f t="shared" si="175"/>
        <v>#REF!</v>
      </c>
      <c r="I359" s="143" t="str">
        <f t="shared" si="175"/>
        <v>#REF!</v>
      </c>
    </row>
    <row r="360" ht="14.25" customHeight="1">
      <c r="A360" s="204" t="str">
        <f t="shared" ref="A360:I360" si="176">'2.14.'!A72</f>
        <v>#REF!</v>
      </c>
      <c r="B360" s="92" t="str">
        <f t="shared" si="176"/>
        <v>#REF!</v>
      </c>
      <c r="C360" s="92" t="str">
        <f t="shared" si="176"/>
        <v>#REF!</v>
      </c>
      <c r="D360" s="204" t="str">
        <f t="shared" si="176"/>
        <v>#REF!</v>
      </c>
      <c r="E360" s="204" t="str">
        <f t="shared" si="176"/>
        <v>#REF!</v>
      </c>
      <c r="F360" s="206" t="str">
        <f t="shared" si="176"/>
        <v>#REF!</v>
      </c>
      <c r="G360" s="221" t="str">
        <f t="shared" si="176"/>
        <v>#REF!</v>
      </c>
      <c r="H360" s="143" t="str">
        <f t="shared" si="176"/>
        <v>#REF!</v>
      </c>
      <c r="I360" s="143" t="str">
        <f t="shared" si="176"/>
        <v>#REF!</v>
      </c>
    </row>
    <row r="361" ht="14.25" customHeight="1">
      <c r="A361" s="204" t="str">
        <f t="shared" ref="A361:I361" si="177">'2.14.'!A73</f>
        <v>#REF!</v>
      </c>
      <c r="B361" s="92" t="str">
        <f t="shared" si="177"/>
        <v>#REF!</v>
      </c>
      <c r="C361" s="92" t="str">
        <f t="shared" si="177"/>
        <v>#REF!</v>
      </c>
      <c r="D361" s="204" t="str">
        <f t="shared" si="177"/>
        <v>#REF!</v>
      </c>
      <c r="E361" s="204" t="str">
        <f t="shared" si="177"/>
        <v>#REF!</v>
      </c>
      <c r="F361" s="206" t="str">
        <f t="shared" si="177"/>
        <v>#REF!</v>
      </c>
      <c r="G361" s="221" t="str">
        <f t="shared" si="177"/>
        <v>#REF!</v>
      </c>
      <c r="H361" s="143" t="str">
        <f t="shared" si="177"/>
        <v>#REF!</v>
      </c>
      <c r="I361" s="143" t="str">
        <f t="shared" si="177"/>
        <v>#REF!</v>
      </c>
    </row>
    <row r="362" ht="14.25" customHeight="1">
      <c r="A362" s="204" t="str">
        <f t="shared" ref="A362:I362" si="178">'2.14.'!A74</f>
        <v>#REF!</v>
      </c>
      <c r="B362" s="92" t="str">
        <f t="shared" si="178"/>
        <v>#REF!</v>
      </c>
      <c r="C362" s="92" t="str">
        <f t="shared" si="178"/>
        <v>#REF!</v>
      </c>
      <c r="D362" s="204" t="str">
        <f t="shared" si="178"/>
        <v>#REF!</v>
      </c>
      <c r="E362" s="204" t="str">
        <f t="shared" si="178"/>
        <v>#REF!</v>
      </c>
      <c r="F362" s="206" t="str">
        <f t="shared" si="178"/>
        <v>#REF!</v>
      </c>
      <c r="G362" s="221" t="str">
        <f t="shared" si="178"/>
        <v>#REF!</v>
      </c>
      <c r="H362" s="143" t="str">
        <f t="shared" si="178"/>
        <v>#REF!</v>
      </c>
      <c r="I362" s="143" t="str">
        <f t="shared" si="178"/>
        <v>#REF!</v>
      </c>
    </row>
    <row r="363" ht="14.25" customHeight="1">
      <c r="A363" s="216" t="str">
        <f t="shared" ref="A363:I363" si="179">'2.14.'!A75</f>
        <v>#REF!</v>
      </c>
      <c r="B363" s="216" t="str">
        <f t="shared" si="179"/>
        <v>#REF!</v>
      </c>
      <c r="C363" s="216" t="str">
        <f t="shared" si="179"/>
        <v>#REF!</v>
      </c>
      <c r="D363" s="216" t="str">
        <f t="shared" si="179"/>
        <v>#REF!</v>
      </c>
      <c r="E363" s="216" t="str">
        <f t="shared" si="179"/>
        <v>#REF!</v>
      </c>
      <c r="F363" s="208" t="str">
        <f t="shared" si="179"/>
        <v>#REF!</v>
      </c>
      <c r="G363" s="3" t="str">
        <f t="shared" si="179"/>
        <v>#REF!</v>
      </c>
      <c r="H363" s="143" t="str">
        <f t="shared" si="179"/>
        <v>#REF!</v>
      </c>
      <c r="I363" s="143" t="str">
        <f t="shared" si="179"/>
        <v>#REF!</v>
      </c>
    </row>
    <row r="364" ht="14.25" customHeight="1">
      <c r="A364" s="222" t="str">
        <f t="shared" ref="A364:I364" si="180">'2.14.'!A76</f>
        <v>#REF!</v>
      </c>
      <c r="B364" s="223" t="str">
        <f t="shared" si="180"/>
        <v>#REF!</v>
      </c>
      <c r="C364" s="223" t="str">
        <f t="shared" si="180"/>
        <v>#REF!</v>
      </c>
      <c r="D364" s="223" t="str">
        <f t="shared" si="180"/>
        <v>#REF!</v>
      </c>
      <c r="E364" s="223" t="str">
        <f t="shared" si="180"/>
        <v>#REF!</v>
      </c>
      <c r="F364" s="223" t="str">
        <f t="shared" si="180"/>
        <v>#REF!</v>
      </c>
      <c r="G364" s="211" t="str">
        <f t="shared" si="180"/>
        <v>#REF!</v>
      </c>
      <c r="H364" s="223" t="str">
        <f t="shared" si="180"/>
        <v>#REF!</v>
      </c>
      <c r="I364" s="224" t="str">
        <f t="shared" si="180"/>
        <v>#REF!</v>
      </c>
    </row>
    <row r="365" ht="15.75" customHeight="1">
      <c r="G365" s="3"/>
    </row>
    <row r="366" ht="15.75" customHeight="1">
      <c r="G366" s="3"/>
    </row>
    <row r="367" ht="23.25" customHeight="1">
      <c r="A367" s="195" t="str">
        <f>'2.15.'!A3</f>
        <v>#REF!</v>
      </c>
      <c r="B367" s="196" t="str">
        <f>'2.1.'!B367</f>
        <v/>
      </c>
      <c r="C367" s="197"/>
      <c r="D367" s="197"/>
      <c r="E367" s="197"/>
      <c r="F367" s="197"/>
      <c r="G367" s="198" t="str">
        <f>'2.1.'!G367</f>
        <v/>
      </c>
      <c r="H367" s="199" t="str">
        <f>'2.1.'!H367</f>
        <v/>
      </c>
      <c r="I367" s="200" t="str">
        <f>'2.1.'!I367</f>
        <v/>
      </c>
    </row>
    <row r="368" ht="14.25" customHeight="1">
      <c r="G368" s="3"/>
    </row>
    <row r="369" ht="14.25" customHeight="1">
      <c r="A369" s="201" t="str">
        <f t="shared" ref="A369:I369" si="181">'2.15.'!A39</f>
        <v>#REF!</v>
      </c>
      <c r="B369" s="94" t="str">
        <f t="shared" si="181"/>
        <v>#REF!</v>
      </c>
      <c r="C369" s="94" t="str">
        <f t="shared" si="181"/>
        <v>#REF!</v>
      </c>
      <c r="D369" s="94" t="str">
        <f t="shared" si="181"/>
        <v>#REF!</v>
      </c>
      <c r="E369" s="94" t="str">
        <f t="shared" si="181"/>
        <v>#REF!</v>
      </c>
      <c r="F369" s="94" t="str">
        <f t="shared" si="181"/>
        <v>#REF!</v>
      </c>
      <c r="G369" s="2" t="str">
        <f t="shared" si="181"/>
        <v>#REF!</v>
      </c>
      <c r="H369" s="94" t="str">
        <f t="shared" si="181"/>
        <v>#REF!</v>
      </c>
      <c r="I369" s="94" t="str">
        <f t="shared" si="181"/>
        <v>#REF!</v>
      </c>
    </row>
    <row r="370" ht="14.25" customHeight="1">
      <c r="A370" s="202" t="str">
        <f t="shared" ref="A370:I370" si="182">'2.15.'!A40</f>
        <v>#REF!</v>
      </c>
      <c r="B370" s="202" t="str">
        <f t="shared" si="182"/>
        <v>#REF!</v>
      </c>
      <c r="C370" s="202" t="str">
        <f t="shared" si="182"/>
        <v>#REF!</v>
      </c>
      <c r="D370" s="202" t="str">
        <f t="shared" si="182"/>
        <v>#REF!</v>
      </c>
      <c r="E370" s="202" t="str">
        <f t="shared" si="182"/>
        <v>#REF!</v>
      </c>
      <c r="F370" s="202" t="str">
        <f t="shared" si="182"/>
        <v>#REF!</v>
      </c>
      <c r="G370" s="4" t="str">
        <f t="shared" si="182"/>
        <v>#REF!</v>
      </c>
      <c r="H370" s="202" t="str">
        <f t="shared" si="182"/>
        <v>#REF!</v>
      </c>
      <c r="I370" s="202" t="str">
        <f t="shared" si="182"/>
        <v>#REF!</v>
      </c>
    </row>
    <row r="371" ht="14.25" customHeight="1">
      <c r="A371" s="204" t="str">
        <f t="shared" ref="A371:I371" si="183">'2.15.'!A41</f>
        <v>#REF!</v>
      </c>
      <c r="B371" s="92" t="str">
        <f t="shared" si="183"/>
        <v>#REF!</v>
      </c>
      <c r="C371" s="92" t="str">
        <f t="shared" si="183"/>
        <v>#REF!</v>
      </c>
      <c r="D371" s="204" t="str">
        <f t="shared" si="183"/>
        <v>#REF!</v>
      </c>
      <c r="E371" s="204" t="str">
        <f t="shared" si="183"/>
        <v>#REF!</v>
      </c>
      <c r="F371" s="206" t="str">
        <f t="shared" si="183"/>
        <v>#REF!</v>
      </c>
      <c r="G371" s="217" t="str">
        <f t="shared" si="183"/>
        <v>#REF!</v>
      </c>
      <c r="H371" s="143" t="str">
        <f t="shared" si="183"/>
        <v>#REF!</v>
      </c>
      <c r="I371" s="143" t="str">
        <f t="shared" si="183"/>
        <v>#REF!</v>
      </c>
    </row>
    <row r="372" ht="14.25" customHeight="1">
      <c r="A372" s="204" t="str">
        <f t="shared" ref="A372:I372" si="184">'2.15.'!A42</f>
        <v>#REF!</v>
      </c>
      <c r="B372" s="92" t="str">
        <f t="shared" si="184"/>
        <v>#REF!</v>
      </c>
      <c r="C372" s="92" t="str">
        <f t="shared" si="184"/>
        <v>#REF!</v>
      </c>
      <c r="D372" s="204" t="str">
        <f t="shared" si="184"/>
        <v>#REF!</v>
      </c>
      <c r="E372" s="204" t="str">
        <f t="shared" si="184"/>
        <v>#REF!</v>
      </c>
      <c r="F372" s="206" t="str">
        <f t="shared" si="184"/>
        <v>#REF!</v>
      </c>
      <c r="G372" s="217" t="str">
        <f t="shared" si="184"/>
        <v>#REF!</v>
      </c>
      <c r="H372" s="143" t="str">
        <f t="shared" si="184"/>
        <v>#REF!</v>
      </c>
      <c r="I372" s="143" t="str">
        <f t="shared" si="184"/>
        <v>#REF!</v>
      </c>
    </row>
    <row r="373" ht="14.25" customHeight="1">
      <c r="A373" s="204" t="str">
        <f t="shared" ref="A373:I373" si="185">'2.15.'!A43</f>
        <v>#REF!</v>
      </c>
      <c r="B373" s="92" t="str">
        <f t="shared" si="185"/>
        <v>#REF!</v>
      </c>
      <c r="C373" s="92" t="str">
        <f t="shared" si="185"/>
        <v>#REF!</v>
      </c>
      <c r="D373" s="204" t="str">
        <f t="shared" si="185"/>
        <v>#REF!</v>
      </c>
      <c r="E373" s="204" t="str">
        <f t="shared" si="185"/>
        <v>#REF!</v>
      </c>
      <c r="F373" s="206" t="str">
        <f t="shared" si="185"/>
        <v>#REF!</v>
      </c>
      <c r="G373" s="217" t="str">
        <f t="shared" si="185"/>
        <v>#REF!</v>
      </c>
      <c r="H373" s="143" t="str">
        <f t="shared" si="185"/>
        <v>#REF!</v>
      </c>
      <c r="I373" s="143" t="str">
        <f t="shared" si="185"/>
        <v>#REF!</v>
      </c>
    </row>
    <row r="374" ht="14.25" customHeight="1">
      <c r="A374" s="204" t="str">
        <f t="shared" ref="A374:I374" si="186">'2.15.'!A44</f>
        <v>#REF!</v>
      </c>
      <c r="B374" s="92" t="str">
        <f t="shared" si="186"/>
        <v>#REF!</v>
      </c>
      <c r="C374" s="92" t="str">
        <f t="shared" si="186"/>
        <v>#REF!</v>
      </c>
      <c r="D374" s="204" t="str">
        <f t="shared" si="186"/>
        <v>#REF!</v>
      </c>
      <c r="E374" s="204" t="str">
        <f t="shared" si="186"/>
        <v>#REF!</v>
      </c>
      <c r="F374" s="206" t="str">
        <f t="shared" si="186"/>
        <v>#REF!</v>
      </c>
      <c r="G374" s="217" t="str">
        <f t="shared" si="186"/>
        <v>#REF!</v>
      </c>
      <c r="H374" s="143" t="str">
        <f t="shared" si="186"/>
        <v>#REF!</v>
      </c>
      <c r="I374" s="143" t="str">
        <f t="shared" si="186"/>
        <v>#REF!</v>
      </c>
    </row>
    <row r="375" ht="14.25" customHeight="1">
      <c r="A375" s="204" t="str">
        <f t="shared" ref="A375:I375" si="187">'2.15.'!A45</f>
        <v>#REF!</v>
      </c>
      <c r="B375" s="92" t="str">
        <f t="shared" si="187"/>
        <v>#REF!</v>
      </c>
      <c r="C375" s="92" t="str">
        <f t="shared" si="187"/>
        <v>#REF!</v>
      </c>
      <c r="D375" s="204" t="str">
        <f t="shared" si="187"/>
        <v>#REF!</v>
      </c>
      <c r="E375" s="204" t="str">
        <f t="shared" si="187"/>
        <v>#REF!</v>
      </c>
      <c r="F375" s="206" t="str">
        <f t="shared" si="187"/>
        <v>#REF!</v>
      </c>
      <c r="G375" s="217" t="str">
        <f t="shared" si="187"/>
        <v>#REF!</v>
      </c>
      <c r="H375" s="143" t="str">
        <f t="shared" si="187"/>
        <v>#REF!</v>
      </c>
      <c r="I375" s="143" t="str">
        <f t="shared" si="187"/>
        <v>#REF!</v>
      </c>
    </row>
    <row r="376" ht="14.25" customHeight="1">
      <c r="A376" s="204" t="str">
        <f t="shared" ref="A376:I376" si="188">'2.15.'!A46</f>
        <v>#REF!</v>
      </c>
      <c r="B376" s="92" t="str">
        <f t="shared" si="188"/>
        <v>#REF!</v>
      </c>
      <c r="C376" s="92" t="str">
        <f t="shared" si="188"/>
        <v>#REF!</v>
      </c>
      <c r="D376" s="204" t="str">
        <f t="shared" si="188"/>
        <v>#REF!</v>
      </c>
      <c r="E376" s="204" t="str">
        <f t="shared" si="188"/>
        <v>#REF!</v>
      </c>
      <c r="F376" s="206" t="str">
        <f t="shared" si="188"/>
        <v>#REF!</v>
      </c>
      <c r="G376" s="217" t="str">
        <f t="shared" si="188"/>
        <v>#REF!</v>
      </c>
      <c r="H376" s="143" t="str">
        <f t="shared" si="188"/>
        <v>#REF!</v>
      </c>
      <c r="I376" s="143" t="str">
        <f t="shared" si="188"/>
        <v>#REF!</v>
      </c>
    </row>
    <row r="377" ht="14.25" customHeight="1">
      <c r="A377" s="216" t="str">
        <f t="shared" ref="A377:I377" si="189">'2.15.'!A47</f>
        <v>#REF!</v>
      </c>
      <c r="B377" s="216" t="str">
        <f t="shared" si="189"/>
        <v>#REF!</v>
      </c>
      <c r="C377" s="216" t="str">
        <f t="shared" si="189"/>
        <v>#REF!</v>
      </c>
      <c r="D377" s="216" t="str">
        <f t="shared" si="189"/>
        <v>#REF!</v>
      </c>
      <c r="E377" s="216" t="str">
        <f t="shared" si="189"/>
        <v>#REF!</v>
      </c>
      <c r="F377" s="208" t="str">
        <f t="shared" si="189"/>
        <v>#REF!</v>
      </c>
      <c r="G377" s="3" t="str">
        <f t="shared" si="189"/>
        <v>#REF!</v>
      </c>
      <c r="H377" s="143" t="str">
        <f t="shared" si="189"/>
        <v>#REF!</v>
      </c>
      <c r="I377" s="143" t="str">
        <f t="shared" si="189"/>
        <v>#REF!</v>
      </c>
    </row>
    <row r="378" ht="14.25" customHeight="1">
      <c r="A378" s="222" t="str">
        <f t="shared" ref="A378:I378" si="190">'2.15.'!A48</f>
        <v>#REF!</v>
      </c>
      <c r="B378" s="223" t="str">
        <f t="shared" si="190"/>
        <v>#REF!</v>
      </c>
      <c r="C378" s="223" t="str">
        <f t="shared" si="190"/>
        <v>#REF!</v>
      </c>
      <c r="D378" s="223" t="str">
        <f t="shared" si="190"/>
        <v>#REF!</v>
      </c>
      <c r="E378" s="223" t="str">
        <f t="shared" si="190"/>
        <v>#REF!</v>
      </c>
      <c r="F378" s="223" t="str">
        <f t="shared" si="190"/>
        <v>#REF!</v>
      </c>
      <c r="G378" s="211" t="str">
        <f t="shared" si="190"/>
        <v>#REF!</v>
      </c>
      <c r="H378" s="223" t="str">
        <f t="shared" si="190"/>
        <v>#REF!</v>
      </c>
      <c r="I378" s="224" t="str">
        <f t="shared" si="190"/>
        <v>#REF!</v>
      </c>
    </row>
    <row r="379" ht="14.25" customHeight="1">
      <c r="G379" s="3"/>
    </row>
    <row r="380" ht="14.25" customHeight="1">
      <c r="G380" s="3"/>
    </row>
    <row r="381" ht="14.25" customHeight="1">
      <c r="A381" s="201" t="str">
        <f t="shared" ref="A381:I381" si="191">'2.15.'!A67</f>
        <v>#REF!</v>
      </c>
      <c r="B381" s="94" t="str">
        <f t="shared" si="191"/>
        <v>#REF!</v>
      </c>
      <c r="C381" s="94" t="str">
        <f t="shared" si="191"/>
        <v>#REF!</v>
      </c>
      <c r="D381" s="94" t="str">
        <f t="shared" si="191"/>
        <v>#REF!</v>
      </c>
      <c r="E381" s="94" t="str">
        <f t="shared" si="191"/>
        <v>#REF!</v>
      </c>
      <c r="F381" s="94" t="str">
        <f t="shared" si="191"/>
        <v>#REF!</v>
      </c>
      <c r="G381" s="2" t="str">
        <f t="shared" si="191"/>
        <v>#REF!</v>
      </c>
      <c r="H381" s="94" t="str">
        <f t="shared" si="191"/>
        <v>#REF!</v>
      </c>
      <c r="I381" s="94" t="str">
        <f t="shared" si="191"/>
        <v>#REF!</v>
      </c>
    </row>
    <row r="382" ht="14.25" customHeight="1">
      <c r="A382" s="202" t="str">
        <f t="shared" ref="A382:I382" si="192">'2.15.'!A68</f>
        <v>#REF!</v>
      </c>
      <c r="B382" s="202" t="str">
        <f t="shared" si="192"/>
        <v>#REF!</v>
      </c>
      <c r="C382" s="202" t="str">
        <f t="shared" si="192"/>
        <v>#REF!</v>
      </c>
      <c r="D382" s="202" t="str">
        <f t="shared" si="192"/>
        <v>#REF!</v>
      </c>
      <c r="E382" s="202" t="str">
        <f t="shared" si="192"/>
        <v>#REF!</v>
      </c>
      <c r="F382" s="202" t="str">
        <f t="shared" si="192"/>
        <v>#REF!</v>
      </c>
      <c r="G382" s="4" t="str">
        <f t="shared" si="192"/>
        <v>#REF!</v>
      </c>
      <c r="H382" s="202" t="str">
        <f t="shared" si="192"/>
        <v>#REF!</v>
      </c>
      <c r="I382" s="202" t="str">
        <f t="shared" si="192"/>
        <v>#REF!</v>
      </c>
    </row>
    <row r="383" ht="14.25" customHeight="1">
      <c r="A383" s="204" t="str">
        <f t="shared" ref="A383:I383" si="193">'2.15.'!A69</f>
        <v>#REF!</v>
      </c>
      <c r="B383" s="92" t="str">
        <f t="shared" si="193"/>
        <v>#REF!</v>
      </c>
      <c r="C383" s="92" t="str">
        <f t="shared" si="193"/>
        <v>#REF!</v>
      </c>
      <c r="D383" s="204" t="str">
        <f t="shared" si="193"/>
        <v>#REF!</v>
      </c>
      <c r="E383" s="204" t="str">
        <f t="shared" si="193"/>
        <v>#REF!</v>
      </c>
      <c r="F383" s="206" t="str">
        <f t="shared" si="193"/>
        <v>#REF!</v>
      </c>
      <c r="G383" s="221" t="str">
        <f t="shared" si="193"/>
        <v>#REF!</v>
      </c>
      <c r="H383" s="143" t="str">
        <f t="shared" si="193"/>
        <v>#REF!</v>
      </c>
      <c r="I383" s="143" t="str">
        <f t="shared" si="193"/>
        <v>#REF!</v>
      </c>
    </row>
    <row r="384" ht="14.25" customHeight="1">
      <c r="A384" s="204" t="str">
        <f t="shared" ref="A384:I384" si="194">'2.15.'!A70</f>
        <v>#REF!</v>
      </c>
      <c r="B384" s="92" t="str">
        <f t="shared" si="194"/>
        <v>#REF!</v>
      </c>
      <c r="C384" s="92" t="str">
        <f t="shared" si="194"/>
        <v>#REF!</v>
      </c>
      <c r="D384" s="204" t="str">
        <f t="shared" si="194"/>
        <v>#REF!</v>
      </c>
      <c r="E384" s="204" t="str">
        <f t="shared" si="194"/>
        <v>#REF!</v>
      </c>
      <c r="F384" s="206" t="str">
        <f t="shared" si="194"/>
        <v>#REF!</v>
      </c>
      <c r="G384" s="221" t="str">
        <f t="shared" si="194"/>
        <v>#REF!</v>
      </c>
      <c r="H384" s="143" t="str">
        <f t="shared" si="194"/>
        <v>#REF!</v>
      </c>
      <c r="I384" s="143" t="str">
        <f t="shared" si="194"/>
        <v>#REF!</v>
      </c>
    </row>
    <row r="385" ht="14.25" customHeight="1">
      <c r="A385" s="204" t="str">
        <f t="shared" ref="A385:I385" si="195">'2.15.'!A71</f>
        <v>#REF!</v>
      </c>
      <c r="B385" s="92" t="str">
        <f t="shared" si="195"/>
        <v>#REF!</v>
      </c>
      <c r="C385" s="92" t="str">
        <f t="shared" si="195"/>
        <v>#REF!</v>
      </c>
      <c r="D385" s="204" t="str">
        <f t="shared" si="195"/>
        <v>#REF!</v>
      </c>
      <c r="E385" s="204" t="str">
        <f t="shared" si="195"/>
        <v>#REF!</v>
      </c>
      <c r="F385" s="206" t="str">
        <f t="shared" si="195"/>
        <v>#REF!</v>
      </c>
      <c r="G385" s="221" t="str">
        <f t="shared" si="195"/>
        <v>#REF!</v>
      </c>
      <c r="H385" s="143" t="str">
        <f t="shared" si="195"/>
        <v>#REF!</v>
      </c>
      <c r="I385" s="143" t="str">
        <f t="shared" si="195"/>
        <v>#REF!</v>
      </c>
    </row>
    <row r="386" ht="14.25" customHeight="1">
      <c r="A386" s="204" t="str">
        <f t="shared" ref="A386:I386" si="196">'2.15.'!A72</f>
        <v>#REF!</v>
      </c>
      <c r="B386" s="92" t="str">
        <f t="shared" si="196"/>
        <v>#REF!</v>
      </c>
      <c r="C386" s="92" t="str">
        <f t="shared" si="196"/>
        <v>#REF!</v>
      </c>
      <c r="D386" s="204" t="str">
        <f t="shared" si="196"/>
        <v>#REF!</v>
      </c>
      <c r="E386" s="204" t="str">
        <f t="shared" si="196"/>
        <v>#REF!</v>
      </c>
      <c r="F386" s="206" t="str">
        <f t="shared" si="196"/>
        <v>#REF!</v>
      </c>
      <c r="G386" s="221" t="str">
        <f t="shared" si="196"/>
        <v>#REF!</v>
      </c>
      <c r="H386" s="143" t="str">
        <f t="shared" si="196"/>
        <v>#REF!</v>
      </c>
      <c r="I386" s="143" t="str">
        <f t="shared" si="196"/>
        <v>#REF!</v>
      </c>
    </row>
    <row r="387" ht="14.25" customHeight="1">
      <c r="A387" s="204" t="str">
        <f t="shared" ref="A387:I387" si="197">'2.15.'!A73</f>
        <v>#REF!</v>
      </c>
      <c r="B387" s="92" t="str">
        <f t="shared" si="197"/>
        <v>#REF!</v>
      </c>
      <c r="C387" s="92" t="str">
        <f t="shared" si="197"/>
        <v>#REF!</v>
      </c>
      <c r="D387" s="204" t="str">
        <f t="shared" si="197"/>
        <v>#REF!</v>
      </c>
      <c r="E387" s="204" t="str">
        <f t="shared" si="197"/>
        <v>#REF!</v>
      </c>
      <c r="F387" s="206" t="str">
        <f t="shared" si="197"/>
        <v>#REF!</v>
      </c>
      <c r="G387" s="221" t="str">
        <f t="shared" si="197"/>
        <v>#REF!</v>
      </c>
      <c r="H387" s="143" t="str">
        <f t="shared" si="197"/>
        <v>#REF!</v>
      </c>
      <c r="I387" s="143" t="str">
        <f t="shared" si="197"/>
        <v>#REF!</v>
      </c>
    </row>
    <row r="388" ht="14.25" customHeight="1">
      <c r="A388" s="204" t="str">
        <f t="shared" ref="A388:I388" si="198">'2.15.'!A74</f>
        <v>#REF!</v>
      </c>
      <c r="B388" s="92" t="str">
        <f t="shared" si="198"/>
        <v>#REF!</v>
      </c>
      <c r="C388" s="92" t="str">
        <f t="shared" si="198"/>
        <v>#REF!</v>
      </c>
      <c r="D388" s="204" t="str">
        <f t="shared" si="198"/>
        <v>#REF!</v>
      </c>
      <c r="E388" s="204" t="str">
        <f t="shared" si="198"/>
        <v>#REF!</v>
      </c>
      <c r="F388" s="206" t="str">
        <f t="shared" si="198"/>
        <v>#REF!</v>
      </c>
      <c r="G388" s="221" t="str">
        <f t="shared" si="198"/>
        <v>#REF!</v>
      </c>
      <c r="H388" s="143" t="str">
        <f t="shared" si="198"/>
        <v>#REF!</v>
      </c>
      <c r="I388" s="143" t="str">
        <f t="shared" si="198"/>
        <v>#REF!</v>
      </c>
    </row>
    <row r="389" ht="14.25" customHeight="1">
      <c r="A389" s="216" t="str">
        <f t="shared" ref="A389:I389" si="199">'2.15.'!A75</f>
        <v>#REF!</v>
      </c>
      <c r="B389" s="216" t="str">
        <f t="shared" si="199"/>
        <v>#REF!</v>
      </c>
      <c r="C389" s="216" t="str">
        <f t="shared" si="199"/>
        <v>#REF!</v>
      </c>
      <c r="D389" s="216" t="str">
        <f t="shared" si="199"/>
        <v>#REF!</v>
      </c>
      <c r="E389" s="216" t="str">
        <f t="shared" si="199"/>
        <v>#REF!</v>
      </c>
      <c r="F389" s="208" t="str">
        <f t="shared" si="199"/>
        <v>#REF!</v>
      </c>
      <c r="G389" s="3" t="str">
        <f t="shared" si="199"/>
        <v>#REF!</v>
      </c>
      <c r="H389" s="143" t="str">
        <f t="shared" si="199"/>
        <v>#REF!</v>
      </c>
      <c r="I389" s="143" t="str">
        <f t="shared" si="199"/>
        <v>#REF!</v>
      </c>
    </row>
    <row r="390" ht="14.25" customHeight="1">
      <c r="A390" s="222" t="str">
        <f t="shared" ref="A390:I390" si="200">'2.15.'!A76</f>
        <v>#REF!</v>
      </c>
      <c r="B390" s="223" t="str">
        <f t="shared" si="200"/>
        <v>#REF!</v>
      </c>
      <c r="C390" s="223" t="str">
        <f t="shared" si="200"/>
        <v>#REF!</v>
      </c>
      <c r="D390" s="223" t="str">
        <f t="shared" si="200"/>
        <v>#REF!</v>
      </c>
      <c r="E390" s="223" t="str">
        <f t="shared" si="200"/>
        <v>#REF!</v>
      </c>
      <c r="F390" s="223" t="str">
        <f t="shared" si="200"/>
        <v>#REF!</v>
      </c>
      <c r="G390" s="211" t="str">
        <f t="shared" si="200"/>
        <v>#REF!</v>
      </c>
      <c r="H390" s="223" t="str">
        <f t="shared" si="200"/>
        <v>#REF!</v>
      </c>
      <c r="I390" s="224" t="str">
        <f t="shared" si="200"/>
        <v>#REF!</v>
      </c>
    </row>
    <row r="391" ht="15.75" customHeight="1">
      <c r="G391" s="3"/>
    </row>
    <row r="392" ht="15.75" customHeight="1">
      <c r="G392" s="3"/>
    </row>
    <row r="393" ht="23.25" customHeight="1">
      <c r="A393" s="195" t="str">
        <f>'2.16.'!A3</f>
        <v>#REF!</v>
      </c>
      <c r="B393" s="196" t="str">
        <f>'2.1.'!B393</f>
        <v/>
      </c>
      <c r="C393" s="197"/>
      <c r="D393" s="197"/>
      <c r="E393" s="197"/>
      <c r="F393" s="197"/>
      <c r="G393" s="198" t="str">
        <f>'2.1.'!G393</f>
        <v/>
      </c>
      <c r="H393" s="199" t="str">
        <f>'2.1.'!H393</f>
        <v/>
      </c>
      <c r="I393" s="200" t="str">
        <f>'2.1.'!I393</f>
        <v/>
      </c>
    </row>
    <row r="394" ht="14.25" customHeight="1">
      <c r="G394" s="3"/>
    </row>
    <row r="395" ht="14.25" customHeight="1">
      <c r="A395" s="201" t="str">
        <f t="shared" ref="A395:I395" si="201">'2.16.'!A39</f>
        <v>#REF!</v>
      </c>
      <c r="B395" s="94" t="str">
        <f t="shared" si="201"/>
        <v>#REF!</v>
      </c>
      <c r="C395" s="94" t="str">
        <f t="shared" si="201"/>
        <v>#REF!</v>
      </c>
      <c r="D395" s="94" t="str">
        <f t="shared" si="201"/>
        <v>#REF!</v>
      </c>
      <c r="E395" s="94" t="str">
        <f t="shared" si="201"/>
        <v>#REF!</v>
      </c>
      <c r="F395" s="94" t="str">
        <f t="shared" si="201"/>
        <v>#REF!</v>
      </c>
      <c r="G395" s="2" t="str">
        <f t="shared" si="201"/>
        <v>#REF!</v>
      </c>
      <c r="H395" s="94" t="str">
        <f t="shared" si="201"/>
        <v>#REF!</v>
      </c>
      <c r="I395" s="94" t="str">
        <f t="shared" si="201"/>
        <v>#REF!</v>
      </c>
    </row>
    <row r="396" ht="14.25" customHeight="1">
      <c r="A396" s="202" t="str">
        <f t="shared" ref="A396:I396" si="202">'2.16.'!A40</f>
        <v>#REF!</v>
      </c>
      <c r="B396" s="202" t="str">
        <f t="shared" si="202"/>
        <v>#REF!</v>
      </c>
      <c r="C396" s="202" t="str">
        <f t="shared" si="202"/>
        <v>#REF!</v>
      </c>
      <c r="D396" s="202" t="str">
        <f t="shared" si="202"/>
        <v>#REF!</v>
      </c>
      <c r="E396" s="202" t="str">
        <f t="shared" si="202"/>
        <v>#REF!</v>
      </c>
      <c r="F396" s="202" t="str">
        <f t="shared" si="202"/>
        <v>#REF!</v>
      </c>
      <c r="G396" s="4" t="str">
        <f t="shared" si="202"/>
        <v>#REF!</v>
      </c>
      <c r="H396" s="202" t="str">
        <f t="shared" si="202"/>
        <v>#REF!</v>
      </c>
      <c r="I396" s="202" t="str">
        <f t="shared" si="202"/>
        <v>#REF!</v>
      </c>
    </row>
    <row r="397" ht="14.25" customHeight="1">
      <c r="A397" s="204" t="str">
        <f t="shared" ref="A397:I397" si="203">'2.16.'!A41</f>
        <v>#REF!</v>
      </c>
      <c r="B397" s="92" t="str">
        <f t="shared" si="203"/>
        <v>#REF!</v>
      </c>
      <c r="C397" s="92" t="str">
        <f t="shared" si="203"/>
        <v>#REF!</v>
      </c>
      <c r="D397" s="204" t="str">
        <f t="shared" si="203"/>
        <v>#REF!</v>
      </c>
      <c r="E397" s="204" t="str">
        <f t="shared" si="203"/>
        <v>#REF!</v>
      </c>
      <c r="F397" s="206" t="str">
        <f t="shared" si="203"/>
        <v>#REF!</v>
      </c>
      <c r="G397" s="217" t="str">
        <f t="shared" si="203"/>
        <v>#REF!</v>
      </c>
      <c r="H397" s="143" t="str">
        <f t="shared" si="203"/>
        <v>#REF!</v>
      </c>
      <c r="I397" s="143" t="str">
        <f t="shared" si="203"/>
        <v>#REF!</v>
      </c>
    </row>
    <row r="398" ht="14.25" customHeight="1">
      <c r="A398" s="204" t="str">
        <f t="shared" ref="A398:I398" si="204">'2.16.'!A42</f>
        <v>#REF!</v>
      </c>
      <c r="B398" s="92" t="str">
        <f t="shared" si="204"/>
        <v>#REF!</v>
      </c>
      <c r="C398" s="92" t="str">
        <f t="shared" si="204"/>
        <v>#REF!</v>
      </c>
      <c r="D398" s="204" t="str">
        <f t="shared" si="204"/>
        <v>#REF!</v>
      </c>
      <c r="E398" s="204" t="str">
        <f t="shared" si="204"/>
        <v>#REF!</v>
      </c>
      <c r="F398" s="206" t="str">
        <f t="shared" si="204"/>
        <v>#REF!</v>
      </c>
      <c r="G398" s="217" t="str">
        <f t="shared" si="204"/>
        <v>#REF!</v>
      </c>
      <c r="H398" s="143" t="str">
        <f t="shared" si="204"/>
        <v>#REF!</v>
      </c>
      <c r="I398" s="143" t="str">
        <f t="shared" si="204"/>
        <v>#REF!</v>
      </c>
    </row>
    <row r="399" ht="14.25" customHeight="1">
      <c r="A399" s="204" t="str">
        <f t="shared" ref="A399:I399" si="205">'2.16.'!A43</f>
        <v>#REF!</v>
      </c>
      <c r="B399" s="92" t="str">
        <f t="shared" si="205"/>
        <v>#REF!</v>
      </c>
      <c r="C399" s="92" t="str">
        <f t="shared" si="205"/>
        <v>#REF!</v>
      </c>
      <c r="D399" s="204" t="str">
        <f t="shared" si="205"/>
        <v>#REF!</v>
      </c>
      <c r="E399" s="204" t="str">
        <f t="shared" si="205"/>
        <v>#REF!</v>
      </c>
      <c r="F399" s="206" t="str">
        <f t="shared" si="205"/>
        <v>#REF!</v>
      </c>
      <c r="G399" s="217" t="str">
        <f t="shared" si="205"/>
        <v>#REF!</v>
      </c>
      <c r="H399" s="143" t="str">
        <f t="shared" si="205"/>
        <v>#REF!</v>
      </c>
      <c r="I399" s="143" t="str">
        <f t="shared" si="205"/>
        <v>#REF!</v>
      </c>
    </row>
    <row r="400" ht="14.25" customHeight="1">
      <c r="A400" s="204" t="str">
        <f t="shared" ref="A400:I400" si="206">'2.16.'!A44</f>
        <v>#REF!</v>
      </c>
      <c r="B400" s="92" t="str">
        <f t="shared" si="206"/>
        <v>#REF!</v>
      </c>
      <c r="C400" s="92" t="str">
        <f t="shared" si="206"/>
        <v>#REF!</v>
      </c>
      <c r="D400" s="204" t="str">
        <f t="shared" si="206"/>
        <v>#REF!</v>
      </c>
      <c r="E400" s="204" t="str">
        <f t="shared" si="206"/>
        <v>#REF!</v>
      </c>
      <c r="F400" s="206" t="str">
        <f t="shared" si="206"/>
        <v>#REF!</v>
      </c>
      <c r="G400" s="217" t="str">
        <f t="shared" si="206"/>
        <v>#REF!</v>
      </c>
      <c r="H400" s="143" t="str">
        <f t="shared" si="206"/>
        <v>#REF!</v>
      </c>
      <c r="I400" s="143" t="str">
        <f t="shared" si="206"/>
        <v>#REF!</v>
      </c>
    </row>
    <row r="401" ht="14.25" customHeight="1">
      <c r="A401" s="204" t="str">
        <f t="shared" ref="A401:I401" si="207">'2.16.'!A45</f>
        <v>#REF!</v>
      </c>
      <c r="B401" s="92" t="str">
        <f t="shared" si="207"/>
        <v>#REF!</v>
      </c>
      <c r="C401" s="92" t="str">
        <f t="shared" si="207"/>
        <v>#REF!</v>
      </c>
      <c r="D401" s="204" t="str">
        <f t="shared" si="207"/>
        <v>#REF!</v>
      </c>
      <c r="E401" s="204" t="str">
        <f t="shared" si="207"/>
        <v>#REF!</v>
      </c>
      <c r="F401" s="206" t="str">
        <f t="shared" si="207"/>
        <v>#REF!</v>
      </c>
      <c r="G401" s="217" t="str">
        <f t="shared" si="207"/>
        <v>#REF!</v>
      </c>
      <c r="H401" s="143" t="str">
        <f t="shared" si="207"/>
        <v>#REF!</v>
      </c>
      <c r="I401" s="143" t="str">
        <f t="shared" si="207"/>
        <v>#REF!</v>
      </c>
    </row>
    <row r="402" ht="14.25" customHeight="1">
      <c r="A402" s="204" t="str">
        <f t="shared" ref="A402:I402" si="208">'2.16.'!A46</f>
        <v>#REF!</v>
      </c>
      <c r="B402" s="92" t="str">
        <f t="shared" si="208"/>
        <v>#REF!</v>
      </c>
      <c r="C402" s="92" t="str">
        <f t="shared" si="208"/>
        <v>#REF!</v>
      </c>
      <c r="D402" s="204" t="str">
        <f t="shared" si="208"/>
        <v>#REF!</v>
      </c>
      <c r="E402" s="204" t="str">
        <f t="shared" si="208"/>
        <v>#REF!</v>
      </c>
      <c r="F402" s="206" t="str">
        <f t="shared" si="208"/>
        <v>#REF!</v>
      </c>
      <c r="G402" s="217" t="str">
        <f t="shared" si="208"/>
        <v>#REF!</v>
      </c>
      <c r="H402" s="143" t="str">
        <f t="shared" si="208"/>
        <v>#REF!</v>
      </c>
      <c r="I402" s="143" t="str">
        <f t="shared" si="208"/>
        <v>#REF!</v>
      </c>
    </row>
    <row r="403" ht="14.25" customHeight="1">
      <c r="A403" s="216" t="str">
        <f t="shared" ref="A403:I403" si="209">'2.16.'!A47</f>
        <v>#REF!</v>
      </c>
      <c r="B403" s="216" t="str">
        <f t="shared" si="209"/>
        <v>#REF!</v>
      </c>
      <c r="C403" s="216" t="str">
        <f t="shared" si="209"/>
        <v>#REF!</v>
      </c>
      <c r="D403" s="216" t="str">
        <f t="shared" si="209"/>
        <v>#REF!</v>
      </c>
      <c r="E403" s="216" t="str">
        <f t="shared" si="209"/>
        <v>#REF!</v>
      </c>
      <c r="F403" s="208" t="str">
        <f t="shared" si="209"/>
        <v>#REF!</v>
      </c>
      <c r="G403" s="3" t="str">
        <f t="shared" si="209"/>
        <v>#REF!</v>
      </c>
      <c r="H403" s="143" t="str">
        <f t="shared" si="209"/>
        <v>#REF!</v>
      </c>
      <c r="I403" s="143" t="str">
        <f t="shared" si="209"/>
        <v>#REF!</v>
      </c>
    </row>
    <row r="404" ht="14.25" customHeight="1">
      <c r="A404" s="222" t="str">
        <f t="shared" ref="A404:I404" si="210">'2.16.'!A48</f>
        <v>#REF!</v>
      </c>
      <c r="B404" s="223" t="str">
        <f t="shared" si="210"/>
        <v>#REF!</v>
      </c>
      <c r="C404" s="223" t="str">
        <f t="shared" si="210"/>
        <v>#REF!</v>
      </c>
      <c r="D404" s="223" t="str">
        <f t="shared" si="210"/>
        <v>#REF!</v>
      </c>
      <c r="E404" s="223" t="str">
        <f t="shared" si="210"/>
        <v>#REF!</v>
      </c>
      <c r="F404" s="223" t="str">
        <f t="shared" si="210"/>
        <v>#REF!</v>
      </c>
      <c r="G404" s="211" t="str">
        <f t="shared" si="210"/>
        <v>#REF!</v>
      </c>
      <c r="H404" s="223" t="str">
        <f t="shared" si="210"/>
        <v>#REF!</v>
      </c>
      <c r="I404" s="224" t="str">
        <f t="shared" si="210"/>
        <v>#REF!</v>
      </c>
    </row>
    <row r="405" ht="14.25" customHeight="1">
      <c r="G405" s="3"/>
    </row>
    <row r="406" ht="14.25" customHeight="1">
      <c r="G406" s="3"/>
    </row>
    <row r="407" ht="14.25" customHeight="1">
      <c r="A407" s="201" t="str">
        <f t="shared" ref="A407:I407" si="211">'2.16.'!A67</f>
        <v>#REF!</v>
      </c>
      <c r="B407" s="94" t="str">
        <f t="shared" si="211"/>
        <v>#REF!</v>
      </c>
      <c r="C407" s="94" t="str">
        <f t="shared" si="211"/>
        <v>#REF!</v>
      </c>
      <c r="D407" s="94" t="str">
        <f t="shared" si="211"/>
        <v>#REF!</v>
      </c>
      <c r="E407" s="94" t="str">
        <f t="shared" si="211"/>
        <v>#REF!</v>
      </c>
      <c r="F407" s="94" t="str">
        <f t="shared" si="211"/>
        <v>#REF!</v>
      </c>
      <c r="G407" s="2" t="str">
        <f t="shared" si="211"/>
        <v>#REF!</v>
      </c>
      <c r="H407" s="94" t="str">
        <f t="shared" si="211"/>
        <v>#REF!</v>
      </c>
      <c r="I407" s="94" t="str">
        <f t="shared" si="211"/>
        <v>#REF!</v>
      </c>
    </row>
    <row r="408" ht="14.25" customHeight="1">
      <c r="A408" s="202" t="str">
        <f t="shared" ref="A408:I408" si="212">'2.16.'!A68</f>
        <v>#REF!</v>
      </c>
      <c r="B408" s="202" t="str">
        <f t="shared" si="212"/>
        <v>#REF!</v>
      </c>
      <c r="C408" s="202" t="str">
        <f t="shared" si="212"/>
        <v>#REF!</v>
      </c>
      <c r="D408" s="202" t="str">
        <f t="shared" si="212"/>
        <v>#REF!</v>
      </c>
      <c r="E408" s="202" t="str">
        <f t="shared" si="212"/>
        <v>#REF!</v>
      </c>
      <c r="F408" s="202" t="str">
        <f t="shared" si="212"/>
        <v>#REF!</v>
      </c>
      <c r="G408" s="4" t="str">
        <f t="shared" si="212"/>
        <v>#REF!</v>
      </c>
      <c r="H408" s="202" t="str">
        <f t="shared" si="212"/>
        <v>#REF!</v>
      </c>
      <c r="I408" s="202" t="str">
        <f t="shared" si="212"/>
        <v>#REF!</v>
      </c>
    </row>
    <row r="409" ht="14.25" customHeight="1">
      <c r="A409" s="204" t="str">
        <f t="shared" ref="A409:I409" si="213">'2.16.'!A69</f>
        <v>#REF!</v>
      </c>
      <c r="B409" s="92" t="str">
        <f t="shared" si="213"/>
        <v>#REF!</v>
      </c>
      <c r="C409" s="92" t="str">
        <f t="shared" si="213"/>
        <v>#REF!</v>
      </c>
      <c r="D409" s="204" t="str">
        <f t="shared" si="213"/>
        <v>#REF!</v>
      </c>
      <c r="E409" s="204" t="str">
        <f t="shared" si="213"/>
        <v>#REF!</v>
      </c>
      <c r="F409" s="206" t="str">
        <f t="shared" si="213"/>
        <v>#REF!</v>
      </c>
      <c r="G409" s="221" t="str">
        <f t="shared" si="213"/>
        <v>#REF!</v>
      </c>
      <c r="H409" s="143" t="str">
        <f t="shared" si="213"/>
        <v>#REF!</v>
      </c>
      <c r="I409" s="143" t="str">
        <f t="shared" si="213"/>
        <v>#REF!</v>
      </c>
    </row>
    <row r="410" ht="14.25" customHeight="1">
      <c r="A410" s="204" t="str">
        <f t="shared" ref="A410:I410" si="214">'2.16.'!A70</f>
        <v>#REF!</v>
      </c>
      <c r="B410" s="92" t="str">
        <f t="shared" si="214"/>
        <v>#REF!</v>
      </c>
      <c r="C410" s="92" t="str">
        <f t="shared" si="214"/>
        <v>#REF!</v>
      </c>
      <c r="D410" s="204" t="str">
        <f t="shared" si="214"/>
        <v>#REF!</v>
      </c>
      <c r="E410" s="204" t="str">
        <f t="shared" si="214"/>
        <v>#REF!</v>
      </c>
      <c r="F410" s="206" t="str">
        <f t="shared" si="214"/>
        <v>#REF!</v>
      </c>
      <c r="G410" s="221" t="str">
        <f t="shared" si="214"/>
        <v>#REF!</v>
      </c>
      <c r="H410" s="143" t="str">
        <f t="shared" si="214"/>
        <v>#REF!</v>
      </c>
      <c r="I410" s="143" t="str">
        <f t="shared" si="214"/>
        <v>#REF!</v>
      </c>
    </row>
    <row r="411" ht="14.25" customHeight="1">
      <c r="A411" s="204" t="str">
        <f t="shared" ref="A411:I411" si="215">'2.16.'!A71</f>
        <v>#REF!</v>
      </c>
      <c r="B411" s="92" t="str">
        <f t="shared" si="215"/>
        <v>#REF!</v>
      </c>
      <c r="C411" s="92" t="str">
        <f t="shared" si="215"/>
        <v>#REF!</v>
      </c>
      <c r="D411" s="204" t="str">
        <f t="shared" si="215"/>
        <v>#REF!</v>
      </c>
      <c r="E411" s="204" t="str">
        <f t="shared" si="215"/>
        <v>#REF!</v>
      </c>
      <c r="F411" s="206" t="str">
        <f t="shared" si="215"/>
        <v>#REF!</v>
      </c>
      <c r="G411" s="221" t="str">
        <f t="shared" si="215"/>
        <v>#REF!</v>
      </c>
      <c r="H411" s="143" t="str">
        <f t="shared" si="215"/>
        <v>#REF!</v>
      </c>
      <c r="I411" s="143" t="str">
        <f t="shared" si="215"/>
        <v>#REF!</v>
      </c>
    </row>
    <row r="412" ht="14.25" customHeight="1">
      <c r="A412" s="204" t="str">
        <f t="shared" ref="A412:I412" si="216">'2.16.'!A72</f>
        <v>#REF!</v>
      </c>
      <c r="B412" s="92" t="str">
        <f t="shared" si="216"/>
        <v>#REF!</v>
      </c>
      <c r="C412" s="92" t="str">
        <f t="shared" si="216"/>
        <v>#REF!</v>
      </c>
      <c r="D412" s="204" t="str">
        <f t="shared" si="216"/>
        <v>#REF!</v>
      </c>
      <c r="E412" s="204" t="str">
        <f t="shared" si="216"/>
        <v>#REF!</v>
      </c>
      <c r="F412" s="206" t="str">
        <f t="shared" si="216"/>
        <v>#REF!</v>
      </c>
      <c r="G412" s="221" t="str">
        <f t="shared" si="216"/>
        <v>#REF!</v>
      </c>
      <c r="H412" s="143" t="str">
        <f t="shared" si="216"/>
        <v>#REF!</v>
      </c>
      <c r="I412" s="143" t="str">
        <f t="shared" si="216"/>
        <v>#REF!</v>
      </c>
    </row>
    <row r="413" ht="14.25" customHeight="1">
      <c r="A413" s="204" t="str">
        <f t="shared" ref="A413:I413" si="217">'2.16.'!A73</f>
        <v>#REF!</v>
      </c>
      <c r="B413" s="92" t="str">
        <f t="shared" si="217"/>
        <v>#REF!</v>
      </c>
      <c r="C413" s="92" t="str">
        <f t="shared" si="217"/>
        <v>#REF!</v>
      </c>
      <c r="D413" s="204" t="str">
        <f t="shared" si="217"/>
        <v>#REF!</v>
      </c>
      <c r="E413" s="204" t="str">
        <f t="shared" si="217"/>
        <v>#REF!</v>
      </c>
      <c r="F413" s="206" t="str">
        <f t="shared" si="217"/>
        <v>#REF!</v>
      </c>
      <c r="G413" s="221" t="str">
        <f t="shared" si="217"/>
        <v>#REF!</v>
      </c>
      <c r="H413" s="143" t="str">
        <f t="shared" si="217"/>
        <v>#REF!</v>
      </c>
      <c r="I413" s="143" t="str">
        <f t="shared" si="217"/>
        <v>#REF!</v>
      </c>
    </row>
    <row r="414" ht="14.25" customHeight="1">
      <c r="A414" s="204" t="str">
        <f t="shared" ref="A414:I414" si="218">'2.16.'!A74</f>
        <v>#REF!</v>
      </c>
      <c r="B414" s="92" t="str">
        <f t="shared" si="218"/>
        <v>#REF!</v>
      </c>
      <c r="C414" s="92" t="str">
        <f t="shared" si="218"/>
        <v>#REF!</v>
      </c>
      <c r="D414" s="204" t="str">
        <f t="shared" si="218"/>
        <v>#REF!</v>
      </c>
      <c r="E414" s="204" t="str">
        <f t="shared" si="218"/>
        <v>#REF!</v>
      </c>
      <c r="F414" s="206" t="str">
        <f t="shared" si="218"/>
        <v>#REF!</v>
      </c>
      <c r="G414" s="221" t="str">
        <f t="shared" si="218"/>
        <v>#REF!</v>
      </c>
      <c r="H414" s="143" t="str">
        <f t="shared" si="218"/>
        <v>#REF!</v>
      </c>
      <c r="I414" s="143" t="str">
        <f t="shared" si="218"/>
        <v>#REF!</v>
      </c>
    </row>
    <row r="415" ht="14.25" customHeight="1">
      <c r="A415" s="216" t="str">
        <f t="shared" ref="A415:I415" si="219">'2.16.'!A75</f>
        <v>#REF!</v>
      </c>
      <c r="B415" s="216" t="str">
        <f t="shared" si="219"/>
        <v>#REF!</v>
      </c>
      <c r="C415" s="216" t="str">
        <f t="shared" si="219"/>
        <v>#REF!</v>
      </c>
      <c r="D415" s="216" t="str">
        <f t="shared" si="219"/>
        <v>#REF!</v>
      </c>
      <c r="E415" s="216" t="str">
        <f t="shared" si="219"/>
        <v>#REF!</v>
      </c>
      <c r="F415" s="208" t="str">
        <f t="shared" si="219"/>
        <v>#REF!</v>
      </c>
      <c r="G415" s="3" t="str">
        <f t="shared" si="219"/>
        <v>#REF!</v>
      </c>
      <c r="H415" s="143" t="str">
        <f t="shared" si="219"/>
        <v>#REF!</v>
      </c>
      <c r="I415" s="143" t="str">
        <f t="shared" si="219"/>
        <v>#REF!</v>
      </c>
    </row>
    <row r="416" ht="14.25" customHeight="1">
      <c r="A416" s="222" t="str">
        <f t="shared" ref="A416:I416" si="220">'2.16.'!A76</f>
        <v>#REF!</v>
      </c>
      <c r="B416" s="223" t="str">
        <f t="shared" si="220"/>
        <v>#REF!</v>
      </c>
      <c r="C416" s="223" t="str">
        <f t="shared" si="220"/>
        <v>#REF!</v>
      </c>
      <c r="D416" s="223" t="str">
        <f t="shared" si="220"/>
        <v>#REF!</v>
      </c>
      <c r="E416" s="223" t="str">
        <f t="shared" si="220"/>
        <v>#REF!</v>
      </c>
      <c r="F416" s="223" t="str">
        <f t="shared" si="220"/>
        <v>#REF!</v>
      </c>
      <c r="G416" s="211" t="str">
        <f t="shared" si="220"/>
        <v>#REF!</v>
      </c>
      <c r="H416" s="223" t="str">
        <f t="shared" si="220"/>
        <v>#REF!</v>
      </c>
      <c r="I416" s="224" t="str">
        <f t="shared" si="220"/>
        <v>#REF!</v>
      </c>
    </row>
    <row r="417" ht="15.75" customHeight="1">
      <c r="G417" s="3"/>
    </row>
    <row r="418" ht="15.75" customHeight="1">
      <c r="G418" s="3"/>
    </row>
    <row r="419" ht="23.25" customHeight="1">
      <c r="A419" s="195" t="str">
        <f>'2.17.'!A3</f>
        <v>#REF!</v>
      </c>
      <c r="B419" s="196" t="str">
        <f>'2.1.'!B419</f>
        <v/>
      </c>
      <c r="C419" s="197"/>
      <c r="D419" s="197"/>
      <c r="E419" s="197"/>
      <c r="F419" s="197"/>
      <c r="G419" s="198" t="str">
        <f>'2.1.'!G419</f>
        <v/>
      </c>
      <c r="H419" s="199" t="str">
        <f>'2.1.'!H419</f>
        <v/>
      </c>
      <c r="I419" s="200" t="str">
        <f>'2.1.'!I419</f>
        <v/>
      </c>
    </row>
    <row r="420" ht="14.25" customHeight="1">
      <c r="G420" s="3"/>
    </row>
    <row r="421" ht="14.25" customHeight="1">
      <c r="A421" s="201" t="str">
        <f t="shared" ref="A421:I421" si="221">'2.17.'!A39</f>
        <v>#REF!</v>
      </c>
      <c r="B421" s="94" t="str">
        <f t="shared" si="221"/>
        <v>#REF!</v>
      </c>
      <c r="C421" s="94" t="str">
        <f t="shared" si="221"/>
        <v>#REF!</v>
      </c>
      <c r="D421" s="94" t="str">
        <f t="shared" si="221"/>
        <v>#REF!</v>
      </c>
      <c r="E421" s="94" t="str">
        <f t="shared" si="221"/>
        <v>#REF!</v>
      </c>
      <c r="F421" s="94" t="str">
        <f t="shared" si="221"/>
        <v>#REF!</v>
      </c>
      <c r="G421" s="2" t="str">
        <f t="shared" si="221"/>
        <v>#REF!</v>
      </c>
      <c r="H421" s="94" t="str">
        <f t="shared" si="221"/>
        <v>#REF!</v>
      </c>
      <c r="I421" s="94" t="str">
        <f t="shared" si="221"/>
        <v>#REF!</v>
      </c>
    </row>
    <row r="422" ht="14.25" customHeight="1">
      <c r="A422" s="202" t="str">
        <f t="shared" ref="A422:I422" si="222">'2.17.'!A40</f>
        <v>#REF!</v>
      </c>
      <c r="B422" s="202" t="str">
        <f t="shared" si="222"/>
        <v>#REF!</v>
      </c>
      <c r="C422" s="202" t="str">
        <f t="shared" si="222"/>
        <v>#REF!</v>
      </c>
      <c r="D422" s="202" t="str">
        <f t="shared" si="222"/>
        <v>#REF!</v>
      </c>
      <c r="E422" s="202" t="str">
        <f t="shared" si="222"/>
        <v>#REF!</v>
      </c>
      <c r="F422" s="202" t="str">
        <f t="shared" si="222"/>
        <v>#REF!</v>
      </c>
      <c r="G422" s="4" t="str">
        <f t="shared" si="222"/>
        <v>#REF!</v>
      </c>
      <c r="H422" s="202" t="str">
        <f t="shared" si="222"/>
        <v>#REF!</v>
      </c>
      <c r="I422" s="202" t="str">
        <f t="shared" si="222"/>
        <v>#REF!</v>
      </c>
    </row>
    <row r="423" ht="14.25" customHeight="1">
      <c r="A423" s="204" t="str">
        <f t="shared" ref="A423:I423" si="223">'2.17.'!A41</f>
        <v>#REF!</v>
      </c>
      <c r="B423" s="92" t="str">
        <f t="shared" si="223"/>
        <v>#REF!</v>
      </c>
      <c r="C423" s="92" t="str">
        <f t="shared" si="223"/>
        <v>#REF!</v>
      </c>
      <c r="D423" s="204" t="str">
        <f t="shared" si="223"/>
        <v>#REF!</v>
      </c>
      <c r="E423" s="204" t="str">
        <f t="shared" si="223"/>
        <v>#REF!</v>
      </c>
      <c r="F423" s="206" t="str">
        <f t="shared" si="223"/>
        <v>#REF!</v>
      </c>
      <c r="G423" s="217" t="str">
        <f t="shared" si="223"/>
        <v>#REF!</v>
      </c>
      <c r="H423" s="143" t="str">
        <f t="shared" si="223"/>
        <v>#REF!</v>
      </c>
      <c r="I423" s="143" t="str">
        <f t="shared" si="223"/>
        <v>#REF!</v>
      </c>
    </row>
    <row r="424" ht="14.25" customHeight="1">
      <c r="A424" s="204" t="str">
        <f t="shared" ref="A424:I424" si="224">'2.17.'!A42</f>
        <v>#REF!</v>
      </c>
      <c r="B424" s="92" t="str">
        <f t="shared" si="224"/>
        <v>#REF!</v>
      </c>
      <c r="C424" s="92" t="str">
        <f t="shared" si="224"/>
        <v>#REF!</v>
      </c>
      <c r="D424" s="204" t="str">
        <f t="shared" si="224"/>
        <v>#REF!</v>
      </c>
      <c r="E424" s="204" t="str">
        <f t="shared" si="224"/>
        <v>#REF!</v>
      </c>
      <c r="F424" s="206" t="str">
        <f t="shared" si="224"/>
        <v>#REF!</v>
      </c>
      <c r="G424" s="217" t="str">
        <f t="shared" si="224"/>
        <v>#REF!</v>
      </c>
      <c r="H424" s="143" t="str">
        <f t="shared" si="224"/>
        <v>#REF!</v>
      </c>
      <c r="I424" s="143" t="str">
        <f t="shared" si="224"/>
        <v>#REF!</v>
      </c>
    </row>
    <row r="425" ht="14.25" customHeight="1">
      <c r="A425" s="204" t="str">
        <f t="shared" ref="A425:I425" si="225">'2.17.'!A43</f>
        <v>#REF!</v>
      </c>
      <c r="B425" s="92" t="str">
        <f t="shared" si="225"/>
        <v>#REF!</v>
      </c>
      <c r="C425" s="92" t="str">
        <f t="shared" si="225"/>
        <v>#REF!</v>
      </c>
      <c r="D425" s="204" t="str">
        <f t="shared" si="225"/>
        <v>#REF!</v>
      </c>
      <c r="E425" s="204" t="str">
        <f t="shared" si="225"/>
        <v>#REF!</v>
      </c>
      <c r="F425" s="206" t="str">
        <f t="shared" si="225"/>
        <v>#REF!</v>
      </c>
      <c r="G425" s="217" t="str">
        <f t="shared" si="225"/>
        <v>#REF!</v>
      </c>
      <c r="H425" s="143" t="str">
        <f t="shared" si="225"/>
        <v>#REF!</v>
      </c>
      <c r="I425" s="143" t="str">
        <f t="shared" si="225"/>
        <v>#REF!</v>
      </c>
    </row>
    <row r="426" ht="14.25" customHeight="1">
      <c r="A426" s="204" t="str">
        <f t="shared" ref="A426:I426" si="226">'2.17.'!A44</f>
        <v>#REF!</v>
      </c>
      <c r="B426" s="92" t="str">
        <f t="shared" si="226"/>
        <v>#REF!</v>
      </c>
      <c r="C426" s="92" t="str">
        <f t="shared" si="226"/>
        <v>#REF!</v>
      </c>
      <c r="D426" s="204" t="str">
        <f t="shared" si="226"/>
        <v>#REF!</v>
      </c>
      <c r="E426" s="204" t="str">
        <f t="shared" si="226"/>
        <v>#REF!</v>
      </c>
      <c r="F426" s="206" t="str">
        <f t="shared" si="226"/>
        <v>#REF!</v>
      </c>
      <c r="G426" s="217" t="str">
        <f t="shared" si="226"/>
        <v>#REF!</v>
      </c>
      <c r="H426" s="143" t="str">
        <f t="shared" si="226"/>
        <v>#REF!</v>
      </c>
      <c r="I426" s="143" t="str">
        <f t="shared" si="226"/>
        <v>#REF!</v>
      </c>
    </row>
    <row r="427" ht="14.25" customHeight="1">
      <c r="A427" s="204" t="str">
        <f t="shared" ref="A427:I427" si="227">'2.17.'!A45</f>
        <v>#REF!</v>
      </c>
      <c r="B427" s="92" t="str">
        <f t="shared" si="227"/>
        <v>#REF!</v>
      </c>
      <c r="C427" s="92" t="str">
        <f t="shared" si="227"/>
        <v>#REF!</v>
      </c>
      <c r="D427" s="204" t="str">
        <f t="shared" si="227"/>
        <v>#REF!</v>
      </c>
      <c r="E427" s="204" t="str">
        <f t="shared" si="227"/>
        <v>#REF!</v>
      </c>
      <c r="F427" s="206" t="str">
        <f t="shared" si="227"/>
        <v>#REF!</v>
      </c>
      <c r="G427" s="217" t="str">
        <f t="shared" si="227"/>
        <v>#REF!</v>
      </c>
      <c r="H427" s="143" t="str">
        <f t="shared" si="227"/>
        <v>#REF!</v>
      </c>
      <c r="I427" s="143" t="str">
        <f t="shared" si="227"/>
        <v>#REF!</v>
      </c>
    </row>
    <row r="428" ht="14.25" customHeight="1">
      <c r="A428" s="204" t="str">
        <f t="shared" ref="A428:I428" si="228">'2.17.'!A46</f>
        <v>#REF!</v>
      </c>
      <c r="B428" s="92" t="str">
        <f t="shared" si="228"/>
        <v>#REF!</v>
      </c>
      <c r="C428" s="92" t="str">
        <f t="shared" si="228"/>
        <v>#REF!</v>
      </c>
      <c r="D428" s="204" t="str">
        <f t="shared" si="228"/>
        <v>#REF!</v>
      </c>
      <c r="E428" s="204" t="str">
        <f t="shared" si="228"/>
        <v>#REF!</v>
      </c>
      <c r="F428" s="206" t="str">
        <f t="shared" si="228"/>
        <v>#REF!</v>
      </c>
      <c r="G428" s="217" t="str">
        <f t="shared" si="228"/>
        <v>#REF!</v>
      </c>
      <c r="H428" s="143" t="str">
        <f t="shared" si="228"/>
        <v>#REF!</v>
      </c>
      <c r="I428" s="143" t="str">
        <f t="shared" si="228"/>
        <v>#REF!</v>
      </c>
    </row>
    <row r="429" ht="14.25" customHeight="1">
      <c r="A429" s="216" t="str">
        <f t="shared" ref="A429:I429" si="229">'2.17.'!A47</f>
        <v>#REF!</v>
      </c>
      <c r="B429" s="216" t="str">
        <f t="shared" si="229"/>
        <v>#REF!</v>
      </c>
      <c r="C429" s="216" t="str">
        <f t="shared" si="229"/>
        <v>#REF!</v>
      </c>
      <c r="D429" s="216" t="str">
        <f t="shared" si="229"/>
        <v>#REF!</v>
      </c>
      <c r="E429" s="216" t="str">
        <f t="shared" si="229"/>
        <v>#REF!</v>
      </c>
      <c r="F429" s="208" t="str">
        <f t="shared" si="229"/>
        <v>#REF!</v>
      </c>
      <c r="G429" s="3" t="str">
        <f t="shared" si="229"/>
        <v>#REF!</v>
      </c>
      <c r="H429" s="143" t="str">
        <f t="shared" si="229"/>
        <v>#REF!</v>
      </c>
      <c r="I429" s="143" t="str">
        <f t="shared" si="229"/>
        <v>#REF!</v>
      </c>
    </row>
    <row r="430" ht="14.25" customHeight="1">
      <c r="A430" s="222" t="str">
        <f t="shared" ref="A430:I430" si="230">'2.17.'!A48</f>
        <v>#REF!</v>
      </c>
      <c r="B430" s="223" t="str">
        <f t="shared" si="230"/>
        <v>#REF!</v>
      </c>
      <c r="C430" s="223" t="str">
        <f t="shared" si="230"/>
        <v>#REF!</v>
      </c>
      <c r="D430" s="223" t="str">
        <f t="shared" si="230"/>
        <v>#REF!</v>
      </c>
      <c r="E430" s="223" t="str">
        <f t="shared" si="230"/>
        <v>#REF!</v>
      </c>
      <c r="F430" s="223" t="str">
        <f t="shared" si="230"/>
        <v>#REF!</v>
      </c>
      <c r="G430" s="211" t="str">
        <f t="shared" si="230"/>
        <v>#REF!</v>
      </c>
      <c r="H430" s="223" t="str">
        <f t="shared" si="230"/>
        <v>#REF!</v>
      </c>
      <c r="I430" s="224" t="str">
        <f t="shared" si="230"/>
        <v>#REF!</v>
      </c>
    </row>
    <row r="431" ht="14.25" customHeight="1">
      <c r="G431" s="3"/>
    </row>
    <row r="432" ht="14.25" customHeight="1">
      <c r="G432" s="3"/>
    </row>
    <row r="433" ht="14.25" customHeight="1">
      <c r="A433" s="201" t="str">
        <f t="shared" ref="A433:I433" si="231">'2.17.'!A67</f>
        <v>#REF!</v>
      </c>
      <c r="B433" s="94" t="str">
        <f t="shared" si="231"/>
        <v>#REF!</v>
      </c>
      <c r="C433" s="94" t="str">
        <f t="shared" si="231"/>
        <v>#REF!</v>
      </c>
      <c r="D433" s="94" t="str">
        <f t="shared" si="231"/>
        <v>#REF!</v>
      </c>
      <c r="E433" s="94" t="str">
        <f t="shared" si="231"/>
        <v>#REF!</v>
      </c>
      <c r="F433" s="94" t="str">
        <f t="shared" si="231"/>
        <v>#REF!</v>
      </c>
      <c r="G433" s="2" t="str">
        <f t="shared" si="231"/>
        <v>#REF!</v>
      </c>
      <c r="H433" s="94" t="str">
        <f t="shared" si="231"/>
        <v>#REF!</v>
      </c>
      <c r="I433" s="94" t="str">
        <f t="shared" si="231"/>
        <v>#REF!</v>
      </c>
    </row>
    <row r="434" ht="14.25" customHeight="1">
      <c r="A434" s="202" t="str">
        <f t="shared" ref="A434:I434" si="232">'2.17.'!A68</f>
        <v>#REF!</v>
      </c>
      <c r="B434" s="202" t="str">
        <f t="shared" si="232"/>
        <v>#REF!</v>
      </c>
      <c r="C434" s="202" t="str">
        <f t="shared" si="232"/>
        <v>#REF!</v>
      </c>
      <c r="D434" s="202" t="str">
        <f t="shared" si="232"/>
        <v>#REF!</v>
      </c>
      <c r="E434" s="202" t="str">
        <f t="shared" si="232"/>
        <v>#REF!</v>
      </c>
      <c r="F434" s="202" t="str">
        <f t="shared" si="232"/>
        <v>#REF!</v>
      </c>
      <c r="G434" s="4" t="str">
        <f t="shared" si="232"/>
        <v>#REF!</v>
      </c>
      <c r="H434" s="202" t="str">
        <f t="shared" si="232"/>
        <v>#REF!</v>
      </c>
      <c r="I434" s="202" t="str">
        <f t="shared" si="232"/>
        <v>#REF!</v>
      </c>
    </row>
    <row r="435" ht="14.25" customHeight="1">
      <c r="A435" s="204" t="str">
        <f t="shared" ref="A435:I435" si="233">'2.17.'!A69</f>
        <v>#REF!</v>
      </c>
      <c r="B435" s="92" t="str">
        <f t="shared" si="233"/>
        <v>#REF!</v>
      </c>
      <c r="C435" s="92" t="str">
        <f t="shared" si="233"/>
        <v>#REF!</v>
      </c>
      <c r="D435" s="204" t="str">
        <f t="shared" si="233"/>
        <v>#REF!</v>
      </c>
      <c r="E435" s="204" t="str">
        <f t="shared" si="233"/>
        <v>#REF!</v>
      </c>
      <c r="F435" s="206" t="str">
        <f t="shared" si="233"/>
        <v>#REF!</v>
      </c>
      <c r="G435" s="221" t="str">
        <f t="shared" si="233"/>
        <v>#REF!</v>
      </c>
      <c r="H435" s="143" t="str">
        <f t="shared" si="233"/>
        <v>#REF!</v>
      </c>
      <c r="I435" s="143" t="str">
        <f t="shared" si="233"/>
        <v>#REF!</v>
      </c>
    </row>
    <row r="436" ht="14.25" customHeight="1">
      <c r="A436" s="204" t="str">
        <f t="shared" ref="A436:I436" si="234">'2.17.'!A70</f>
        <v>#REF!</v>
      </c>
      <c r="B436" s="92" t="str">
        <f t="shared" si="234"/>
        <v>#REF!</v>
      </c>
      <c r="C436" s="92" t="str">
        <f t="shared" si="234"/>
        <v>#REF!</v>
      </c>
      <c r="D436" s="204" t="str">
        <f t="shared" si="234"/>
        <v>#REF!</v>
      </c>
      <c r="E436" s="204" t="str">
        <f t="shared" si="234"/>
        <v>#REF!</v>
      </c>
      <c r="F436" s="206" t="str">
        <f t="shared" si="234"/>
        <v>#REF!</v>
      </c>
      <c r="G436" s="221" t="str">
        <f t="shared" si="234"/>
        <v>#REF!</v>
      </c>
      <c r="H436" s="143" t="str">
        <f t="shared" si="234"/>
        <v>#REF!</v>
      </c>
      <c r="I436" s="143" t="str">
        <f t="shared" si="234"/>
        <v>#REF!</v>
      </c>
    </row>
    <row r="437" ht="14.25" customHeight="1">
      <c r="A437" s="204" t="str">
        <f t="shared" ref="A437:I437" si="235">'2.17.'!A71</f>
        <v>#REF!</v>
      </c>
      <c r="B437" s="92" t="str">
        <f t="shared" si="235"/>
        <v>#REF!</v>
      </c>
      <c r="C437" s="92" t="str">
        <f t="shared" si="235"/>
        <v>#REF!</v>
      </c>
      <c r="D437" s="204" t="str">
        <f t="shared" si="235"/>
        <v>#REF!</v>
      </c>
      <c r="E437" s="204" t="str">
        <f t="shared" si="235"/>
        <v>#REF!</v>
      </c>
      <c r="F437" s="206" t="str">
        <f t="shared" si="235"/>
        <v>#REF!</v>
      </c>
      <c r="G437" s="221" t="str">
        <f t="shared" si="235"/>
        <v>#REF!</v>
      </c>
      <c r="H437" s="143" t="str">
        <f t="shared" si="235"/>
        <v>#REF!</v>
      </c>
      <c r="I437" s="143" t="str">
        <f t="shared" si="235"/>
        <v>#REF!</v>
      </c>
    </row>
    <row r="438" ht="14.25" customHeight="1">
      <c r="A438" s="204" t="str">
        <f t="shared" ref="A438:I438" si="236">'2.17.'!A72</f>
        <v>#REF!</v>
      </c>
      <c r="B438" s="92" t="str">
        <f t="shared" si="236"/>
        <v>#REF!</v>
      </c>
      <c r="C438" s="92" t="str">
        <f t="shared" si="236"/>
        <v>#REF!</v>
      </c>
      <c r="D438" s="204" t="str">
        <f t="shared" si="236"/>
        <v>#REF!</v>
      </c>
      <c r="E438" s="204" t="str">
        <f t="shared" si="236"/>
        <v>#REF!</v>
      </c>
      <c r="F438" s="206" t="str">
        <f t="shared" si="236"/>
        <v>#REF!</v>
      </c>
      <c r="G438" s="221" t="str">
        <f t="shared" si="236"/>
        <v>#REF!</v>
      </c>
      <c r="H438" s="143" t="str">
        <f t="shared" si="236"/>
        <v>#REF!</v>
      </c>
      <c r="I438" s="143" t="str">
        <f t="shared" si="236"/>
        <v>#REF!</v>
      </c>
    </row>
    <row r="439" ht="14.25" customHeight="1">
      <c r="A439" s="204" t="str">
        <f t="shared" ref="A439:I439" si="237">'2.17.'!A73</f>
        <v>#REF!</v>
      </c>
      <c r="B439" s="92" t="str">
        <f t="shared" si="237"/>
        <v>#REF!</v>
      </c>
      <c r="C439" s="92" t="str">
        <f t="shared" si="237"/>
        <v>#REF!</v>
      </c>
      <c r="D439" s="204" t="str">
        <f t="shared" si="237"/>
        <v>#REF!</v>
      </c>
      <c r="E439" s="204" t="str">
        <f t="shared" si="237"/>
        <v>#REF!</v>
      </c>
      <c r="F439" s="206" t="str">
        <f t="shared" si="237"/>
        <v>#REF!</v>
      </c>
      <c r="G439" s="221" t="str">
        <f t="shared" si="237"/>
        <v>#REF!</v>
      </c>
      <c r="H439" s="143" t="str">
        <f t="shared" si="237"/>
        <v>#REF!</v>
      </c>
      <c r="I439" s="143" t="str">
        <f t="shared" si="237"/>
        <v>#REF!</v>
      </c>
    </row>
    <row r="440" ht="14.25" customHeight="1">
      <c r="A440" s="204" t="str">
        <f t="shared" ref="A440:I440" si="238">'2.17.'!A74</f>
        <v>#REF!</v>
      </c>
      <c r="B440" s="92" t="str">
        <f t="shared" si="238"/>
        <v>#REF!</v>
      </c>
      <c r="C440" s="92" t="str">
        <f t="shared" si="238"/>
        <v>#REF!</v>
      </c>
      <c r="D440" s="204" t="str">
        <f t="shared" si="238"/>
        <v>#REF!</v>
      </c>
      <c r="E440" s="204" t="str">
        <f t="shared" si="238"/>
        <v>#REF!</v>
      </c>
      <c r="F440" s="206" t="str">
        <f t="shared" si="238"/>
        <v>#REF!</v>
      </c>
      <c r="G440" s="221" t="str">
        <f t="shared" si="238"/>
        <v>#REF!</v>
      </c>
      <c r="H440" s="143" t="str">
        <f t="shared" si="238"/>
        <v>#REF!</v>
      </c>
      <c r="I440" s="143" t="str">
        <f t="shared" si="238"/>
        <v>#REF!</v>
      </c>
    </row>
    <row r="441" ht="14.25" customHeight="1">
      <c r="A441" s="216" t="str">
        <f t="shared" ref="A441:I441" si="239">'2.17.'!A75</f>
        <v>#REF!</v>
      </c>
      <c r="B441" s="216" t="str">
        <f t="shared" si="239"/>
        <v>#REF!</v>
      </c>
      <c r="C441" s="216" t="str">
        <f t="shared" si="239"/>
        <v>#REF!</v>
      </c>
      <c r="D441" s="216" t="str">
        <f t="shared" si="239"/>
        <v>#REF!</v>
      </c>
      <c r="E441" s="216" t="str">
        <f t="shared" si="239"/>
        <v>#REF!</v>
      </c>
      <c r="F441" s="208" t="str">
        <f t="shared" si="239"/>
        <v>#REF!</v>
      </c>
      <c r="G441" s="3" t="str">
        <f t="shared" si="239"/>
        <v>#REF!</v>
      </c>
      <c r="H441" s="143" t="str">
        <f t="shared" si="239"/>
        <v>#REF!</v>
      </c>
      <c r="I441" s="143" t="str">
        <f t="shared" si="239"/>
        <v>#REF!</v>
      </c>
    </row>
    <row r="442" ht="14.25" customHeight="1">
      <c r="A442" s="222" t="str">
        <f t="shared" ref="A442:I442" si="240">'2.17.'!A76</f>
        <v>#REF!</v>
      </c>
      <c r="B442" s="223" t="str">
        <f t="shared" si="240"/>
        <v>#REF!</v>
      </c>
      <c r="C442" s="223" t="str">
        <f t="shared" si="240"/>
        <v>#REF!</v>
      </c>
      <c r="D442" s="223" t="str">
        <f t="shared" si="240"/>
        <v>#REF!</v>
      </c>
      <c r="E442" s="223" t="str">
        <f t="shared" si="240"/>
        <v>#REF!</v>
      </c>
      <c r="F442" s="223" t="str">
        <f t="shared" si="240"/>
        <v>#REF!</v>
      </c>
      <c r="G442" s="211" t="str">
        <f t="shared" si="240"/>
        <v>#REF!</v>
      </c>
      <c r="H442" s="223" t="str">
        <f t="shared" si="240"/>
        <v>#REF!</v>
      </c>
      <c r="I442" s="224" t="str">
        <f t="shared" si="240"/>
        <v>#REF!</v>
      </c>
    </row>
    <row r="443" ht="15.75" customHeight="1">
      <c r="G443" s="3"/>
    </row>
    <row r="444" ht="15.75" customHeight="1">
      <c r="G444" s="3"/>
    </row>
    <row r="445" ht="23.25" customHeight="1">
      <c r="A445" s="195" t="str">
        <f>'2.18.'!A3</f>
        <v>#REF!</v>
      </c>
      <c r="B445" s="196" t="str">
        <f>'2.1.'!B445</f>
        <v/>
      </c>
      <c r="C445" s="197"/>
      <c r="D445" s="197"/>
      <c r="E445" s="197"/>
      <c r="F445" s="197"/>
      <c r="G445" s="198" t="str">
        <f>'2.1.'!G445</f>
        <v/>
      </c>
      <c r="H445" s="199" t="str">
        <f>'2.1.'!H445</f>
        <v/>
      </c>
      <c r="I445" s="200" t="str">
        <f>'2.1.'!I445</f>
        <v/>
      </c>
    </row>
    <row r="446" ht="14.25" customHeight="1">
      <c r="G446" s="3"/>
    </row>
    <row r="447" ht="14.25" customHeight="1">
      <c r="A447" s="201" t="str">
        <f t="shared" ref="A447:I447" si="241">'2.18.'!A39</f>
        <v>#REF!</v>
      </c>
      <c r="B447" s="94" t="str">
        <f t="shared" si="241"/>
        <v>#REF!</v>
      </c>
      <c r="C447" s="94" t="str">
        <f t="shared" si="241"/>
        <v>#REF!</v>
      </c>
      <c r="D447" s="94" t="str">
        <f t="shared" si="241"/>
        <v>#REF!</v>
      </c>
      <c r="E447" s="94" t="str">
        <f t="shared" si="241"/>
        <v>#REF!</v>
      </c>
      <c r="F447" s="94" t="str">
        <f t="shared" si="241"/>
        <v>#REF!</v>
      </c>
      <c r="G447" s="2" t="str">
        <f t="shared" si="241"/>
        <v>#REF!</v>
      </c>
      <c r="H447" s="94" t="str">
        <f t="shared" si="241"/>
        <v>#REF!</v>
      </c>
      <c r="I447" s="94" t="str">
        <f t="shared" si="241"/>
        <v>#REF!</v>
      </c>
    </row>
    <row r="448" ht="14.25" customHeight="1">
      <c r="A448" s="202" t="str">
        <f t="shared" ref="A448:I448" si="242">'2.18.'!A40</f>
        <v>#REF!</v>
      </c>
      <c r="B448" s="202" t="str">
        <f t="shared" si="242"/>
        <v>#REF!</v>
      </c>
      <c r="C448" s="202" t="str">
        <f t="shared" si="242"/>
        <v>#REF!</v>
      </c>
      <c r="D448" s="202" t="str">
        <f t="shared" si="242"/>
        <v>#REF!</v>
      </c>
      <c r="E448" s="202" t="str">
        <f t="shared" si="242"/>
        <v>#REF!</v>
      </c>
      <c r="F448" s="202" t="str">
        <f t="shared" si="242"/>
        <v>#REF!</v>
      </c>
      <c r="G448" s="4" t="str">
        <f t="shared" si="242"/>
        <v>#REF!</v>
      </c>
      <c r="H448" s="202" t="str">
        <f t="shared" si="242"/>
        <v>#REF!</v>
      </c>
      <c r="I448" s="202" t="str">
        <f t="shared" si="242"/>
        <v>#REF!</v>
      </c>
    </row>
    <row r="449" ht="14.25" customHeight="1">
      <c r="A449" s="204" t="str">
        <f t="shared" ref="A449:I449" si="243">'2.18.'!A41</f>
        <v>#REF!</v>
      </c>
      <c r="B449" s="92" t="str">
        <f t="shared" si="243"/>
        <v>#REF!</v>
      </c>
      <c r="C449" s="92" t="str">
        <f t="shared" si="243"/>
        <v>#REF!</v>
      </c>
      <c r="D449" s="204" t="str">
        <f t="shared" si="243"/>
        <v>#REF!</v>
      </c>
      <c r="E449" s="204" t="str">
        <f t="shared" si="243"/>
        <v>#REF!</v>
      </c>
      <c r="F449" s="206" t="str">
        <f t="shared" si="243"/>
        <v>#REF!</v>
      </c>
      <c r="G449" s="217" t="str">
        <f t="shared" si="243"/>
        <v>#REF!</v>
      </c>
      <c r="H449" s="143" t="str">
        <f t="shared" si="243"/>
        <v>#REF!</v>
      </c>
      <c r="I449" s="143" t="str">
        <f t="shared" si="243"/>
        <v>#REF!</v>
      </c>
    </row>
    <row r="450" ht="14.25" customHeight="1">
      <c r="A450" s="204" t="str">
        <f t="shared" ref="A450:I450" si="244">'2.18.'!A42</f>
        <v>#REF!</v>
      </c>
      <c r="B450" s="92" t="str">
        <f t="shared" si="244"/>
        <v>#REF!</v>
      </c>
      <c r="C450" s="92" t="str">
        <f t="shared" si="244"/>
        <v>#REF!</v>
      </c>
      <c r="D450" s="204" t="str">
        <f t="shared" si="244"/>
        <v>#REF!</v>
      </c>
      <c r="E450" s="204" t="str">
        <f t="shared" si="244"/>
        <v>#REF!</v>
      </c>
      <c r="F450" s="206" t="str">
        <f t="shared" si="244"/>
        <v>#REF!</v>
      </c>
      <c r="G450" s="217" t="str">
        <f t="shared" si="244"/>
        <v>#REF!</v>
      </c>
      <c r="H450" s="143" t="str">
        <f t="shared" si="244"/>
        <v>#REF!</v>
      </c>
      <c r="I450" s="143" t="str">
        <f t="shared" si="244"/>
        <v>#REF!</v>
      </c>
    </row>
    <row r="451" ht="14.25" customHeight="1">
      <c r="A451" s="204" t="str">
        <f t="shared" ref="A451:I451" si="245">'2.18.'!A43</f>
        <v>#REF!</v>
      </c>
      <c r="B451" s="92" t="str">
        <f t="shared" si="245"/>
        <v>#REF!</v>
      </c>
      <c r="C451" s="92" t="str">
        <f t="shared" si="245"/>
        <v>#REF!</v>
      </c>
      <c r="D451" s="204" t="str">
        <f t="shared" si="245"/>
        <v>#REF!</v>
      </c>
      <c r="E451" s="204" t="str">
        <f t="shared" si="245"/>
        <v>#REF!</v>
      </c>
      <c r="F451" s="206" t="str">
        <f t="shared" si="245"/>
        <v>#REF!</v>
      </c>
      <c r="G451" s="217" t="str">
        <f t="shared" si="245"/>
        <v>#REF!</v>
      </c>
      <c r="H451" s="143" t="str">
        <f t="shared" si="245"/>
        <v>#REF!</v>
      </c>
      <c r="I451" s="143" t="str">
        <f t="shared" si="245"/>
        <v>#REF!</v>
      </c>
    </row>
    <row r="452" ht="14.25" customHeight="1">
      <c r="A452" s="204" t="str">
        <f t="shared" ref="A452:I452" si="246">'2.18.'!A44</f>
        <v>#REF!</v>
      </c>
      <c r="B452" s="92" t="str">
        <f t="shared" si="246"/>
        <v>#REF!</v>
      </c>
      <c r="C452" s="92" t="str">
        <f t="shared" si="246"/>
        <v>#REF!</v>
      </c>
      <c r="D452" s="204" t="str">
        <f t="shared" si="246"/>
        <v>#REF!</v>
      </c>
      <c r="E452" s="204" t="str">
        <f t="shared" si="246"/>
        <v>#REF!</v>
      </c>
      <c r="F452" s="206" t="str">
        <f t="shared" si="246"/>
        <v>#REF!</v>
      </c>
      <c r="G452" s="217" t="str">
        <f t="shared" si="246"/>
        <v>#REF!</v>
      </c>
      <c r="H452" s="143" t="str">
        <f t="shared" si="246"/>
        <v>#REF!</v>
      </c>
      <c r="I452" s="143" t="str">
        <f t="shared" si="246"/>
        <v>#REF!</v>
      </c>
    </row>
    <row r="453" ht="14.25" customHeight="1">
      <c r="A453" s="204" t="str">
        <f t="shared" ref="A453:I453" si="247">'2.18.'!A45</f>
        <v>#REF!</v>
      </c>
      <c r="B453" s="92" t="str">
        <f t="shared" si="247"/>
        <v>#REF!</v>
      </c>
      <c r="C453" s="92" t="str">
        <f t="shared" si="247"/>
        <v>#REF!</v>
      </c>
      <c r="D453" s="204" t="str">
        <f t="shared" si="247"/>
        <v>#REF!</v>
      </c>
      <c r="E453" s="204" t="str">
        <f t="shared" si="247"/>
        <v>#REF!</v>
      </c>
      <c r="F453" s="206" t="str">
        <f t="shared" si="247"/>
        <v>#REF!</v>
      </c>
      <c r="G453" s="217" t="str">
        <f t="shared" si="247"/>
        <v>#REF!</v>
      </c>
      <c r="H453" s="143" t="str">
        <f t="shared" si="247"/>
        <v>#REF!</v>
      </c>
      <c r="I453" s="143" t="str">
        <f t="shared" si="247"/>
        <v>#REF!</v>
      </c>
    </row>
    <row r="454" ht="14.25" customHeight="1">
      <c r="A454" s="204" t="str">
        <f t="shared" ref="A454:I454" si="248">'2.18.'!A46</f>
        <v>#REF!</v>
      </c>
      <c r="B454" s="92" t="str">
        <f t="shared" si="248"/>
        <v>#REF!</v>
      </c>
      <c r="C454" s="92" t="str">
        <f t="shared" si="248"/>
        <v>#REF!</v>
      </c>
      <c r="D454" s="204" t="str">
        <f t="shared" si="248"/>
        <v>#REF!</v>
      </c>
      <c r="E454" s="204" t="str">
        <f t="shared" si="248"/>
        <v>#REF!</v>
      </c>
      <c r="F454" s="206" t="str">
        <f t="shared" si="248"/>
        <v>#REF!</v>
      </c>
      <c r="G454" s="217" t="str">
        <f t="shared" si="248"/>
        <v>#REF!</v>
      </c>
      <c r="H454" s="143" t="str">
        <f t="shared" si="248"/>
        <v>#REF!</v>
      </c>
      <c r="I454" s="143" t="str">
        <f t="shared" si="248"/>
        <v>#REF!</v>
      </c>
    </row>
    <row r="455" ht="14.25" customHeight="1">
      <c r="A455" s="216" t="str">
        <f t="shared" ref="A455:I455" si="249">'2.18.'!A47</f>
        <v>#REF!</v>
      </c>
      <c r="B455" s="216" t="str">
        <f t="shared" si="249"/>
        <v>#REF!</v>
      </c>
      <c r="C455" s="216" t="str">
        <f t="shared" si="249"/>
        <v>#REF!</v>
      </c>
      <c r="D455" s="216" t="str">
        <f t="shared" si="249"/>
        <v>#REF!</v>
      </c>
      <c r="E455" s="216" t="str">
        <f t="shared" si="249"/>
        <v>#REF!</v>
      </c>
      <c r="F455" s="208" t="str">
        <f t="shared" si="249"/>
        <v>#REF!</v>
      </c>
      <c r="G455" s="3" t="str">
        <f t="shared" si="249"/>
        <v>#REF!</v>
      </c>
      <c r="H455" s="143" t="str">
        <f t="shared" si="249"/>
        <v>#REF!</v>
      </c>
      <c r="I455" s="143" t="str">
        <f t="shared" si="249"/>
        <v>#REF!</v>
      </c>
    </row>
    <row r="456" ht="14.25" customHeight="1">
      <c r="A456" s="222" t="str">
        <f t="shared" ref="A456:I456" si="250">'2.18.'!A48</f>
        <v>#REF!</v>
      </c>
      <c r="B456" s="223" t="str">
        <f t="shared" si="250"/>
        <v>#REF!</v>
      </c>
      <c r="C456" s="223" t="str">
        <f t="shared" si="250"/>
        <v>#REF!</v>
      </c>
      <c r="D456" s="223" t="str">
        <f t="shared" si="250"/>
        <v>#REF!</v>
      </c>
      <c r="E456" s="223" t="str">
        <f t="shared" si="250"/>
        <v>#REF!</v>
      </c>
      <c r="F456" s="223" t="str">
        <f t="shared" si="250"/>
        <v>#REF!</v>
      </c>
      <c r="G456" s="211" t="str">
        <f t="shared" si="250"/>
        <v>#REF!</v>
      </c>
      <c r="H456" s="223" t="str">
        <f t="shared" si="250"/>
        <v>#REF!</v>
      </c>
      <c r="I456" s="224" t="str">
        <f t="shared" si="250"/>
        <v>#REF!</v>
      </c>
    </row>
    <row r="457" ht="14.25" customHeight="1">
      <c r="G457" s="3"/>
    </row>
    <row r="458" ht="14.25" customHeight="1">
      <c r="G458" s="3"/>
    </row>
    <row r="459" ht="14.25" customHeight="1">
      <c r="A459" s="201" t="str">
        <f t="shared" ref="A459:I459" si="251">'2.18.'!A67</f>
        <v>#REF!</v>
      </c>
      <c r="B459" s="94" t="str">
        <f t="shared" si="251"/>
        <v>#REF!</v>
      </c>
      <c r="C459" s="94" t="str">
        <f t="shared" si="251"/>
        <v>#REF!</v>
      </c>
      <c r="D459" s="94" t="str">
        <f t="shared" si="251"/>
        <v>#REF!</v>
      </c>
      <c r="E459" s="94" t="str">
        <f t="shared" si="251"/>
        <v>#REF!</v>
      </c>
      <c r="F459" s="94" t="str">
        <f t="shared" si="251"/>
        <v>#REF!</v>
      </c>
      <c r="G459" s="2" t="str">
        <f t="shared" si="251"/>
        <v>#REF!</v>
      </c>
      <c r="H459" s="94" t="str">
        <f t="shared" si="251"/>
        <v>#REF!</v>
      </c>
      <c r="I459" s="94" t="str">
        <f t="shared" si="251"/>
        <v>#REF!</v>
      </c>
    </row>
    <row r="460" ht="14.25" customHeight="1">
      <c r="A460" s="202" t="str">
        <f t="shared" ref="A460:I460" si="252">'2.18.'!A68</f>
        <v>#REF!</v>
      </c>
      <c r="B460" s="202" t="str">
        <f t="shared" si="252"/>
        <v>#REF!</v>
      </c>
      <c r="C460" s="202" t="str">
        <f t="shared" si="252"/>
        <v>#REF!</v>
      </c>
      <c r="D460" s="202" t="str">
        <f t="shared" si="252"/>
        <v>#REF!</v>
      </c>
      <c r="E460" s="202" t="str">
        <f t="shared" si="252"/>
        <v>#REF!</v>
      </c>
      <c r="F460" s="202" t="str">
        <f t="shared" si="252"/>
        <v>#REF!</v>
      </c>
      <c r="G460" s="4" t="str">
        <f t="shared" si="252"/>
        <v>#REF!</v>
      </c>
      <c r="H460" s="202" t="str">
        <f t="shared" si="252"/>
        <v>#REF!</v>
      </c>
      <c r="I460" s="202" t="str">
        <f t="shared" si="252"/>
        <v>#REF!</v>
      </c>
    </row>
    <row r="461" ht="14.25" customHeight="1">
      <c r="A461" s="204" t="str">
        <f t="shared" ref="A461:I461" si="253">'2.18.'!A69</f>
        <v>#REF!</v>
      </c>
      <c r="B461" s="92" t="str">
        <f t="shared" si="253"/>
        <v>#REF!</v>
      </c>
      <c r="C461" s="92" t="str">
        <f t="shared" si="253"/>
        <v>#REF!</v>
      </c>
      <c r="D461" s="204" t="str">
        <f t="shared" si="253"/>
        <v>#REF!</v>
      </c>
      <c r="E461" s="204" t="str">
        <f t="shared" si="253"/>
        <v>#REF!</v>
      </c>
      <c r="F461" s="206" t="str">
        <f t="shared" si="253"/>
        <v>#REF!</v>
      </c>
      <c r="G461" s="221" t="str">
        <f t="shared" si="253"/>
        <v>#REF!</v>
      </c>
      <c r="H461" s="143" t="str">
        <f t="shared" si="253"/>
        <v>#REF!</v>
      </c>
      <c r="I461" s="143" t="str">
        <f t="shared" si="253"/>
        <v>#REF!</v>
      </c>
    </row>
    <row r="462" ht="14.25" customHeight="1">
      <c r="A462" s="204" t="str">
        <f t="shared" ref="A462:I462" si="254">'2.18.'!A70</f>
        <v>#REF!</v>
      </c>
      <c r="B462" s="92" t="str">
        <f t="shared" si="254"/>
        <v>#REF!</v>
      </c>
      <c r="C462" s="92" t="str">
        <f t="shared" si="254"/>
        <v>#REF!</v>
      </c>
      <c r="D462" s="204" t="str">
        <f t="shared" si="254"/>
        <v>#REF!</v>
      </c>
      <c r="E462" s="204" t="str">
        <f t="shared" si="254"/>
        <v>#REF!</v>
      </c>
      <c r="F462" s="206" t="str">
        <f t="shared" si="254"/>
        <v>#REF!</v>
      </c>
      <c r="G462" s="221" t="str">
        <f t="shared" si="254"/>
        <v>#REF!</v>
      </c>
      <c r="H462" s="143" t="str">
        <f t="shared" si="254"/>
        <v>#REF!</v>
      </c>
      <c r="I462" s="143" t="str">
        <f t="shared" si="254"/>
        <v>#REF!</v>
      </c>
    </row>
    <row r="463" ht="14.25" customHeight="1">
      <c r="A463" s="204" t="str">
        <f t="shared" ref="A463:I463" si="255">'2.18.'!A71</f>
        <v>#REF!</v>
      </c>
      <c r="B463" s="92" t="str">
        <f t="shared" si="255"/>
        <v>#REF!</v>
      </c>
      <c r="C463" s="92" t="str">
        <f t="shared" si="255"/>
        <v>#REF!</v>
      </c>
      <c r="D463" s="204" t="str">
        <f t="shared" si="255"/>
        <v>#REF!</v>
      </c>
      <c r="E463" s="204" t="str">
        <f t="shared" si="255"/>
        <v>#REF!</v>
      </c>
      <c r="F463" s="206" t="str">
        <f t="shared" si="255"/>
        <v>#REF!</v>
      </c>
      <c r="G463" s="221" t="str">
        <f t="shared" si="255"/>
        <v>#REF!</v>
      </c>
      <c r="H463" s="143" t="str">
        <f t="shared" si="255"/>
        <v>#REF!</v>
      </c>
      <c r="I463" s="143" t="str">
        <f t="shared" si="255"/>
        <v>#REF!</v>
      </c>
    </row>
    <row r="464" ht="14.25" customHeight="1">
      <c r="A464" s="204" t="str">
        <f t="shared" ref="A464:I464" si="256">'2.18.'!A72</f>
        <v>#REF!</v>
      </c>
      <c r="B464" s="92" t="str">
        <f t="shared" si="256"/>
        <v>#REF!</v>
      </c>
      <c r="C464" s="92" t="str">
        <f t="shared" si="256"/>
        <v>#REF!</v>
      </c>
      <c r="D464" s="204" t="str">
        <f t="shared" si="256"/>
        <v>#REF!</v>
      </c>
      <c r="E464" s="204" t="str">
        <f t="shared" si="256"/>
        <v>#REF!</v>
      </c>
      <c r="F464" s="206" t="str">
        <f t="shared" si="256"/>
        <v>#REF!</v>
      </c>
      <c r="G464" s="221" t="str">
        <f t="shared" si="256"/>
        <v>#REF!</v>
      </c>
      <c r="H464" s="143" t="str">
        <f t="shared" si="256"/>
        <v>#REF!</v>
      </c>
      <c r="I464" s="143" t="str">
        <f t="shared" si="256"/>
        <v>#REF!</v>
      </c>
    </row>
    <row r="465" ht="14.25" customHeight="1">
      <c r="A465" s="204" t="str">
        <f t="shared" ref="A465:I465" si="257">'2.18.'!A73</f>
        <v>#REF!</v>
      </c>
      <c r="B465" s="92" t="str">
        <f t="shared" si="257"/>
        <v>#REF!</v>
      </c>
      <c r="C465" s="92" t="str">
        <f t="shared" si="257"/>
        <v>#REF!</v>
      </c>
      <c r="D465" s="204" t="str">
        <f t="shared" si="257"/>
        <v>#REF!</v>
      </c>
      <c r="E465" s="204" t="str">
        <f t="shared" si="257"/>
        <v>#REF!</v>
      </c>
      <c r="F465" s="206" t="str">
        <f t="shared" si="257"/>
        <v>#REF!</v>
      </c>
      <c r="G465" s="221" t="str">
        <f t="shared" si="257"/>
        <v>#REF!</v>
      </c>
      <c r="H465" s="143" t="str">
        <f t="shared" si="257"/>
        <v>#REF!</v>
      </c>
      <c r="I465" s="143" t="str">
        <f t="shared" si="257"/>
        <v>#REF!</v>
      </c>
    </row>
    <row r="466" ht="14.25" customHeight="1">
      <c r="A466" s="204" t="str">
        <f t="shared" ref="A466:I466" si="258">'2.18.'!A74</f>
        <v>#REF!</v>
      </c>
      <c r="B466" s="92" t="str">
        <f t="shared" si="258"/>
        <v>#REF!</v>
      </c>
      <c r="C466" s="92" t="str">
        <f t="shared" si="258"/>
        <v>#REF!</v>
      </c>
      <c r="D466" s="204" t="str">
        <f t="shared" si="258"/>
        <v>#REF!</v>
      </c>
      <c r="E466" s="204" t="str">
        <f t="shared" si="258"/>
        <v>#REF!</v>
      </c>
      <c r="F466" s="206" t="str">
        <f t="shared" si="258"/>
        <v>#REF!</v>
      </c>
      <c r="G466" s="221" t="str">
        <f t="shared" si="258"/>
        <v>#REF!</v>
      </c>
      <c r="H466" s="143" t="str">
        <f t="shared" si="258"/>
        <v>#REF!</v>
      </c>
      <c r="I466" s="143" t="str">
        <f t="shared" si="258"/>
        <v>#REF!</v>
      </c>
    </row>
    <row r="467" ht="14.25" customHeight="1">
      <c r="A467" s="216" t="str">
        <f t="shared" ref="A467:I467" si="259">'2.18.'!A75</f>
        <v>#REF!</v>
      </c>
      <c r="B467" s="216" t="str">
        <f t="shared" si="259"/>
        <v>#REF!</v>
      </c>
      <c r="C467" s="216" t="str">
        <f t="shared" si="259"/>
        <v>#REF!</v>
      </c>
      <c r="D467" s="216" t="str">
        <f t="shared" si="259"/>
        <v>#REF!</v>
      </c>
      <c r="E467" s="216" t="str">
        <f t="shared" si="259"/>
        <v>#REF!</v>
      </c>
      <c r="F467" s="208" t="str">
        <f t="shared" si="259"/>
        <v>#REF!</v>
      </c>
      <c r="G467" s="3" t="str">
        <f t="shared" si="259"/>
        <v>#REF!</v>
      </c>
      <c r="H467" s="143" t="str">
        <f t="shared" si="259"/>
        <v>#REF!</v>
      </c>
      <c r="I467" s="143" t="str">
        <f t="shared" si="259"/>
        <v>#REF!</v>
      </c>
    </row>
    <row r="468" ht="14.25" customHeight="1">
      <c r="A468" s="222" t="str">
        <f t="shared" ref="A468:I468" si="260">'2.18.'!A76</f>
        <v>#REF!</v>
      </c>
      <c r="B468" s="223" t="str">
        <f t="shared" si="260"/>
        <v>#REF!</v>
      </c>
      <c r="C468" s="223" t="str">
        <f t="shared" si="260"/>
        <v>#REF!</v>
      </c>
      <c r="D468" s="223" t="str">
        <f t="shared" si="260"/>
        <v>#REF!</v>
      </c>
      <c r="E468" s="223" t="str">
        <f t="shared" si="260"/>
        <v>#REF!</v>
      </c>
      <c r="F468" s="223" t="str">
        <f t="shared" si="260"/>
        <v>#REF!</v>
      </c>
      <c r="G468" s="211" t="str">
        <f t="shared" si="260"/>
        <v>#REF!</v>
      </c>
      <c r="H468" s="223" t="str">
        <f t="shared" si="260"/>
        <v>#REF!</v>
      </c>
      <c r="I468" s="224" t="str">
        <f t="shared" si="260"/>
        <v>#REF!</v>
      </c>
    </row>
    <row r="469" ht="15.75" customHeight="1">
      <c r="G469" s="3"/>
    </row>
    <row r="470" ht="15.75" customHeight="1">
      <c r="G470" s="3"/>
    </row>
    <row r="471" ht="23.25" customHeight="1">
      <c r="A471" s="195" t="str">
        <f>'2.19.'!A3</f>
        <v>#REF!</v>
      </c>
      <c r="B471" s="196" t="str">
        <f>'2.1.'!B471</f>
        <v/>
      </c>
      <c r="C471" s="197"/>
      <c r="D471" s="197"/>
      <c r="E471" s="197"/>
      <c r="F471" s="197"/>
      <c r="G471" s="198" t="str">
        <f>'2.1.'!G471</f>
        <v/>
      </c>
      <c r="H471" s="199" t="str">
        <f>'2.1.'!H471</f>
        <v/>
      </c>
      <c r="I471" s="200" t="str">
        <f>'2.1.'!I471</f>
        <v/>
      </c>
    </row>
    <row r="472" ht="14.25" customHeight="1">
      <c r="G472" s="3"/>
    </row>
    <row r="473" ht="14.25" customHeight="1">
      <c r="A473" s="201" t="str">
        <f t="shared" ref="A473:I473" si="261">'2.19.'!A39</f>
        <v>#REF!</v>
      </c>
      <c r="B473" s="94" t="str">
        <f t="shared" si="261"/>
        <v>#REF!</v>
      </c>
      <c r="C473" s="94" t="str">
        <f t="shared" si="261"/>
        <v>#REF!</v>
      </c>
      <c r="D473" s="94" t="str">
        <f t="shared" si="261"/>
        <v>#REF!</v>
      </c>
      <c r="E473" s="94" t="str">
        <f t="shared" si="261"/>
        <v>#REF!</v>
      </c>
      <c r="F473" s="94" t="str">
        <f t="shared" si="261"/>
        <v>#REF!</v>
      </c>
      <c r="G473" s="2" t="str">
        <f t="shared" si="261"/>
        <v>#REF!</v>
      </c>
      <c r="H473" s="94" t="str">
        <f t="shared" si="261"/>
        <v>#REF!</v>
      </c>
      <c r="I473" s="94" t="str">
        <f t="shared" si="261"/>
        <v>#REF!</v>
      </c>
    </row>
    <row r="474" ht="14.25" customHeight="1">
      <c r="A474" s="202" t="str">
        <f t="shared" ref="A474:I474" si="262">'2.19.'!A40</f>
        <v>#REF!</v>
      </c>
      <c r="B474" s="202" t="str">
        <f t="shared" si="262"/>
        <v>#REF!</v>
      </c>
      <c r="C474" s="202" t="str">
        <f t="shared" si="262"/>
        <v>#REF!</v>
      </c>
      <c r="D474" s="202" t="str">
        <f t="shared" si="262"/>
        <v>#REF!</v>
      </c>
      <c r="E474" s="202" t="str">
        <f t="shared" si="262"/>
        <v>#REF!</v>
      </c>
      <c r="F474" s="202" t="str">
        <f t="shared" si="262"/>
        <v>#REF!</v>
      </c>
      <c r="G474" s="4" t="str">
        <f t="shared" si="262"/>
        <v>#REF!</v>
      </c>
      <c r="H474" s="202" t="str">
        <f t="shared" si="262"/>
        <v>#REF!</v>
      </c>
      <c r="I474" s="202" t="str">
        <f t="shared" si="262"/>
        <v>#REF!</v>
      </c>
    </row>
    <row r="475" ht="14.25" customHeight="1">
      <c r="A475" s="204" t="str">
        <f t="shared" ref="A475:I475" si="263">'2.19.'!A41</f>
        <v>#REF!</v>
      </c>
      <c r="B475" s="92" t="str">
        <f t="shared" si="263"/>
        <v>#REF!</v>
      </c>
      <c r="C475" s="92" t="str">
        <f t="shared" si="263"/>
        <v>#REF!</v>
      </c>
      <c r="D475" s="204" t="str">
        <f t="shared" si="263"/>
        <v>#REF!</v>
      </c>
      <c r="E475" s="204" t="str">
        <f t="shared" si="263"/>
        <v>#REF!</v>
      </c>
      <c r="F475" s="206" t="str">
        <f t="shared" si="263"/>
        <v>#REF!</v>
      </c>
      <c r="G475" s="217" t="str">
        <f t="shared" si="263"/>
        <v>#REF!</v>
      </c>
      <c r="H475" s="143" t="str">
        <f t="shared" si="263"/>
        <v>#REF!</v>
      </c>
      <c r="I475" s="143" t="str">
        <f t="shared" si="263"/>
        <v>#REF!</v>
      </c>
    </row>
    <row r="476" ht="14.25" customHeight="1">
      <c r="A476" s="204" t="str">
        <f t="shared" ref="A476:I476" si="264">'2.19.'!A42</f>
        <v>#REF!</v>
      </c>
      <c r="B476" s="92" t="str">
        <f t="shared" si="264"/>
        <v>#REF!</v>
      </c>
      <c r="C476" s="92" t="str">
        <f t="shared" si="264"/>
        <v>#REF!</v>
      </c>
      <c r="D476" s="204" t="str">
        <f t="shared" si="264"/>
        <v>#REF!</v>
      </c>
      <c r="E476" s="204" t="str">
        <f t="shared" si="264"/>
        <v>#REF!</v>
      </c>
      <c r="F476" s="206" t="str">
        <f t="shared" si="264"/>
        <v>#REF!</v>
      </c>
      <c r="G476" s="217" t="str">
        <f t="shared" si="264"/>
        <v>#REF!</v>
      </c>
      <c r="H476" s="143" t="str">
        <f t="shared" si="264"/>
        <v>#REF!</v>
      </c>
      <c r="I476" s="143" t="str">
        <f t="shared" si="264"/>
        <v>#REF!</v>
      </c>
    </row>
    <row r="477" ht="14.25" customHeight="1">
      <c r="A477" s="204" t="str">
        <f t="shared" ref="A477:I477" si="265">'2.19.'!A43</f>
        <v>#REF!</v>
      </c>
      <c r="B477" s="92" t="str">
        <f t="shared" si="265"/>
        <v>#REF!</v>
      </c>
      <c r="C477" s="92" t="str">
        <f t="shared" si="265"/>
        <v>#REF!</v>
      </c>
      <c r="D477" s="204" t="str">
        <f t="shared" si="265"/>
        <v>#REF!</v>
      </c>
      <c r="E477" s="204" t="str">
        <f t="shared" si="265"/>
        <v>#REF!</v>
      </c>
      <c r="F477" s="206" t="str">
        <f t="shared" si="265"/>
        <v>#REF!</v>
      </c>
      <c r="G477" s="217" t="str">
        <f t="shared" si="265"/>
        <v>#REF!</v>
      </c>
      <c r="H477" s="143" t="str">
        <f t="shared" si="265"/>
        <v>#REF!</v>
      </c>
      <c r="I477" s="143" t="str">
        <f t="shared" si="265"/>
        <v>#REF!</v>
      </c>
    </row>
    <row r="478" ht="14.25" customHeight="1">
      <c r="A478" s="204" t="str">
        <f t="shared" ref="A478:I478" si="266">'2.19.'!A44</f>
        <v>#REF!</v>
      </c>
      <c r="B478" s="92" t="str">
        <f t="shared" si="266"/>
        <v>#REF!</v>
      </c>
      <c r="C478" s="92" t="str">
        <f t="shared" si="266"/>
        <v>#REF!</v>
      </c>
      <c r="D478" s="204" t="str">
        <f t="shared" si="266"/>
        <v>#REF!</v>
      </c>
      <c r="E478" s="204" t="str">
        <f t="shared" si="266"/>
        <v>#REF!</v>
      </c>
      <c r="F478" s="206" t="str">
        <f t="shared" si="266"/>
        <v>#REF!</v>
      </c>
      <c r="G478" s="217" t="str">
        <f t="shared" si="266"/>
        <v>#REF!</v>
      </c>
      <c r="H478" s="143" t="str">
        <f t="shared" si="266"/>
        <v>#REF!</v>
      </c>
      <c r="I478" s="143" t="str">
        <f t="shared" si="266"/>
        <v>#REF!</v>
      </c>
    </row>
    <row r="479" ht="14.25" customHeight="1">
      <c r="A479" s="204" t="str">
        <f t="shared" ref="A479:I479" si="267">'2.19.'!A45</f>
        <v>#REF!</v>
      </c>
      <c r="B479" s="92" t="str">
        <f t="shared" si="267"/>
        <v>#REF!</v>
      </c>
      <c r="C479" s="92" t="str">
        <f t="shared" si="267"/>
        <v>#REF!</v>
      </c>
      <c r="D479" s="204" t="str">
        <f t="shared" si="267"/>
        <v>#REF!</v>
      </c>
      <c r="E479" s="204" t="str">
        <f t="shared" si="267"/>
        <v>#REF!</v>
      </c>
      <c r="F479" s="206" t="str">
        <f t="shared" si="267"/>
        <v>#REF!</v>
      </c>
      <c r="G479" s="217" t="str">
        <f t="shared" si="267"/>
        <v>#REF!</v>
      </c>
      <c r="H479" s="143" t="str">
        <f t="shared" si="267"/>
        <v>#REF!</v>
      </c>
      <c r="I479" s="143" t="str">
        <f t="shared" si="267"/>
        <v>#REF!</v>
      </c>
    </row>
    <row r="480" ht="14.25" customHeight="1">
      <c r="A480" s="204" t="str">
        <f t="shared" ref="A480:I480" si="268">'2.19.'!A46</f>
        <v>#REF!</v>
      </c>
      <c r="B480" s="92" t="str">
        <f t="shared" si="268"/>
        <v>#REF!</v>
      </c>
      <c r="C480" s="92" t="str">
        <f t="shared" si="268"/>
        <v>#REF!</v>
      </c>
      <c r="D480" s="204" t="str">
        <f t="shared" si="268"/>
        <v>#REF!</v>
      </c>
      <c r="E480" s="204" t="str">
        <f t="shared" si="268"/>
        <v>#REF!</v>
      </c>
      <c r="F480" s="206" t="str">
        <f t="shared" si="268"/>
        <v>#REF!</v>
      </c>
      <c r="G480" s="217" t="str">
        <f t="shared" si="268"/>
        <v>#REF!</v>
      </c>
      <c r="H480" s="143" t="str">
        <f t="shared" si="268"/>
        <v>#REF!</v>
      </c>
      <c r="I480" s="143" t="str">
        <f t="shared" si="268"/>
        <v>#REF!</v>
      </c>
    </row>
    <row r="481" ht="14.25" customHeight="1">
      <c r="A481" s="216" t="str">
        <f t="shared" ref="A481:I481" si="269">'2.19.'!A47</f>
        <v>#REF!</v>
      </c>
      <c r="B481" s="216" t="str">
        <f t="shared" si="269"/>
        <v>#REF!</v>
      </c>
      <c r="C481" s="216" t="str">
        <f t="shared" si="269"/>
        <v>#REF!</v>
      </c>
      <c r="D481" s="216" t="str">
        <f t="shared" si="269"/>
        <v>#REF!</v>
      </c>
      <c r="E481" s="216" t="str">
        <f t="shared" si="269"/>
        <v>#REF!</v>
      </c>
      <c r="F481" s="208" t="str">
        <f t="shared" si="269"/>
        <v>#REF!</v>
      </c>
      <c r="G481" s="3" t="str">
        <f t="shared" si="269"/>
        <v>#REF!</v>
      </c>
      <c r="H481" s="143" t="str">
        <f t="shared" si="269"/>
        <v>#REF!</v>
      </c>
      <c r="I481" s="143" t="str">
        <f t="shared" si="269"/>
        <v>#REF!</v>
      </c>
    </row>
    <row r="482" ht="14.25" customHeight="1">
      <c r="A482" s="222" t="str">
        <f t="shared" ref="A482:I482" si="270">'2.19.'!A48</f>
        <v>#REF!</v>
      </c>
      <c r="B482" s="223" t="str">
        <f t="shared" si="270"/>
        <v>#REF!</v>
      </c>
      <c r="C482" s="223" t="str">
        <f t="shared" si="270"/>
        <v>#REF!</v>
      </c>
      <c r="D482" s="223" t="str">
        <f t="shared" si="270"/>
        <v>#REF!</v>
      </c>
      <c r="E482" s="223" t="str">
        <f t="shared" si="270"/>
        <v>#REF!</v>
      </c>
      <c r="F482" s="223" t="str">
        <f t="shared" si="270"/>
        <v>#REF!</v>
      </c>
      <c r="G482" s="211" t="str">
        <f t="shared" si="270"/>
        <v>#REF!</v>
      </c>
      <c r="H482" s="223" t="str">
        <f t="shared" si="270"/>
        <v>#REF!</v>
      </c>
      <c r="I482" s="224" t="str">
        <f t="shared" si="270"/>
        <v>#REF!</v>
      </c>
    </row>
    <row r="483" ht="14.25" customHeight="1">
      <c r="G483" s="3"/>
    </row>
    <row r="484" ht="14.25" customHeight="1">
      <c r="G484" s="3"/>
    </row>
    <row r="485" ht="14.25" customHeight="1">
      <c r="A485" s="201" t="str">
        <f t="shared" ref="A485:I485" si="271">'2.19.'!A67</f>
        <v>#REF!</v>
      </c>
      <c r="B485" s="94" t="str">
        <f t="shared" si="271"/>
        <v>#REF!</v>
      </c>
      <c r="C485" s="94" t="str">
        <f t="shared" si="271"/>
        <v>#REF!</v>
      </c>
      <c r="D485" s="94" t="str">
        <f t="shared" si="271"/>
        <v>#REF!</v>
      </c>
      <c r="E485" s="94" t="str">
        <f t="shared" si="271"/>
        <v>#REF!</v>
      </c>
      <c r="F485" s="94" t="str">
        <f t="shared" si="271"/>
        <v>#REF!</v>
      </c>
      <c r="G485" s="2" t="str">
        <f t="shared" si="271"/>
        <v>#REF!</v>
      </c>
      <c r="H485" s="94" t="str">
        <f t="shared" si="271"/>
        <v>#REF!</v>
      </c>
      <c r="I485" s="94" t="str">
        <f t="shared" si="271"/>
        <v>#REF!</v>
      </c>
    </row>
    <row r="486" ht="14.25" customHeight="1">
      <c r="A486" s="202" t="str">
        <f t="shared" ref="A486:I486" si="272">'2.19.'!A68</f>
        <v>#REF!</v>
      </c>
      <c r="B486" s="202" t="str">
        <f t="shared" si="272"/>
        <v>#REF!</v>
      </c>
      <c r="C486" s="202" t="str">
        <f t="shared" si="272"/>
        <v>#REF!</v>
      </c>
      <c r="D486" s="202" t="str">
        <f t="shared" si="272"/>
        <v>#REF!</v>
      </c>
      <c r="E486" s="202" t="str">
        <f t="shared" si="272"/>
        <v>#REF!</v>
      </c>
      <c r="F486" s="202" t="str">
        <f t="shared" si="272"/>
        <v>#REF!</v>
      </c>
      <c r="G486" s="4" t="str">
        <f t="shared" si="272"/>
        <v>#REF!</v>
      </c>
      <c r="H486" s="202" t="str">
        <f t="shared" si="272"/>
        <v>#REF!</v>
      </c>
      <c r="I486" s="202" t="str">
        <f t="shared" si="272"/>
        <v>#REF!</v>
      </c>
    </row>
    <row r="487" ht="14.25" customHeight="1">
      <c r="A487" s="204" t="str">
        <f t="shared" ref="A487:I487" si="273">'2.19.'!A69</f>
        <v>#REF!</v>
      </c>
      <c r="B487" s="92" t="str">
        <f t="shared" si="273"/>
        <v>#REF!</v>
      </c>
      <c r="C487" s="92" t="str">
        <f t="shared" si="273"/>
        <v>#REF!</v>
      </c>
      <c r="D487" s="204" t="str">
        <f t="shared" si="273"/>
        <v>#REF!</v>
      </c>
      <c r="E487" s="204" t="str">
        <f t="shared" si="273"/>
        <v>#REF!</v>
      </c>
      <c r="F487" s="206" t="str">
        <f t="shared" si="273"/>
        <v>#REF!</v>
      </c>
      <c r="G487" s="221" t="str">
        <f t="shared" si="273"/>
        <v>#REF!</v>
      </c>
      <c r="H487" s="143" t="str">
        <f t="shared" si="273"/>
        <v>#REF!</v>
      </c>
      <c r="I487" s="143" t="str">
        <f t="shared" si="273"/>
        <v>#REF!</v>
      </c>
    </row>
    <row r="488" ht="14.25" customHeight="1">
      <c r="A488" s="204" t="str">
        <f t="shared" ref="A488:I488" si="274">'2.19.'!A70</f>
        <v>#REF!</v>
      </c>
      <c r="B488" s="92" t="str">
        <f t="shared" si="274"/>
        <v>#REF!</v>
      </c>
      <c r="C488" s="92" t="str">
        <f t="shared" si="274"/>
        <v>#REF!</v>
      </c>
      <c r="D488" s="204" t="str">
        <f t="shared" si="274"/>
        <v>#REF!</v>
      </c>
      <c r="E488" s="204" t="str">
        <f t="shared" si="274"/>
        <v>#REF!</v>
      </c>
      <c r="F488" s="206" t="str">
        <f t="shared" si="274"/>
        <v>#REF!</v>
      </c>
      <c r="G488" s="221" t="str">
        <f t="shared" si="274"/>
        <v>#REF!</v>
      </c>
      <c r="H488" s="143" t="str">
        <f t="shared" si="274"/>
        <v>#REF!</v>
      </c>
      <c r="I488" s="143" t="str">
        <f t="shared" si="274"/>
        <v>#REF!</v>
      </c>
    </row>
    <row r="489" ht="14.25" customHeight="1">
      <c r="A489" s="204" t="str">
        <f t="shared" ref="A489:I489" si="275">'2.19.'!A71</f>
        <v>#REF!</v>
      </c>
      <c r="B489" s="92" t="str">
        <f t="shared" si="275"/>
        <v>#REF!</v>
      </c>
      <c r="C489" s="92" t="str">
        <f t="shared" si="275"/>
        <v>#REF!</v>
      </c>
      <c r="D489" s="204" t="str">
        <f t="shared" si="275"/>
        <v>#REF!</v>
      </c>
      <c r="E489" s="204" t="str">
        <f t="shared" si="275"/>
        <v>#REF!</v>
      </c>
      <c r="F489" s="206" t="str">
        <f t="shared" si="275"/>
        <v>#REF!</v>
      </c>
      <c r="G489" s="221" t="str">
        <f t="shared" si="275"/>
        <v>#REF!</v>
      </c>
      <c r="H489" s="143" t="str">
        <f t="shared" si="275"/>
        <v>#REF!</v>
      </c>
      <c r="I489" s="143" t="str">
        <f t="shared" si="275"/>
        <v>#REF!</v>
      </c>
    </row>
    <row r="490" ht="14.25" customHeight="1">
      <c r="A490" s="204" t="str">
        <f t="shared" ref="A490:I490" si="276">'2.19.'!A72</f>
        <v>#REF!</v>
      </c>
      <c r="B490" s="92" t="str">
        <f t="shared" si="276"/>
        <v>#REF!</v>
      </c>
      <c r="C490" s="92" t="str">
        <f t="shared" si="276"/>
        <v>#REF!</v>
      </c>
      <c r="D490" s="204" t="str">
        <f t="shared" si="276"/>
        <v>#REF!</v>
      </c>
      <c r="E490" s="204" t="str">
        <f t="shared" si="276"/>
        <v>#REF!</v>
      </c>
      <c r="F490" s="206" t="str">
        <f t="shared" si="276"/>
        <v>#REF!</v>
      </c>
      <c r="G490" s="221" t="str">
        <f t="shared" si="276"/>
        <v>#REF!</v>
      </c>
      <c r="H490" s="143" t="str">
        <f t="shared" si="276"/>
        <v>#REF!</v>
      </c>
      <c r="I490" s="143" t="str">
        <f t="shared" si="276"/>
        <v>#REF!</v>
      </c>
    </row>
    <row r="491" ht="14.25" customHeight="1">
      <c r="A491" s="204" t="str">
        <f t="shared" ref="A491:I491" si="277">'2.19.'!A73</f>
        <v>#REF!</v>
      </c>
      <c r="B491" s="92" t="str">
        <f t="shared" si="277"/>
        <v>#REF!</v>
      </c>
      <c r="C491" s="92" t="str">
        <f t="shared" si="277"/>
        <v>#REF!</v>
      </c>
      <c r="D491" s="204" t="str">
        <f t="shared" si="277"/>
        <v>#REF!</v>
      </c>
      <c r="E491" s="204" t="str">
        <f t="shared" si="277"/>
        <v>#REF!</v>
      </c>
      <c r="F491" s="206" t="str">
        <f t="shared" si="277"/>
        <v>#REF!</v>
      </c>
      <c r="G491" s="221" t="str">
        <f t="shared" si="277"/>
        <v>#REF!</v>
      </c>
      <c r="H491" s="143" t="str">
        <f t="shared" si="277"/>
        <v>#REF!</v>
      </c>
      <c r="I491" s="143" t="str">
        <f t="shared" si="277"/>
        <v>#REF!</v>
      </c>
    </row>
    <row r="492" ht="14.25" customHeight="1">
      <c r="A492" s="204" t="str">
        <f t="shared" ref="A492:I492" si="278">'2.19.'!A74</f>
        <v>#REF!</v>
      </c>
      <c r="B492" s="92" t="str">
        <f t="shared" si="278"/>
        <v>#REF!</v>
      </c>
      <c r="C492" s="92" t="str">
        <f t="shared" si="278"/>
        <v>#REF!</v>
      </c>
      <c r="D492" s="204" t="str">
        <f t="shared" si="278"/>
        <v>#REF!</v>
      </c>
      <c r="E492" s="204" t="str">
        <f t="shared" si="278"/>
        <v>#REF!</v>
      </c>
      <c r="F492" s="206" t="str">
        <f t="shared" si="278"/>
        <v>#REF!</v>
      </c>
      <c r="G492" s="221" t="str">
        <f t="shared" si="278"/>
        <v>#REF!</v>
      </c>
      <c r="H492" s="143" t="str">
        <f t="shared" si="278"/>
        <v>#REF!</v>
      </c>
      <c r="I492" s="143" t="str">
        <f t="shared" si="278"/>
        <v>#REF!</v>
      </c>
    </row>
    <row r="493" ht="14.25" customHeight="1">
      <c r="A493" s="216" t="str">
        <f t="shared" ref="A493:I493" si="279">'2.19.'!A75</f>
        <v>#REF!</v>
      </c>
      <c r="B493" s="216" t="str">
        <f t="shared" si="279"/>
        <v>#REF!</v>
      </c>
      <c r="C493" s="216" t="str">
        <f t="shared" si="279"/>
        <v>#REF!</v>
      </c>
      <c r="D493" s="216" t="str">
        <f t="shared" si="279"/>
        <v>#REF!</v>
      </c>
      <c r="E493" s="216" t="str">
        <f t="shared" si="279"/>
        <v>#REF!</v>
      </c>
      <c r="F493" s="208" t="str">
        <f t="shared" si="279"/>
        <v>#REF!</v>
      </c>
      <c r="G493" s="3" t="str">
        <f t="shared" si="279"/>
        <v>#REF!</v>
      </c>
      <c r="H493" s="143" t="str">
        <f t="shared" si="279"/>
        <v>#REF!</v>
      </c>
      <c r="I493" s="143" t="str">
        <f t="shared" si="279"/>
        <v>#REF!</v>
      </c>
    </row>
    <row r="494" ht="14.25" customHeight="1">
      <c r="A494" s="222" t="str">
        <f t="shared" ref="A494:I494" si="280">'2.19.'!A76</f>
        <v>#REF!</v>
      </c>
      <c r="B494" s="223" t="str">
        <f t="shared" si="280"/>
        <v>#REF!</v>
      </c>
      <c r="C494" s="223" t="str">
        <f t="shared" si="280"/>
        <v>#REF!</v>
      </c>
      <c r="D494" s="223" t="str">
        <f t="shared" si="280"/>
        <v>#REF!</v>
      </c>
      <c r="E494" s="223" t="str">
        <f t="shared" si="280"/>
        <v>#REF!</v>
      </c>
      <c r="F494" s="223" t="str">
        <f t="shared" si="280"/>
        <v>#REF!</v>
      </c>
      <c r="G494" s="211" t="str">
        <f t="shared" si="280"/>
        <v>#REF!</v>
      </c>
      <c r="H494" s="223" t="str">
        <f t="shared" si="280"/>
        <v>#REF!</v>
      </c>
      <c r="I494" s="224" t="str">
        <f t="shared" si="280"/>
        <v>#REF!</v>
      </c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</sheetData>
  <mergeCells count="21">
    <mergeCell ref="B3:F3"/>
    <mergeCell ref="A5:B5"/>
    <mergeCell ref="A17:B17"/>
    <mergeCell ref="B29:F29"/>
    <mergeCell ref="B55:F55"/>
    <mergeCell ref="B81:F81"/>
    <mergeCell ref="B107:F107"/>
    <mergeCell ref="B315:F315"/>
    <mergeCell ref="B341:F341"/>
    <mergeCell ref="B367:F367"/>
    <mergeCell ref="B393:F393"/>
    <mergeCell ref="B419:F419"/>
    <mergeCell ref="B445:F445"/>
    <mergeCell ref="B471:F471"/>
    <mergeCell ref="B133:F133"/>
    <mergeCell ref="B159:F159"/>
    <mergeCell ref="B185:F185"/>
    <mergeCell ref="B211:F211"/>
    <mergeCell ref="B237:F237"/>
    <mergeCell ref="B263:F263"/>
    <mergeCell ref="B289:F289"/>
  </mergeCell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6.86"/>
    <col customWidth="1" min="10" max="10" width="9.57"/>
    <col customWidth="1" min="11" max="11" width="8.71"/>
    <col customWidth="1" min="12" max="12" width="10.14"/>
    <col customWidth="1" min="13" max="13" width="19.29"/>
    <col customWidth="1" min="14" max="14" width="17.14"/>
    <col customWidth="1" min="15" max="15" width="17.29"/>
  </cols>
  <sheetData>
    <row r="1" ht="33.75" customHeight="1">
      <c r="A1" s="91" t="str">
        <f>'01_C&amp;P'!A1</f>
        <v>EDIFICIO LAS HERAS</v>
      </c>
      <c r="B1" s="91"/>
      <c r="C1" s="91"/>
      <c r="G1" s="3"/>
    </row>
    <row r="2" ht="14.25" customHeight="1">
      <c r="G2" s="3"/>
    </row>
    <row r="3" ht="23.25" customHeight="1">
      <c r="A3" s="195" t="str">
        <f>'01_C&amp;P'!A16</f>
        <v>0.8</v>
      </c>
      <c r="B3" s="196" t="str">
        <f>IF($A3=0,"",VLOOKUP($A3,'01_C&amp;P'!$A$9:$D$192,2,FALSE))</f>
        <v>ESTRUCTURA DE ENCOFRADO Y APUNTALAMIENTO PROVISORIO</v>
      </c>
      <c r="C3" s="197"/>
      <c r="D3" s="197"/>
      <c r="E3" s="197"/>
      <c r="F3" s="197"/>
      <c r="G3" s="198"/>
      <c r="H3" s="199">
        <f>IF($A3=0,"",VLOOKUP($A3,'01_C&amp;P'!$A$9:$D$192,4,FALSE))</f>
        <v>1</v>
      </c>
      <c r="I3" s="200" t="str">
        <f>IF($A3=0,"",VLOOKUP($A3,'01_C&amp;P'!$A$9:$D$192,3,FALSE))</f>
        <v>gl</v>
      </c>
      <c r="M3" s="153"/>
    </row>
    <row r="4" ht="14.25" customHeight="1">
      <c r="G4" s="3"/>
      <c r="M4" s="153"/>
    </row>
    <row r="5" ht="14.25" customHeight="1">
      <c r="A5" s="201" t="s">
        <v>0</v>
      </c>
      <c r="B5" s="94"/>
      <c r="C5" s="94"/>
      <c r="D5" s="94"/>
      <c r="E5" s="94"/>
      <c r="F5" s="94"/>
      <c r="G5" s="2"/>
      <c r="H5" s="94"/>
      <c r="I5" s="94"/>
    </row>
    <row r="6" ht="14.25" customHeight="1">
      <c r="A6" s="202" t="s">
        <v>988</v>
      </c>
      <c r="B6" s="202" t="s">
        <v>989</v>
      </c>
      <c r="C6" s="202" t="s">
        <v>990</v>
      </c>
      <c r="D6" s="203" t="s">
        <v>991</v>
      </c>
      <c r="E6" s="197"/>
      <c r="F6" s="202" t="s">
        <v>992</v>
      </c>
      <c r="G6" s="4" t="s">
        <v>993</v>
      </c>
      <c r="H6" s="202" t="s">
        <v>994</v>
      </c>
      <c r="I6" s="202" t="s">
        <v>995</v>
      </c>
    </row>
    <row r="7" ht="14.25" customHeight="1">
      <c r="A7" s="229"/>
      <c r="B7" s="92" t="str">
        <f>IF($A7=0,"",VLOOKUP($A7,'00_Mat'!$A$4:$J$1135,2,FALSE))</f>
        <v/>
      </c>
      <c r="C7" s="92" t="str">
        <f>IF($A7=0,"",VLOOKUP($A7,'00_Mat'!$A$4:$J$1135,3,FALSE))</f>
        <v/>
      </c>
      <c r="D7" s="230">
        <f>H3</f>
        <v>1</v>
      </c>
      <c r="E7" s="204"/>
      <c r="F7" s="206">
        <v>0.1</v>
      </c>
      <c r="G7" s="221">
        <f t="shared" ref="G7:G18" si="1">ROUNDUP((D7+(D7*F7)),0)</f>
        <v>2</v>
      </c>
      <c r="H7" s="143" t="str">
        <f>IF($A7=0,"",VLOOKUP($A7,'00_Mat'!$A$4:$J$1135,5,FALSE))</f>
        <v/>
      </c>
      <c r="I7" s="143">
        <f t="shared" ref="I7:I17" si="2">G7*H7</f>
        <v>0</v>
      </c>
      <c r="J7" s="231"/>
    </row>
    <row r="8" ht="14.25" customHeight="1">
      <c r="A8" s="3"/>
      <c r="B8" s="92" t="str">
        <f>IF($A8=0,"",VLOOKUP($A8,'00_Mat'!$A$4:$J$1135,2,FALSE))</f>
        <v/>
      </c>
      <c r="C8" s="92" t="str">
        <f>IF($A8=0,"",VLOOKUP($A8,'00_Mat'!$A$4:$J$1135,3,FALSE))</f>
        <v/>
      </c>
      <c r="D8" s="230"/>
      <c r="E8" s="204"/>
      <c r="F8" s="206">
        <v>0.1</v>
      </c>
      <c r="G8" s="221">
        <f t="shared" si="1"/>
        <v>0</v>
      </c>
      <c r="H8" s="143" t="str">
        <f>IF($A8=0,"",VLOOKUP($A8,'00_Mat'!$A$4:$J$1135,5,FALSE))</f>
        <v/>
      </c>
      <c r="I8" s="143">
        <f t="shared" si="2"/>
        <v>0</v>
      </c>
    </row>
    <row r="9" ht="14.25" customHeight="1">
      <c r="A9" s="3"/>
      <c r="B9" s="92" t="str">
        <f>IF($A9=0,"",VLOOKUP($A9,'00_Mat'!$A$4:$J$1135,2,FALSE))</f>
        <v/>
      </c>
      <c r="C9" s="92" t="str">
        <f>IF($A9=0,"",VLOOKUP($A9,'00_Mat'!$A$4:$J$1135,3,FALSE))</f>
        <v/>
      </c>
      <c r="D9" s="229"/>
      <c r="E9" s="204"/>
      <c r="F9" s="206">
        <v>0.1</v>
      </c>
      <c r="G9" s="221">
        <f t="shared" si="1"/>
        <v>0</v>
      </c>
      <c r="H9" s="143" t="str">
        <f>IF($A9=0,"",VLOOKUP($A9,'00_Mat'!$A$4:$J$1135,5,FALSE))</f>
        <v/>
      </c>
      <c r="I9" s="143">
        <f t="shared" si="2"/>
        <v>0</v>
      </c>
    </row>
    <row r="10" ht="14.25" customHeight="1">
      <c r="A10" s="3"/>
      <c r="B10" s="92" t="str">
        <f>IF($A10=0,"",VLOOKUP($A10,'00_Mat'!$A$4:$J$1135,2,FALSE))</f>
        <v/>
      </c>
      <c r="C10" s="92" t="str">
        <f>IF($A10=0,"",VLOOKUP($A10,'00_Mat'!$A$4:$J$1135,3,FALSE))</f>
        <v/>
      </c>
      <c r="D10" s="229"/>
      <c r="E10" s="204"/>
      <c r="F10" s="206">
        <v>0.1</v>
      </c>
      <c r="G10" s="221">
        <f t="shared" si="1"/>
        <v>0</v>
      </c>
      <c r="H10" s="143" t="str">
        <f>IF($A10=0,"",VLOOKUP($A10,'00_Mat'!$A$4:$J$1135,5,FALSE))</f>
        <v/>
      </c>
      <c r="I10" s="143">
        <f t="shared" si="2"/>
        <v>0</v>
      </c>
    </row>
    <row r="11" ht="14.25" customHeight="1">
      <c r="A11" s="3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29"/>
      <c r="E11" s="204"/>
      <c r="F11" s="206">
        <v>0.1</v>
      </c>
      <c r="G11" s="221">
        <f t="shared" si="1"/>
        <v>0</v>
      </c>
      <c r="H11" s="143" t="str">
        <f>IF($A11=0,"",VLOOKUP($A11,'00_Mat'!$A$4:$J$1135,5,FALSE))</f>
        <v/>
      </c>
      <c r="I11" s="143">
        <f t="shared" si="2"/>
        <v>0</v>
      </c>
    </row>
    <row r="12" ht="14.25" customHeight="1">
      <c r="A12" s="3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29"/>
      <c r="E12" s="204"/>
      <c r="F12" s="206">
        <v>0.1</v>
      </c>
      <c r="G12" s="221">
        <f t="shared" si="1"/>
        <v>0</v>
      </c>
      <c r="H12" s="143" t="str">
        <f>IF($A12=0,"",VLOOKUP($A12,'00_Mat'!$A$4:$J$1135,5,FALSE))</f>
        <v/>
      </c>
      <c r="I12" s="143">
        <f t="shared" si="2"/>
        <v>0</v>
      </c>
    </row>
    <row r="13" ht="14.25" customHeight="1">
      <c r="A13" s="20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29"/>
      <c r="E13" s="204"/>
      <c r="F13" s="206">
        <v>0.1</v>
      </c>
      <c r="G13" s="221">
        <f t="shared" si="1"/>
        <v>0</v>
      </c>
      <c r="H13" s="143" t="str">
        <f>IF($A13=0,"",VLOOKUP($A13,'00_Mat'!$A$4:$J$1135,5,FALSE))</f>
        <v/>
      </c>
      <c r="I13" s="143">
        <f t="shared" si="2"/>
        <v>0</v>
      </c>
    </row>
    <row r="14" ht="14.25" customHeight="1">
      <c r="A14" s="3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29"/>
      <c r="E14" s="204"/>
      <c r="F14" s="206">
        <v>0.1</v>
      </c>
      <c r="G14" s="221">
        <f t="shared" si="1"/>
        <v>0</v>
      </c>
      <c r="H14" s="143" t="str">
        <f>IF($A14=0,"",VLOOKUP($A14,'00_Mat'!$A$4:$J$1135,5,FALSE))</f>
        <v/>
      </c>
      <c r="I14" s="143">
        <f t="shared" si="2"/>
        <v>0</v>
      </c>
    </row>
    <row r="15" ht="14.25" customHeight="1">
      <c r="A15" s="3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29"/>
      <c r="E15" s="204"/>
      <c r="F15" s="206">
        <v>0.1</v>
      </c>
      <c r="G15" s="221">
        <f t="shared" si="1"/>
        <v>0</v>
      </c>
      <c r="H15" s="143" t="str">
        <f>IF($A15=0,"",VLOOKUP($A15,'00_Mat'!$A$4:$J$1135,5,FALSE))</f>
        <v/>
      </c>
      <c r="I15" s="143">
        <f t="shared" si="2"/>
        <v>0</v>
      </c>
    </row>
    <row r="16" ht="14.25" customHeight="1">
      <c r="A16" s="3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29"/>
      <c r="E16" s="204"/>
      <c r="F16" s="206"/>
      <c r="G16" s="221">
        <f t="shared" si="1"/>
        <v>0</v>
      </c>
      <c r="H16" s="143" t="str">
        <f>IF($A16=0,"",VLOOKUP($A16,'00_Mat'!$A$4:$J$1135,5,FALSE))</f>
        <v/>
      </c>
      <c r="I16" s="143">
        <f t="shared" si="2"/>
        <v>0</v>
      </c>
    </row>
    <row r="17" ht="14.25" customHeight="1">
      <c r="A17" s="3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04"/>
      <c r="E17" s="204"/>
      <c r="F17" s="206"/>
      <c r="G17" s="221">
        <f t="shared" si="1"/>
        <v>0</v>
      </c>
      <c r="H17" s="143" t="str">
        <f>IF($A17=0,"",VLOOKUP($A17,'00_Mat'!$A$4:$J$1135,5,FALSE))</f>
        <v/>
      </c>
      <c r="I17" s="143">
        <f t="shared" si="2"/>
        <v>0</v>
      </c>
    </row>
    <row r="18" ht="14.25" customHeight="1">
      <c r="A18" s="204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04"/>
      <c r="E18" s="204"/>
      <c r="F18" s="206"/>
      <c r="G18" s="221">
        <f t="shared" si="1"/>
        <v>0</v>
      </c>
      <c r="H18" s="143" t="str">
        <f>IF($A18=0,"",VLOOKUP($A18,'00_Mat'!$A$4:$J$1135,5,FALSE))</f>
        <v/>
      </c>
      <c r="I18" s="143"/>
    </row>
    <row r="19" ht="14.25" customHeight="1">
      <c r="F19" s="208"/>
      <c r="G19" s="3"/>
      <c r="H19" s="143"/>
      <c r="I19" s="143"/>
    </row>
    <row r="20" ht="14.25" customHeight="1">
      <c r="A20" s="222" t="s">
        <v>996</v>
      </c>
      <c r="B20" s="223"/>
      <c r="C20" s="223"/>
      <c r="D20" s="223"/>
      <c r="E20" s="223"/>
      <c r="F20" s="223"/>
      <c r="G20" s="211"/>
      <c r="H20" s="223"/>
      <c r="I20" s="224">
        <f>SUM(I7:I18)</f>
        <v>0</v>
      </c>
      <c r="J20" s="92"/>
      <c r="K20" s="92"/>
      <c r="L20" s="92"/>
    </row>
    <row r="21" ht="14.25" customHeight="1">
      <c r="A21" s="232" t="str">
        <f>$I$3</f>
        <v>gl</v>
      </c>
      <c r="B21" s="233"/>
      <c r="C21" s="233"/>
      <c r="D21" s="233"/>
      <c r="E21" s="233"/>
      <c r="F21" s="233"/>
      <c r="G21" s="21"/>
      <c r="H21" s="233"/>
      <c r="I21" s="205">
        <f>$H$3</f>
        <v>1</v>
      </c>
      <c r="J21" s="92"/>
      <c r="K21" s="92"/>
      <c r="L21" s="92"/>
    </row>
    <row r="22" ht="14.25" customHeight="1">
      <c r="A22" s="234" t="s">
        <v>997</v>
      </c>
      <c r="B22" s="232" t="str">
        <f>A21</f>
        <v>gl</v>
      </c>
      <c r="C22" s="233"/>
      <c r="D22" s="233"/>
      <c r="E22" s="233"/>
      <c r="F22" s="233"/>
      <c r="G22" s="21"/>
      <c r="H22" s="233"/>
      <c r="I22" s="235">
        <f>I20/I21</f>
        <v>0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01" t="s">
        <v>998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02" t="s">
        <v>988</v>
      </c>
      <c r="B26" s="202" t="s">
        <v>989</v>
      </c>
      <c r="C26" s="202" t="s">
        <v>990</v>
      </c>
      <c r="D26" s="202" t="s">
        <v>991</v>
      </c>
      <c r="E26" s="202" t="s">
        <v>999</v>
      </c>
      <c r="F26" s="202" t="s">
        <v>992</v>
      </c>
      <c r="G26" s="4" t="s">
        <v>993</v>
      </c>
      <c r="H26" s="202" t="s">
        <v>994</v>
      </c>
      <c r="I26" s="202" t="s">
        <v>995</v>
      </c>
    </row>
    <row r="27" ht="14.25" customHeight="1">
      <c r="A27" s="61"/>
      <c r="B27" s="92" t="str">
        <f>IF($A27=0,"",VLOOKUP($A27,'00_MO'!$A$4:$D$7,2,FALSE))</f>
        <v/>
      </c>
      <c r="C27" s="92" t="str">
        <f>IF($A27=0,"",VLOOKUP($A27,'00_MO'!$A$4:$D$7,3,FALSE))</f>
        <v/>
      </c>
      <c r="D27" s="229"/>
      <c r="E27" s="229"/>
      <c r="F27" s="236"/>
      <c r="G27" s="217">
        <f t="shared" ref="G27:G32" si="3">ROUNDUP(((D27*E27)*(1+F27)),0)</f>
        <v>0</v>
      </c>
      <c r="H27" s="143" t="str">
        <f>IF($A27=0,"",VLOOKUP($A27,'00_MO'!$A$4:$D$7,4,FALSE))</f>
        <v/>
      </c>
      <c r="I27" s="143">
        <f t="shared" ref="I27:I30" si="4">G27*H27</f>
        <v>0</v>
      </c>
    </row>
    <row r="28" ht="14.25" customHeight="1">
      <c r="A28" s="61"/>
      <c r="B28" s="92" t="str">
        <f>IF($A28=0,"",VLOOKUP($A28,'00_MO'!$A$4:$D$7,2,FALSE))</f>
        <v/>
      </c>
      <c r="C28" s="92" t="str">
        <f>IF($A28=0,"",VLOOKUP($A28,'00_MO'!$A$4:$D$7,3,FALSE))</f>
        <v/>
      </c>
      <c r="D28" s="229"/>
      <c r="E28" s="229"/>
      <c r="F28" s="236"/>
      <c r="G28" s="217">
        <f t="shared" si="3"/>
        <v>0</v>
      </c>
      <c r="H28" s="143" t="str">
        <f>IF($A28=0,"",VLOOKUP($A28,'00_MO'!$A$4:$D$7,4,FALSE))</f>
        <v/>
      </c>
      <c r="I28" s="143">
        <f t="shared" si="4"/>
        <v>0</v>
      </c>
    </row>
    <row r="29" ht="14.25" customHeight="1">
      <c r="A29" s="61"/>
      <c r="B29" s="92" t="str">
        <f>IF($A29=0,"",VLOOKUP($A29,'00_MO'!$A$4:$D$7,2,FALSE))</f>
        <v/>
      </c>
      <c r="C29" s="92" t="str">
        <f>IF($A29=0,"",VLOOKUP($A29,'00_MO'!$A$4:$D$7,3,FALSE))</f>
        <v/>
      </c>
      <c r="D29" s="229"/>
      <c r="E29" s="229"/>
      <c r="F29" s="236"/>
      <c r="G29" s="217">
        <f t="shared" si="3"/>
        <v>0</v>
      </c>
      <c r="H29" s="143" t="str">
        <f>IF($A29=0,"",VLOOKUP($A29,'00_MO'!$A$4:$D$7,4,FALSE))</f>
        <v/>
      </c>
      <c r="I29" s="143">
        <f t="shared" si="4"/>
        <v>0</v>
      </c>
    </row>
    <row r="30" ht="14.25" customHeight="1">
      <c r="A30" s="61"/>
      <c r="B30" s="92" t="str">
        <f>IF($A30=0,"",VLOOKUP($A30,'00_MO'!$A$4:$D$7,2,FALSE))</f>
        <v/>
      </c>
      <c r="C30" s="92" t="str">
        <f>IF($A30=0,"",VLOOKUP($A30,'00_MO'!$A$4:$D$7,3,FALSE))</f>
        <v/>
      </c>
      <c r="D30" s="229"/>
      <c r="E30" s="229"/>
      <c r="F30" s="236"/>
      <c r="G30" s="217">
        <f t="shared" si="3"/>
        <v>0</v>
      </c>
      <c r="H30" s="143" t="str">
        <f>IF($A30=0,"",VLOOKUP($A30,'00_MO'!$A$4:$D$7,4,FALSE))</f>
        <v/>
      </c>
      <c r="I30" s="143">
        <f t="shared" si="4"/>
        <v>0</v>
      </c>
    </row>
    <row r="31" ht="14.25" customHeight="1">
      <c r="A31" s="204"/>
      <c r="B31" s="92" t="str">
        <f>IF($A31=0,"",VLOOKUP($A31,'00_MO'!$A$4:$D$7,2,FALSE))</f>
        <v/>
      </c>
      <c r="C31" s="92" t="str">
        <f>IF($A31=0,"",VLOOKUP($A31,'00_MO'!$A$4:$D$7,3,FALSE))</f>
        <v/>
      </c>
      <c r="D31" s="204"/>
      <c r="E31" s="204"/>
      <c r="F31" s="206"/>
      <c r="G31" s="217">
        <f t="shared" si="3"/>
        <v>0</v>
      </c>
      <c r="H31" s="143" t="str">
        <f>IF($A31=0,"",VLOOKUP($A31,'00_MO'!$A$4:$D$7,4,FALSE))</f>
        <v/>
      </c>
      <c r="I31" s="143"/>
    </row>
    <row r="32" ht="14.25" customHeight="1">
      <c r="A32" s="204"/>
      <c r="B32" s="92" t="str">
        <f>IF($A32=0,"",VLOOKUP($A32,'00_MO'!$A$4:$D$7,2,FALSE))</f>
        <v/>
      </c>
      <c r="C32" s="92" t="str">
        <f>IF($A32=0,"",VLOOKUP($A32,'00_MO'!$A$4:$D$7,3,FALSE))</f>
        <v/>
      </c>
      <c r="D32" s="204"/>
      <c r="E32" s="204"/>
      <c r="F32" s="206"/>
      <c r="G32" s="217">
        <f t="shared" si="3"/>
        <v>0</v>
      </c>
      <c r="H32" s="143" t="str">
        <f>IF($A32=0,"",VLOOKUP($A32,'00_MO'!$A$4:$D$7,4,FALSE))</f>
        <v/>
      </c>
      <c r="I32" s="143"/>
    </row>
    <row r="33" ht="14.25" customHeight="1">
      <c r="F33" s="208"/>
      <c r="G33" s="3"/>
      <c r="H33" s="143"/>
      <c r="I33" s="143"/>
    </row>
    <row r="34" ht="14.25" customHeight="1">
      <c r="A34" s="222" t="s">
        <v>987</v>
      </c>
      <c r="B34" s="223"/>
      <c r="C34" s="223"/>
      <c r="D34" s="223"/>
      <c r="E34" s="223"/>
      <c r="F34" s="223"/>
      <c r="G34" s="211"/>
      <c r="H34" s="223"/>
      <c r="I34" s="224">
        <f>SUM(I27:I32)</f>
        <v>0</v>
      </c>
    </row>
    <row r="35" ht="14.25" customHeight="1">
      <c r="A35" s="232" t="str">
        <f>$I$3</f>
        <v>gl</v>
      </c>
      <c r="B35" s="233"/>
      <c r="C35" s="233"/>
      <c r="D35" s="233"/>
      <c r="E35" s="233"/>
      <c r="F35" s="233"/>
      <c r="G35" s="21"/>
      <c r="H35" s="233"/>
      <c r="I35" s="205">
        <f>$H$3</f>
        <v>1</v>
      </c>
      <c r="J35" s="92"/>
      <c r="K35" s="92"/>
      <c r="L35" s="92"/>
    </row>
    <row r="36" ht="14.25" customHeight="1">
      <c r="A36" s="234" t="s">
        <v>997</v>
      </c>
      <c r="B36" s="232" t="str">
        <f>A35</f>
        <v>gl</v>
      </c>
      <c r="C36" s="233"/>
      <c r="D36" s="233"/>
      <c r="E36" s="233"/>
      <c r="F36" s="233"/>
      <c r="G36" s="21"/>
      <c r="H36" s="233"/>
      <c r="I36" s="235">
        <f>I34/I35</f>
        <v>0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01" t="s">
        <v>1000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02" t="s">
        <v>988</v>
      </c>
      <c r="B40" s="202" t="s">
        <v>989</v>
      </c>
      <c r="C40" s="202" t="s">
        <v>990</v>
      </c>
      <c r="D40" s="202" t="s">
        <v>991</v>
      </c>
      <c r="E40" s="202" t="s">
        <v>999</v>
      </c>
      <c r="F40" s="202" t="s">
        <v>992</v>
      </c>
      <c r="G40" s="4" t="s">
        <v>993</v>
      </c>
      <c r="H40" s="202" t="s">
        <v>994</v>
      </c>
      <c r="I40" s="202" t="s">
        <v>995</v>
      </c>
    </row>
    <row r="41" ht="14.25" customHeight="1">
      <c r="A41" s="3" t="s">
        <v>313</v>
      </c>
      <c r="B41" s="92" t="s">
        <v>314</v>
      </c>
      <c r="C41" s="92" t="s">
        <v>21</v>
      </c>
      <c r="D41" s="205">
        <v>319.344262295082</v>
      </c>
      <c r="E41" s="204"/>
      <c r="F41" s="236">
        <v>0.15</v>
      </c>
      <c r="G41" s="221">
        <f t="shared" ref="G41:G45" si="5">ROUNDUP((D41+(D41*F41)),0)</f>
        <v>368</v>
      </c>
      <c r="H41" s="143">
        <v>4731.0</v>
      </c>
      <c r="I41" s="143">
        <f t="shared" ref="I41:I46" si="6">G41*H41</f>
        <v>1741008</v>
      </c>
      <c r="J41" s="237" t="s">
        <v>1001</v>
      </c>
      <c r="M41" s="238" t="s">
        <v>1002</v>
      </c>
    </row>
    <row r="42" ht="14.25" customHeight="1">
      <c r="A42" s="3" t="s">
        <v>317</v>
      </c>
      <c r="B42" s="92" t="s">
        <v>318</v>
      </c>
      <c r="C42" s="92" t="s">
        <v>21</v>
      </c>
      <c r="D42" s="205">
        <v>1560.0</v>
      </c>
      <c r="E42" s="204"/>
      <c r="F42" s="236">
        <v>0.15</v>
      </c>
      <c r="G42" s="221">
        <f t="shared" si="5"/>
        <v>1794</v>
      </c>
      <c r="H42" s="143">
        <v>2900.0</v>
      </c>
      <c r="I42" s="143">
        <f t="shared" si="6"/>
        <v>5202600</v>
      </c>
      <c r="J42" s="237" t="s">
        <v>1003</v>
      </c>
    </row>
    <row r="43" ht="14.25" customHeight="1">
      <c r="A43" s="3"/>
      <c r="B43" s="92" t="s">
        <v>1004</v>
      </c>
      <c r="C43" s="92" t="s">
        <v>1005</v>
      </c>
      <c r="D43" s="230">
        <v>1342.0</v>
      </c>
      <c r="E43" s="204"/>
      <c r="F43" s="236">
        <v>0.2</v>
      </c>
      <c r="G43" s="221">
        <f t="shared" si="5"/>
        <v>1611</v>
      </c>
      <c r="H43" s="143">
        <f>40*1450</f>
        <v>58000</v>
      </c>
      <c r="I43" s="143">
        <f t="shared" si="6"/>
        <v>93438000</v>
      </c>
      <c r="J43" s="194" t="s">
        <v>1006</v>
      </c>
    </row>
    <row r="44" ht="14.25" customHeight="1">
      <c r="A44" s="237"/>
      <c r="B44" s="92" t="s">
        <v>1007</v>
      </c>
      <c r="C44" s="92" t="s">
        <v>1005</v>
      </c>
      <c r="D44" s="205">
        <f>80*2</f>
        <v>160</v>
      </c>
      <c r="E44" s="204"/>
      <c r="F44" s="236">
        <v>0.15</v>
      </c>
      <c r="G44" s="221">
        <f t="shared" si="5"/>
        <v>184</v>
      </c>
      <c r="H44" s="143">
        <f>(22*4.9)*1450</f>
        <v>156310</v>
      </c>
      <c r="I44" s="143">
        <f t="shared" si="6"/>
        <v>28761040</v>
      </c>
      <c r="J44" s="194" t="s">
        <v>1008</v>
      </c>
      <c r="K44" s="153" t="s">
        <v>1009</v>
      </c>
    </row>
    <row r="45" ht="14.25" customHeight="1">
      <c r="B45" s="194" t="str">
        <f>IF($A45=0,"",VLOOKUP($A45,'00_Mat'!$A$4:$J$1135,2,FALSE))</f>
        <v/>
      </c>
      <c r="C45" s="92" t="str">
        <f>IF($A45=0,"",VLOOKUP($A45,'00_Mat'!$A$4:$J$1135,3,FALSE))</f>
        <v/>
      </c>
      <c r="D45" s="230"/>
      <c r="E45" s="204"/>
      <c r="F45" s="236">
        <v>0.1</v>
      </c>
      <c r="G45" s="221">
        <f t="shared" si="5"/>
        <v>0</v>
      </c>
      <c r="H45" s="231"/>
      <c r="I45" s="143">
        <f t="shared" si="6"/>
        <v>0</v>
      </c>
    </row>
    <row r="46" ht="14.25" customHeight="1">
      <c r="A46" s="204"/>
      <c r="B46" s="92" t="str">
        <f>IF($A46=0,"",VLOOKUP($A46,'00_Mat'!$A$4:$J$1135,2,FALSE))</f>
        <v/>
      </c>
      <c r="C46" s="92" t="str">
        <f>IF($A46=0,"",VLOOKUP($A46,'00_Mat'!$A$4:$J$1135,3,FALSE))</f>
        <v/>
      </c>
      <c r="D46" s="229"/>
      <c r="E46" s="204"/>
      <c r="F46" s="236">
        <v>0.1</v>
      </c>
      <c r="G46" s="217">
        <f>ROUNDUP(((D46*E46)*(1+F46)),0)</f>
        <v>0</v>
      </c>
      <c r="H46" s="143" t="str">
        <f>IF($A46=0,"",VLOOKUP($A46,'00_Mat'!$A$4:$J$1135,5,FALSE))</f>
        <v/>
      </c>
      <c r="I46" s="143">
        <f t="shared" si="6"/>
        <v>0</v>
      </c>
      <c r="J46" s="153"/>
    </row>
    <row r="47" ht="14.25" customHeight="1">
      <c r="F47" s="208"/>
      <c r="G47" s="3"/>
      <c r="H47" s="143"/>
      <c r="I47" s="143"/>
    </row>
    <row r="48" ht="14.25" customHeight="1">
      <c r="A48" s="222" t="s">
        <v>987</v>
      </c>
      <c r="B48" s="223"/>
      <c r="C48" s="223"/>
      <c r="D48" s="223"/>
      <c r="E48" s="223"/>
      <c r="F48" s="223"/>
      <c r="G48" s="211"/>
      <c r="H48" s="223"/>
      <c r="I48" s="224">
        <f>SUM(I41:I46)</f>
        <v>129142648</v>
      </c>
    </row>
    <row r="49" ht="14.25" customHeight="1">
      <c r="A49" s="232" t="str">
        <f>$I$3</f>
        <v>gl</v>
      </c>
      <c r="B49" s="233"/>
      <c r="C49" s="233"/>
      <c r="D49" s="233"/>
      <c r="E49" s="233"/>
      <c r="F49" s="233"/>
      <c r="G49" s="21"/>
      <c r="H49" s="233"/>
      <c r="I49" s="205">
        <f>$H$3</f>
        <v>1</v>
      </c>
      <c r="J49" s="92"/>
      <c r="K49" s="92"/>
      <c r="L49" s="92"/>
    </row>
    <row r="50" ht="14.25" customHeight="1">
      <c r="A50" s="234" t="s">
        <v>997</v>
      </c>
      <c r="B50" s="232" t="str">
        <f>A49</f>
        <v>gl</v>
      </c>
      <c r="C50" s="233"/>
      <c r="D50" s="233"/>
      <c r="E50" s="233"/>
      <c r="F50" s="233"/>
      <c r="G50" s="21"/>
      <c r="H50" s="233"/>
      <c r="I50" s="235">
        <f>I48/I49</f>
        <v>129142648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01" t="s">
        <v>1010</v>
      </c>
      <c r="B53" s="94"/>
      <c r="C53" s="94"/>
      <c r="D53" s="94"/>
      <c r="E53" s="94"/>
      <c r="F53" s="94"/>
      <c r="G53" s="2"/>
      <c r="H53" s="94"/>
      <c r="I53" s="94"/>
      <c r="N53" s="153" t="s">
        <v>1011</v>
      </c>
      <c r="O53" s="153" t="s">
        <v>1012</v>
      </c>
      <c r="P53" s="153" t="s">
        <v>1013</v>
      </c>
    </row>
    <row r="54" ht="14.25" customHeight="1">
      <c r="A54" s="202" t="s">
        <v>988</v>
      </c>
      <c r="B54" s="202" t="s">
        <v>989</v>
      </c>
      <c r="C54" s="202" t="s">
        <v>990</v>
      </c>
      <c r="D54" s="203" t="s">
        <v>991</v>
      </c>
      <c r="E54" s="197"/>
      <c r="F54" s="202" t="s">
        <v>992</v>
      </c>
      <c r="G54" s="4" t="s">
        <v>993</v>
      </c>
      <c r="H54" s="202" t="s">
        <v>994</v>
      </c>
      <c r="I54" s="202" t="s">
        <v>995</v>
      </c>
      <c r="M54" s="239" t="s">
        <v>1014</v>
      </c>
    </row>
    <row r="55" ht="14.25" customHeight="1">
      <c r="A55" s="3" t="s">
        <v>313</v>
      </c>
      <c r="B55" s="92" t="str">
        <f>IF($A55=0,"",VLOOKUP($A55,'00_Mat'!$A$4:$J$1135,2,FALSE))</f>
        <v>Puntal 3 x 3 x 3,66 m tirante saligna</v>
      </c>
      <c r="C55" s="92" t="str">
        <f>IF($A55=0,"",VLOOKUP($A55,'00_Mat'!$A$4:$J$1135,3,FALSE))</f>
        <v>u</v>
      </c>
      <c r="D55" s="230">
        <f t="shared" ref="D55:D56" si="7">O70</f>
        <v>319.3442623</v>
      </c>
      <c r="E55" s="204"/>
      <c r="F55" s="236">
        <v>0.1</v>
      </c>
      <c r="G55" s="221">
        <f t="shared" ref="G55:G59" si="8">ROUNDUP((D55+(D55*F55)),0)</f>
        <v>352</v>
      </c>
      <c r="H55" s="143">
        <f>IF($A55=0,"",VLOOKUP($A55,'00_Mat'!$A$4:$J$1135,5,FALSE))</f>
        <v>4731</v>
      </c>
      <c r="I55" s="143">
        <f t="shared" ref="I55:I60" si="9">G55*H55</f>
        <v>1665312</v>
      </c>
      <c r="J55" s="237" t="s">
        <v>1001</v>
      </c>
    </row>
    <row r="56" ht="14.25" customHeight="1">
      <c r="A56" s="3" t="s">
        <v>317</v>
      </c>
      <c r="B56" s="92" t="str">
        <f>IF($A56=0,"",VLOOKUP($A56,'00_Mat'!$A$4:$J$1135,2,FALSE))</f>
        <v>Tabla saligna 1"x5" 3m</v>
      </c>
      <c r="C56" s="92" t="str">
        <f>IF($A56=0,"",VLOOKUP($A56,'00_Mat'!$A$4:$J$1135,3,FALSE))</f>
        <v>u</v>
      </c>
      <c r="D56" s="230">
        <f t="shared" si="7"/>
        <v>1560</v>
      </c>
      <c r="E56" s="204"/>
      <c r="F56" s="236">
        <v>0.1</v>
      </c>
      <c r="G56" s="221">
        <f t="shared" si="8"/>
        <v>1716</v>
      </c>
      <c r="H56" s="143">
        <f>IF($A56=0,"",VLOOKUP($A56,'00_Mat'!$A$4:$J$1135,5,FALSE))</f>
        <v>2900</v>
      </c>
      <c r="I56" s="143">
        <f t="shared" si="9"/>
        <v>4976400</v>
      </c>
      <c r="J56" s="237" t="s">
        <v>1003</v>
      </c>
    </row>
    <row r="57" ht="14.25" customHeight="1">
      <c r="A57" s="3"/>
      <c r="B57" s="175" t="s">
        <v>1004</v>
      </c>
      <c r="C57" s="92" t="str">
        <f>IF($A57=0,"",VLOOKUP($A57,'00_Mat'!$A$4:$J$1135,3,FALSE))</f>
        <v/>
      </c>
      <c r="D57" s="230">
        <v>1340.0</v>
      </c>
      <c r="E57" s="204"/>
      <c r="F57" s="236"/>
      <c r="G57" s="221">
        <f t="shared" si="8"/>
        <v>1340</v>
      </c>
      <c r="H57" s="231">
        <f>10000*9</f>
        <v>90000</v>
      </c>
      <c r="I57" s="143">
        <f t="shared" si="9"/>
        <v>120600000</v>
      </c>
      <c r="J57" s="85" t="s">
        <v>1006</v>
      </c>
      <c r="L57" s="153" t="s">
        <v>1015</v>
      </c>
      <c r="N57" s="153" t="s">
        <v>1016</v>
      </c>
    </row>
    <row r="58" ht="14.25" customHeight="1">
      <c r="A58" s="20"/>
      <c r="B58" s="175" t="s">
        <v>1007</v>
      </c>
      <c r="C58" s="92" t="str">
        <f>IF($A58=0,"",VLOOKUP($A58,'00_Mat'!$A$4:$J$1135,3,FALSE))</f>
        <v/>
      </c>
      <c r="D58" s="230">
        <v>70.0</v>
      </c>
      <c r="E58" s="204"/>
      <c r="F58" s="236">
        <v>0.1</v>
      </c>
      <c r="G58" s="221">
        <f t="shared" si="8"/>
        <v>77</v>
      </c>
      <c r="H58" s="240" t="str">
        <f>IF($A58=0,"",VLOOKUP($A58,'00_Mat'!$A$4:$J$1135,5,FALSE))</f>
        <v/>
      </c>
      <c r="I58" s="143">
        <f t="shared" si="9"/>
        <v>0</v>
      </c>
      <c r="J58" s="85" t="s">
        <v>1008</v>
      </c>
    </row>
    <row r="59" ht="14.25" customHeight="1">
      <c r="B59" s="194" t="str">
        <f>IF($A59=0,"",VLOOKUP($A59,'00_Mat'!$A$4:$J$1135,2,FALSE))</f>
        <v/>
      </c>
      <c r="C59" s="92" t="str">
        <f>IF($A59=0,"",VLOOKUP($A59,'00_Mat'!$A$4:$J$1135,3,FALSE))</f>
        <v/>
      </c>
      <c r="D59" s="230"/>
      <c r="E59" s="204"/>
      <c r="F59" s="236">
        <v>0.1</v>
      </c>
      <c r="G59" s="221">
        <f t="shared" si="8"/>
        <v>0</v>
      </c>
      <c r="H59" s="143" t="str">
        <f>IF($A59=0,"",VLOOKUP($A59,'00_Mat'!$A$4:$J$1135,5,FALSE))</f>
        <v/>
      </c>
      <c r="I59" s="143">
        <f t="shared" si="9"/>
        <v>0</v>
      </c>
      <c r="M59" s="153"/>
    </row>
    <row r="60" ht="14.25" customHeight="1">
      <c r="A60" s="204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29">
        <v>40.0</v>
      </c>
      <c r="E60" s="204"/>
      <c r="F60" s="236">
        <v>0.1</v>
      </c>
      <c r="G60" s="217">
        <f>ROUNDUP(((D60*E60)*(1+F60)),0)</f>
        <v>0</v>
      </c>
      <c r="H60" s="143" t="str">
        <f>IF($A60=0,"",VLOOKUP($A60,'00_Mat'!$A$4:$J$1135,5,FALSE))</f>
        <v/>
      </c>
      <c r="I60" s="143">
        <f t="shared" si="9"/>
        <v>0</v>
      </c>
      <c r="P60" s="241" t="s">
        <v>1017</v>
      </c>
    </row>
    <row r="61" ht="14.25" customHeight="1">
      <c r="F61" s="208"/>
      <c r="G61" s="3"/>
      <c r="H61" s="143"/>
      <c r="I61" s="143"/>
      <c r="M61" s="242" t="s">
        <v>1018</v>
      </c>
      <c r="N61" s="153" t="s">
        <v>1019</v>
      </c>
      <c r="O61" s="153" t="s">
        <v>1020</v>
      </c>
    </row>
    <row r="62" ht="14.25" customHeight="1">
      <c r="A62" s="222" t="s">
        <v>987</v>
      </c>
      <c r="B62" s="223"/>
      <c r="C62" s="223"/>
      <c r="D62" s="223"/>
      <c r="E62" s="223"/>
      <c r="F62" s="223"/>
      <c r="G62" s="211"/>
      <c r="H62" s="223"/>
      <c r="I62" s="224">
        <f>SUM(I55:I60)</f>
        <v>127241712</v>
      </c>
      <c r="M62" s="86" t="s">
        <v>1021</v>
      </c>
      <c r="N62" s="194">
        <f>2*30</f>
        <v>60</v>
      </c>
      <c r="O62" s="242">
        <f t="shared" ref="O62:O63" si="10">N62*3</f>
        <v>180</v>
      </c>
    </row>
    <row r="63" ht="14.25" customHeight="1">
      <c r="A63" s="232" t="str">
        <f>$I$3</f>
        <v>gl</v>
      </c>
      <c r="B63" s="233"/>
      <c r="C63" s="233"/>
      <c r="D63" s="233"/>
      <c r="E63" s="233"/>
      <c r="F63" s="233"/>
      <c r="G63" s="21"/>
      <c r="H63" s="233"/>
      <c r="I63" s="205">
        <f>$H$3</f>
        <v>1</v>
      </c>
      <c r="J63" s="92"/>
      <c r="K63" s="92"/>
      <c r="L63" s="92"/>
      <c r="M63" s="86" t="s">
        <v>1022</v>
      </c>
      <c r="N63" s="194">
        <f>6*30</f>
        <v>180</v>
      </c>
      <c r="O63" s="242">
        <f t="shared" si="10"/>
        <v>540</v>
      </c>
    </row>
    <row r="64" ht="14.25" customHeight="1">
      <c r="A64" s="234" t="s">
        <v>997</v>
      </c>
      <c r="B64" s="232" t="str">
        <f>A63</f>
        <v>gl</v>
      </c>
      <c r="C64" s="233"/>
      <c r="D64" s="233"/>
      <c r="E64" s="233"/>
      <c r="F64" s="233"/>
      <c r="G64" s="21"/>
      <c r="H64" s="233"/>
      <c r="I64" s="235">
        <f>I62/I63</f>
        <v>127241712</v>
      </c>
      <c r="J64" s="92"/>
      <c r="K64" s="92"/>
      <c r="L64" s="92"/>
    </row>
    <row r="65" ht="14.25" customHeight="1">
      <c r="G65" s="3"/>
      <c r="M65" s="242" t="s">
        <v>1023</v>
      </c>
      <c r="N65" s="153" t="s">
        <v>1019</v>
      </c>
      <c r="O65" s="153" t="s">
        <v>1020</v>
      </c>
    </row>
    <row r="66" ht="14.25" customHeight="1">
      <c r="G66" s="3"/>
      <c r="M66" s="86" t="s">
        <v>1024</v>
      </c>
      <c r="N66" s="243">
        <f>170/3.66</f>
        <v>46.44808743</v>
      </c>
      <c r="O66" s="242">
        <f t="shared" ref="O66:O67" si="11">N66*3</f>
        <v>139.3442623</v>
      </c>
    </row>
    <row r="67" ht="14.25" customHeight="1">
      <c r="A67" s="201" t="s">
        <v>1025</v>
      </c>
      <c r="B67" s="94"/>
      <c r="C67" s="94"/>
      <c r="D67" s="94"/>
      <c r="E67" s="94"/>
      <c r="F67" s="94"/>
      <c r="G67" s="2"/>
      <c r="H67" s="94"/>
      <c r="I67" s="94"/>
      <c r="M67" s="86" t="s">
        <v>1026</v>
      </c>
      <c r="N67" s="194">
        <f>(170*6)/3</f>
        <v>340</v>
      </c>
      <c r="O67" s="242">
        <f t="shared" si="11"/>
        <v>1020</v>
      </c>
    </row>
    <row r="68" ht="14.25" customHeight="1">
      <c r="A68" s="202" t="s">
        <v>988</v>
      </c>
      <c r="B68" s="202" t="s">
        <v>989</v>
      </c>
      <c r="C68" s="202" t="s">
        <v>990</v>
      </c>
      <c r="D68" s="202" t="s">
        <v>991</v>
      </c>
      <c r="E68" s="202" t="s">
        <v>999</v>
      </c>
      <c r="F68" s="202" t="s">
        <v>992</v>
      </c>
      <c r="G68" s="4" t="s">
        <v>993</v>
      </c>
      <c r="H68" s="202" t="s">
        <v>994</v>
      </c>
      <c r="I68" s="202" t="s">
        <v>995</v>
      </c>
    </row>
    <row r="69" ht="14.25" customHeight="1">
      <c r="A69" s="204"/>
      <c r="B69" s="92" t="str">
        <f>IF($A69=0,"",VLOOKUP($A69,'00_Sub'!$A$4:$D$1007,2,FALSE))</f>
        <v/>
      </c>
      <c r="C69" s="92" t="str">
        <f>IF($A69=0,"",VLOOKUP($A69,'00_Sub'!$A$4:$D$1007,3,FALSE))</f>
        <v/>
      </c>
      <c r="D69" s="204"/>
      <c r="E69" s="204"/>
      <c r="F69" s="206"/>
      <c r="G69" s="221">
        <f t="shared" ref="G69:G74" si="12">ROUNDUP((D69+(D69*F69)),0)</f>
        <v>0</v>
      </c>
      <c r="H69" s="143" t="str">
        <f>IF($A69=0,"",VLOOKUP($A69,'00_Sub'!$A$4:$D$1007,4,FALSE))</f>
        <v/>
      </c>
      <c r="I69" s="143"/>
      <c r="M69" s="244" t="s">
        <v>987</v>
      </c>
    </row>
    <row r="70" ht="14.25" customHeight="1">
      <c r="A70" s="204"/>
      <c r="B70" s="92" t="str">
        <f>IF($A70=0,"",VLOOKUP($A70,'00_Sub'!$A$4:$D$1007,2,FALSE))</f>
        <v/>
      </c>
      <c r="C70" s="92" t="str">
        <f>IF($A70=0,"",VLOOKUP($A70,'00_Sub'!$A$4:$D$1007,3,FALSE))</f>
        <v/>
      </c>
      <c r="D70" s="204"/>
      <c r="E70" s="204"/>
      <c r="F70" s="206"/>
      <c r="G70" s="221">
        <f t="shared" si="12"/>
        <v>0</v>
      </c>
      <c r="H70" s="143" t="str">
        <f>IF($A70=0,"",VLOOKUP($A70,'00_Sub'!$A$4:$D$1007,4,FALSE))</f>
        <v/>
      </c>
      <c r="I70" s="143"/>
      <c r="M70" s="86" t="s">
        <v>1024</v>
      </c>
      <c r="O70" s="245">
        <f t="shared" ref="O70:O71" si="13">O62+O66</f>
        <v>319.3442623</v>
      </c>
    </row>
    <row r="71" ht="14.25" customHeight="1">
      <c r="A71" s="204"/>
      <c r="B71" s="92" t="str">
        <f>IF($A71=0,"",VLOOKUP($A71,'00_Sub'!$A$4:$D$1007,2,FALSE))</f>
        <v/>
      </c>
      <c r="C71" s="92" t="str">
        <f>IF($A71=0,"",VLOOKUP($A71,'00_Sub'!$A$4:$D$1007,3,FALSE))</f>
        <v/>
      </c>
      <c r="D71" s="204"/>
      <c r="E71" s="204"/>
      <c r="F71" s="206"/>
      <c r="G71" s="221">
        <f t="shared" si="12"/>
        <v>0</v>
      </c>
      <c r="H71" s="143" t="str">
        <f>IF($A71=0,"",VLOOKUP($A71,'00_Sub'!$A$4:$D$1007,4,FALSE))</f>
        <v/>
      </c>
      <c r="I71" s="143"/>
      <c r="M71" s="86" t="s">
        <v>1026</v>
      </c>
      <c r="O71" s="244">
        <f t="shared" si="13"/>
        <v>1560</v>
      </c>
    </row>
    <row r="72" ht="14.25" customHeight="1">
      <c r="A72" s="204"/>
      <c r="B72" s="92" t="str">
        <f>IF($A72=0,"",VLOOKUP($A72,'00_Sub'!$A$4:$D$1007,2,FALSE))</f>
        <v/>
      </c>
      <c r="C72" s="92" t="str">
        <f>IF($A72=0,"",VLOOKUP($A72,'00_Sub'!$A$4:$D$1007,3,FALSE))</f>
        <v/>
      </c>
      <c r="D72" s="204"/>
      <c r="E72" s="204"/>
      <c r="F72" s="206"/>
      <c r="G72" s="221">
        <f t="shared" si="12"/>
        <v>0</v>
      </c>
      <c r="H72" s="143" t="str">
        <f>IF($A72=0,"",VLOOKUP($A72,'00_Sub'!$A$4:$D$1007,4,FALSE))</f>
        <v/>
      </c>
      <c r="I72" s="143"/>
    </row>
    <row r="73" ht="14.25" customHeight="1">
      <c r="A73" s="204"/>
      <c r="B73" s="92" t="str">
        <f>IF($A73=0,"",VLOOKUP($A73,'00_Sub'!$A$4:$D$1007,2,FALSE))</f>
        <v/>
      </c>
      <c r="C73" s="92" t="str">
        <f>IF($A73=0,"",VLOOKUP($A73,'00_Sub'!$A$4:$D$1007,3,FALSE))</f>
        <v/>
      </c>
      <c r="D73" s="204"/>
      <c r="E73" s="204"/>
      <c r="F73" s="206"/>
      <c r="G73" s="221">
        <f t="shared" si="12"/>
        <v>0</v>
      </c>
      <c r="H73" s="143" t="str">
        <f>IF($A73=0,"",VLOOKUP($A73,'00_Sub'!$A$4:$D$1007,4,FALSE))</f>
        <v/>
      </c>
      <c r="I73" s="143"/>
    </row>
    <row r="74" ht="14.25" customHeight="1">
      <c r="A74" s="204"/>
      <c r="B74" s="92" t="str">
        <f>IF($A74=0,"",VLOOKUP($A74,'00_Sub'!$A$4:$D$1007,2,FALSE))</f>
        <v/>
      </c>
      <c r="C74" s="92" t="str">
        <f>IF($A74=0,"",VLOOKUP($A74,'00_Sub'!$A$4:$D$1007,3,FALSE))</f>
        <v/>
      </c>
      <c r="D74" s="204"/>
      <c r="E74" s="204"/>
      <c r="F74" s="206"/>
      <c r="G74" s="221">
        <f t="shared" si="12"/>
        <v>0</v>
      </c>
      <c r="H74" s="143" t="str">
        <f>IF($A74=0,"",VLOOKUP($A74,'00_Sub'!$A$4:$D$1007,4,FALSE))</f>
        <v/>
      </c>
      <c r="I74" s="143"/>
    </row>
    <row r="75" ht="14.25" customHeight="1">
      <c r="F75" s="208"/>
      <c r="G75" s="3"/>
      <c r="H75" s="143"/>
      <c r="I75" s="143"/>
    </row>
    <row r="76" ht="14.25" customHeight="1">
      <c r="A76" s="222" t="s">
        <v>987</v>
      </c>
      <c r="B76" s="223"/>
      <c r="C76" s="223"/>
      <c r="D76" s="223"/>
      <c r="E76" s="223"/>
      <c r="F76" s="223"/>
      <c r="G76" s="211"/>
      <c r="H76" s="223"/>
      <c r="I76" s="224">
        <f>SUM(I69:I74)</f>
        <v>0</v>
      </c>
    </row>
    <row r="77" ht="14.25" customHeight="1">
      <c r="A77" s="232" t="str">
        <f>$I$3</f>
        <v>gl</v>
      </c>
      <c r="B77" s="233"/>
      <c r="C77" s="233"/>
      <c r="D77" s="233"/>
      <c r="E77" s="233"/>
      <c r="F77" s="233"/>
      <c r="G77" s="21"/>
      <c r="H77" s="233"/>
      <c r="I77" s="205">
        <f>$H$3</f>
        <v>1</v>
      </c>
      <c r="J77" s="92"/>
      <c r="K77" s="92"/>
      <c r="L77" s="92"/>
    </row>
    <row r="78" ht="14.25" customHeight="1">
      <c r="A78" s="234" t="s">
        <v>997</v>
      </c>
      <c r="B78" s="232" t="str">
        <f>A77</f>
        <v>gl</v>
      </c>
      <c r="C78" s="233"/>
      <c r="D78" s="233"/>
      <c r="E78" s="233"/>
      <c r="F78" s="233"/>
      <c r="G78" s="21"/>
      <c r="H78" s="233"/>
      <c r="I78" s="235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4">
    <mergeCell ref="B3:F3"/>
    <mergeCell ref="D6:E6"/>
    <mergeCell ref="M41:M44"/>
    <mergeCell ref="D54:E54"/>
  </mergeCells>
  <hyperlinks>
    <hyperlink r:id="rId2" location="polycard_client=search-desktop&amp;search_layout=grid&amp;position=37&amp;type=product&amp;tracking_id=96ec5412-75db-4875-9959-a13636106fa9&amp;wid=MLA2012431448&amp;sid=search" ref="P60"/>
  </hyperlinks>
  <printOptions/>
  <pageMargins bottom="0.75" footer="0.0" header="0.0" left="0.7" right="0.7" top="0.75"/>
  <pageSetup orientation="portrait"/>
  <drawing r:id="rId3"/>
  <legacy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1" width="8.71"/>
    <col customWidth="1" min="12" max="12" width="10.14"/>
    <col customWidth="1" min="13" max="13" width="30.29"/>
  </cols>
  <sheetData>
    <row r="1" ht="33.75" customHeight="1">
      <c r="A1" s="91" t="str">
        <f>'01_C&amp;P'!A1</f>
        <v>EDIFICIO LAS HERAS</v>
      </c>
      <c r="B1" s="91"/>
      <c r="C1" s="91"/>
      <c r="G1" s="3"/>
    </row>
    <row r="2" ht="14.25" customHeight="1">
      <c r="G2" s="3"/>
    </row>
    <row r="3" ht="23.25" customHeight="1">
      <c r="A3" s="195" t="str">
        <f>'01_C&amp;P'!A18</f>
        <v>0.9</v>
      </c>
      <c r="B3" s="196" t="str">
        <f>IF($A3=0,"",VLOOKUP($A3,'01_C&amp;P'!$A$9:$D$192,2,FALSE))</f>
        <v>EXCAVACION BASES Y TRONCOS</v>
      </c>
      <c r="C3" s="197"/>
      <c r="D3" s="197"/>
      <c r="E3" s="197"/>
      <c r="F3" s="197"/>
      <c r="G3" s="198"/>
      <c r="H3" s="199">
        <f>IF($A3=0,"",VLOOKUP($A3,'01_C&amp;P'!$A$9:$D$192,4,FALSE))</f>
        <v>366.36</v>
      </c>
      <c r="I3" s="200" t="str">
        <f>IF($A3=0,"",VLOOKUP($A3,'01_C&amp;P'!$A$9:$D$192,3,FALSE))</f>
        <v>m³</v>
      </c>
      <c r="M3" s="246" t="s">
        <v>1027</v>
      </c>
    </row>
    <row r="4" ht="14.25" customHeight="1">
      <c r="G4" s="3"/>
    </row>
    <row r="5" ht="14.25" customHeight="1">
      <c r="A5" s="201" t="s">
        <v>0</v>
      </c>
      <c r="B5" s="94"/>
      <c r="C5" s="94"/>
      <c r="D5" s="94"/>
      <c r="E5" s="94"/>
      <c r="F5" s="94"/>
      <c r="G5" s="2"/>
      <c r="H5" s="94"/>
      <c r="I5" s="94"/>
    </row>
    <row r="6" ht="14.25" customHeight="1">
      <c r="A6" s="202" t="s">
        <v>988</v>
      </c>
      <c r="B6" s="202" t="s">
        <v>989</v>
      </c>
      <c r="C6" s="202" t="s">
        <v>990</v>
      </c>
      <c r="D6" s="203" t="s">
        <v>991</v>
      </c>
      <c r="E6" s="197"/>
      <c r="F6" s="202" t="s">
        <v>992</v>
      </c>
      <c r="G6" s="4" t="s">
        <v>993</v>
      </c>
      <c r="H6" s="202" t="s">
        <v>994</v>
      </c>
      <c r="I6" s="202" t="s">
        <v>995</v>
      </c>
    </row>
    <row r="7" ht="14.25" customHeight="1">
      <c r="A7" s="229"/>
      <c r="B7" s="92" t="str">
        <f>IF($A7=0,"",VLOOKUP($A7,'00_Mat'!$A$4:$J$1135,2,FALSE))</f>
        <v/>
      </c>
      <c r="C7" s="92" t="str">
        <f>IF($A7=0,"",VLOOKUP($A7,'00_Mat'!$A$4:$J$1135,3,FALSE))</f>
        <v/>
      </c>
      <c r="D7" s="230">
        <f>H3</f>
        <v>366.36</v>
      </c>
      <c r="E7" s="204"/>
      <c r="F7" s="206">
        <v>0.1</v>
      </c>
      <c r="G7" s="221">
        <f t="shared" ref="G7:G18" si="1">ROUNDUP((D7+(D7*F7)),0)</f>
        <v>403</v>
      </c>
      <c r="H7" s="143" t="str">
        <f>IF($A7=0,"",VLOOKUP($A7,'00_Mat'!$A$4:$J$1135,5,FALSE))</f>
        <v/>
      </c>
      <c r="I7" s="143">
        <f t="shared" ref="I7:I18" si="2">G7*H7</f>
        <v>0</v>
      </c>
      <c r="J7" s="231" t="s">
        <v>548</v>
      </c>
    </row>
    <row r="8" ht="14.25" customHeight="1">
      <c r="A8" s="3"/>
      <c r="B8" s="92" t="str">
        <f>IF($A8=0,"",VLOOKUP($A8,'00_Mat'!$A$4:$J$1135,2,FALSE))</f>
        <v/>
      </c>
      <c r="C8" s="92" t="str">
        <f>IF($A8=0,"",VLOOKUP($A8,'00_Mat'!$A$4:$J$1135,3,FALSE))</f>
        <v/>
      </c>
      <c r="D8" s="230">
        <v>206.0</v>
      </c>
      <c r="E8" s="204"/>
      <c r="F8" s="206">
        <v>0.1</v>
      </c>
      <c r="G8" s="221">
        <f t="shared" si="1"/>
        <v>227</v>
      </c>
      <c r="H8" s="143" t="str">
        <f>IF($A8=0,"",VLOOKUP($A8,'00_Mat'!$A$4:$J$1135,5,FALSE))</f>
        <v/>
      </c>
      <c r="I8" s="143">
        <f t="shared" si="2"/>
        <v>0</v>
      </c>
      <c r="J8" s="153" t="s">
        <v>1028</v>
      </c>
    </row>
    <row r="9" ht="14.25" customHeight="1">
      <c r="A9" s="3"/>
      <c r="B9" s="92" t="str">
        <f>IF($A9=0,"",VLOOKUP($A9,'00_Mat'!$A$4:$J$1135,2,FALSE))</f>
        <v/>
      </c>
      <c r="C9" s="92" t="str">
        <f>IF($A9=0,"",VLOOKUP($A9,'00_Mat'!$A$4:$J$1135,3,FALSE))</f>
        <v/>
      </c>
      <c r="D9" s="229">
        <v>52.0</v>
      </c>
      <c r="E9" s="204"/>
      <c r="F9" s="206">
        <v>0.1</v>
      </c>
      <c r="G9" s="221">
        <f t="shared" si="1"/>
        <v>58</v>
      </c>
      <c r="H9" s="143" t="str">
        <f>IF($A9=0,"",VLOOKUP($A9,'00_Mat'!$A$4:$J$1135,5,FALSE))</f>
        <v/>
      </c>
      <c r="I9" s="143">
        <f t="shared" si="2"/>
        <v>0</v>
      </c>
    </row>
    <row r="10" ht="14.25" customHeight="1">
      <c r="A10" s="3"/>
      <c r="B10" s="92" t="str">
        <f>IF($A10=0,"",VLOOKUP($A10,'00_Mat'!$A$4:$J$1135,2,FALSE))</f>
        <v/>
      </c>
      <c r="C10" s="92" t="str">
        <f>IF($A10=0,"",VLOOKUP($A10,'00_Mat'!$A$4:$J$1135,3,FALSE))</f>
        <v/>
      </c>
      <c r="D10" s="229">
        <v>9.0</v>
      </c>
      <c r="E10" s="204"/>
      <c r="F10" s="206">
        <v>0.1</v>
      </c>
      <c r="G10" s="221">
        <f t="shared" si="1"/>
        <v>10</v>
      </c>
      <c r="H10" s="143" t="str">
        <f>IF($A10=0,"",VLOOKUP($A10,'00_Mat'!$A$4:$J$1135,5,FALSE))</f>
        <v/>
      </c>
      <c r="I10" s="143">
        <f t="shared" si="2"/>
        <v>0</v>
      </c>
    </row>
    <row r="11" ht="14.25" customHeight="1">
      <c r="A11" s="3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29">
        <v>54.0</v>
      </c>
      <c r="E11" s="204"/>
      <c r="F11" s="206">
        <v>0.1</v>
      </c>
      <c r="G11" s="221">
        <f t="shared" si="1"/>
        <v>60</v>
      </c>
      <c r="H11" s="143" t="str">
        <f>IF($A11=0,"",VLOOKUP($A11,'00_Mat'!$A$4:$J$1135,5,FALSE))</f>
        <v/>
      </c>
      <c r="I11" s="143">
        <f t="shared" si="2"/>
        <v>0</v>
      </c>
    </row>
    <row r="12" ht="14.25" customHeight="1">
      <c r="A12" s="3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29">
        <v>37.0</v>
      </c>
      <c r="E12" s="204"/>
      <c r="F12" s="206">
        <v>0.1</v>
      </c>
      <c r="G12" s="221">
        <f t="shared" si="1"/>
        <v>41</v>
      </c>
      <c r="H12" s="143" t="str">
        <f>IF($A12=0,"",VLOOKUP($A12,'00_Mat'!$A$4:$J$1135,5,FALSE))</f>
        <v/>
      </c>
      <c r="I12" s="143">
        <f t="shared" si="2"/>
        <v>0</v>
      </c>
    </row>
    <row r="13" ht="14.25" customHeight="1">
      <c r="A13" s="20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29">
        <v>9.0</v>
      </c>
      <c r="E13" s="204"/>
      <c r="F13" s="206">
        <v>0.1</v>
      </c>
      <c r="G13" s="221">
        <f t="shared" si="1"/>
        <v>10</v>
      </c>
      <c r="H13" s="143" t="str">
        <f>IF($A13=0,"",VLOOKUP($A13,'00_Mat'!$A$4:$J$1135,5,FALSE))</f>
        <v/>
      </c>
      <c r="I13" s="143">
        <f t="shared" si="2"/>
        <v>0</v>
      </c>
    </row>
    <row r="14" ht="14.25" customHeight="1">
      <c r="A14" s="3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29">
        <v>0.0</v>
      </c>
      <c r="E14" s="204"/>
      <c r="F14" s="236">
        <v>0.25</v>
      </c>
      <c r="G14" s="221">
        <f t="shared" si="1"/>
        <v>0</v>
      </c>
      <c r="H14" s="143" t="str">
        <f>IF($A14=0,"",VLOOKUP($A14,'00_Mat'!$A$4:$J$1135,5,FALSE))</f>
        <v/>
      </c>
      <c r="I14" s="143">
        <f t="shared" si="2"/>
        <v>0</v>
      </c>
      <c r="J14" s="153" t="s">
        <v>1029</v>
      </c>
    </row>
    <row r="15" ht="14.25" customHeight="1">
      <c r="A15" s="3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29">
        <f>92</f>
        <v>92</v>
      </c>
      <c r="E15" s="204"/>
      <c r="F15" s="236">
        <v>0.2</v>
      </c>
      <c r="G15" s="221">
        <f t="shared" si="1"/>
        <v>111</v>
      </c>
      <c r="H15" s="143" t="str">
        <f>IF($A15=0,"",VLOOKUP($A15,'00_Mat'!$A$4:$J$1135,5,FALSE))</f>
        <v/>
      </c>
      <c r="I15" s="143">
        <f t="shared" si="2"/>
        <v>0</v>
      </c>
      <c r="J15" s="153" t="s">
        <v>1030</v>
      </c>
    </row>
    <row r="16" ht="14.25" customHeight="1">
      <c r="A16" s="3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29">
        <v>1.0</v>
      </c>
      <c r="E16" s="204"/>
      <c r="F16" s="206"/>
      <c r="G16" s="221">
        <f t="shared" si="1"/>
        <v>1</v>
      </c>
      <c r="H16" s="143" t="str">
        <f>IF($A16=0,"",VLOOKUP($A16,'00_Mat'!$A$4:$J$1135,5,FALSE))</f>
        <v/>
      </c>
      <c r="I16" s="143">
        <f t="shared" si="2"/>
        <v>0</v>
      </c>
      <c r="J16" s="153" t="s">
        <v>1031</v>
      </c>
    </row>
    <row r="17" ht="14.25" customHeight="1">
      <c r="A17" s="3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05">
        <f>D7</f>
        <v>366.36</v>
      </c>
      <c r="E17" s="204"/>
      <c r="F17" s="206">
        <v>0.1</v>
      </c>
      <c r="G17" s="221">
        <f t="shared" si="1"/>
        <v>403</v>
      </c>
      <c r="H17" s="143" t="str">
        <f>IF($A17=0,"",VLOOKUP($A17,'00_Mat'!$A$4:$J$1135,5,FALSE))</f>
        <v/>
      </c>
      <c r="I17" s="143">
        <f t="shared" si="2"/>
        <v>0</v>
      </c>
      <c r="J17" s="153" t="s">
        <v>1032</v>
      </c>
    </row>
    <row r="18" ht="14.25" customHeight="1">
      <c r="A18" s="204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04"/>
      <c r="E18" s="204"/>
      <c r="F18" s="206">
        <v>0.1</v>
      </c>
      <c r="G18" s="221">
        <f t="shared" si="1"/>
        <v>0</v>
      </c>
      <c r="H18" s="143" t="str">
        <f>IF($A18=0,"",VLOOKUP($A18,'00_Mat'!$A$4:$J$1135,5,FALSE))</f>
        <v/>
      </c>
      <c r="I18" s="143">
        <f t="shared" si="2"/>
        <v>0</v>
      </c>
    </row>
    <row r="19" ht="14.25" customHeight="1">
      <c r="F19" s="208"/>
      <c r="G19" s="3"/>
      <c r="H19" s="143"/>
      <c r="I19" s="143"/>
    </row>
    <row r="20" ht="14.25" customHeight="1">
      <c r="A20" s="222" t="s">
        <v>996</v>
      </c>
      <c r="B20" s="223"/>
      <c r="C20" s="223"/>
      <c r="D20" s="223"/>
      <c r="E20" s="223"/>
      <c r="F20" s="223"/>
      <c r="G20" s="211"/>
      <c r="H20" s="223"/>
      <c r="I20" s="224">
        <f>SUM(I7:I18)</f>
        <v>0</v>
      </c>
      <c r="J20" s="92"/>
      <c r="K20" s="92"/>
      <c r="L20" s="92"/>
    </row>
    <row r="21" ht="14.25" customHeight="1">
      <c r="A21" s="232" t="str">
        <f>$I$3</f>
        <v>m³</v>
      </c>
      <c r="B21" s="233"/>
      <c r="C21" s="233"/>
      <c r="D21" s="233"/>
      <c r="E21" s="233"/>
      <c r="F21" s="233"/>
      <c r="G21" s="21"/>
      <c r="H21" s="233"/>
      <c r="I21" s="205">
        <f>$H$3</f>
        <v>366.36</v>
      </c>
      <c r="J21" s="92"/>
      <c r="K21" s="92"/>
      <c r="L21" s="92"/>
    </row>
    <row r="22" ht="14.25" customHeight="1">
      <c r="A22" s="234" t="s">
        <v>997</v>
      </c>
      <c r="B22" s="232" t="str">
        <f>A21</f>
        <v>m³</v>
      </c>
      <c r="C22" s="233"/>
      <c r="D22" s="233"/>
      <c r="E22" s="233"/>
      <c r="F22" s="233"/>
      <c r="G22" s="21"/>
      <c r="H22" s="233"/>
      <c r="I22" s="235">
        <f>I20/I21</f>
        <v>0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01" t="s">
        <v>998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02" t="s">
        <v>988</v>
      </c>
      <c r="B26" s="202" t="s">
        <v>989</v>
      </c>
      <c r="C26" s="202" t="s">
        <v>990</v>
      </c>
      <c r="D26" s="202" t="s">
        <v>991</v>
      </c>
      <c r="E26" s="202" t="s">
        <v>999</v>
      </c>
      <c r="F26" s="202" t="s">
        <v>992</v>
      </c>
      <c r="G26" s="4" t="s">
        <v>993</v>
      </c>
      <c r="H26" s="202" t="s">
        <v>994</v>
      </c>
      <c r="I26" s="202" t="s">
        <v>995</v>
      </c>
    </row>
    <row r="27" ht="14.25" customHeight="1">
      <c r="A27" s="61" t="s">
        <v>621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29">
        <v>1.0</v>
      </c>
      <c r="E27" s="229">
        <v>0.0</v>
      </c>
      <c r="F27" s="236">
        <v>0.25</v>
      </c>
      <c r="G27" s="217">
        <f t="shared" ref="G27:G32" si="3">ROUNDUP(((D27*E27)*(1+F27)),0)</f>
        <v>0</v>
      </c>
      <c r="H27" s="143">
        <f>IF($A27=0,"",VLOOKUP($A27,'00_MO'!$A$4:$D$7,4,FALSE))</f>
        <v>120000</v>
      </c>
      <c r="I27" s="143">
        <f t="shared" ref="I27:I32" si="4">G27*H27</f>
        <v>0</v>
      </c>
    </row>
    <row r="28" ht="14.25" customHeight="1">
      <c r="A28" s="61" t="s">
        <v>623</v>
      </c>
      <c r="B28" s="92" t="str">
        <f>IF($A28=0,"",VLOOKUP($A28,'00_MO'!$A$4:$D$7,2,FALSE))</f>
        <v>Puntero</v>
      </c>
      <c r="C28" s="92" t="str">
        <f>IF($A28=0,"",VLOOKUP($A28,'00_MO'!$A$4:$D$7,3,FALSE))</f>
        <v>u</v>
      </c>
      <c r="D28" s="229">
        <v>2.0</v>
      </c>
      <c r="E28" s="229"/>
      <c r="F28" s="236">
        <v>0.25</v>
      </c>
      <c r="G28" s="217">
        <f t="shared" si="3"/>
        <v>0</v>
      </c>
      <c r="H28" s="143">
        <f>IF($A28=0,"",VLOOKUP($A28,'00_MO'!$A$4:$D$7,4,FALSE))</f>
        <v>105000</v>
      </c>
      <c r="I28" s="143">
        <f t="shared" si="4"/>
        <v>0</v>
      </c>
    </row>
    <row r="29" ht="14.25" customHeight="1">
      <c r="A29" s="61" t="s">
        <v>625</v>
      </c>
      <c r="B29" s="92" t="str">
        <f>IF($A29=0,"",VLOOKUP($A29,'00_MO'!$A$4:$D$7,2,FALSE))</f>
        <v>Oficial</v>
      </c>
      <c r="C29" s="92" t="str">
        <f>IF($A29=0,"",VLOOKUP($A29,'00_MO'!$A$4:$D$7,3,FALSE))</f>
        <v>u</v>
      </c>
      <c r="D29" s="229">
        <v>3.0</v>
      </c>
      <c r="E29" s="229"/>
      <c r="F29" s="236">
        <v>0.25</v>
      </c>
      <c r="G29" s="217">
        <f t="shared" si="3"/>
        <v>0</v>
      </c>
      <c r="H29" s="143">
        <f>IF($A29=0,"",VLOOKUP($A29,'00_MO'!$A$4:$D$7,4,FALSE))</f>
        <v>90000</v>
      </c>
      <c r="I29" s="143">
        <f t="shared" si="4"/>
        <v>0</v>
      </c>
    </row>
    <row r="30" ht="14.25" customHeight="1">
      <c r="A30" s="61" t="s">
        <v>627</v>
      </c>
      <c r="B30" s="92" t="str">
        <f>IF($A30=0,"",VLOOKUP($A30,'00_MO'!$A$4:$D$7,2,FALSE))</f>
        <v>Ayudante</v>
      </c>
      <c r="C30" s="92" t="str">
        <f>IF($A30=0,"",VLOOKUP($A30,'00_MO'!$A$4:$D$7,3,FALSE))</f>
        <v>u</v>
      </c>
      <c r="D30" s="229">
        <v>3.0</v>
      </c>
      <c r="E30" s="229"/>
      <c r="F30" s="236">
        <v>0.25</v>
      </c>
      <c r="G30" s="217">
        <f t="shared" si="3"/>
        <v>0</v>
      </c>
      <c r="H30" s="143">
        <f>IF($A30=0,"",VLOOKUP($A30,'00_MO'!$A$4:$D$7,4,FALSE))</f>
        <v>60000</v>
      </c>
      <c r="I30" s="143">
        <f t="shared" si="4"/>
        <v>0</v>
      </c>
    </row>
    <row r="31" ht="14.25" customHeight="1">
      <c r="A31" s="204"/>
      <c r="B31" s="92" t="str">
        <f>IF($A31=0,"",VLOOKUP($A31,'00_MO'!$A$4:$D$7,2,FALSE))</f>
        <v/>
      </c>
      <c r="C31" s="92" t="str">
        <f>IF($A31=0,"",VLOOKUP($A31,'00_MO'!$A$4:$D$7,3,FALSE))</f>
        <v/>
      </c>
      <c r="D31" s="204"/>
      <c r="E31" s="229"/>
      <c r="F31" s="206"/>
      <c r="G31" s="217">
        <f t="shared" si="3"/>
        <v>0</v>
      </c>
      <c r="H31" s="143" t="str">
        <f>IF($A31=0,"",VLOOKUP($A31,'00_MO'!$A$4:$D$7,4,FALSE))</f>
        <v/>
      </c>
      <c r="I31" s="143">
        <f t="shared" si="4"/>
        <v>0</v>
      </c>
    </row>
    <row r="32" ht="14.25" customHeight="1">
      <c r="A32" s="204"/>
      <c r="B32" s="92" t="str">
        <f>IF($A32=0,"",VLOOKUP($A32,'00_MO'!$A$4:$D$7,2,FALSE))</f>
        <v/>
      </c>
      <c r="C32" s="92" t="str">
        <f>IF($A32=0,"",VLOOKUP($A32,'00_MO'!$A$4:$D$7,3,FALSE))</f>
        <v/>
      </c>
      <c r="D32" s="204"/>
      <c r="E32" s="204"/>
      <c r="F32" s="206"/>
      <c r="G32" s="217">
        <f t="shared" si="3"/>
        <v>0</v>
      </c>
      <c r="H32" s="143" t="str">
        <f>IF($A32=0,"",VLOOKUP($A32,'00_MO'!$A$4:$D$7,4,FALSE))</f>
        <v/>
      </c>
      <c r="I32" s="143">
        <f t="shared" si="4"/>
        <v>0</v>
      </c>
    </row>
    <row r="33" ht="14.25" customHeight="1">
      <c r="F33" s="208"/>
      <c r="G33" s="3"/>
      <c r="H33" s="143"/>
      <c r="I33" s="143"/>
    </row>
    <row r="34" ht="14.25" customHeight="1">
      <c r="A34" s="222" t="s">
        <v>987</v>
      </c>
      <c r="B34" s="223"/>
      <c r="C34" s="223"/>
      <c r="D34" s="223"/>
      <c r="E34" s="223"/>
      <c r="F34" s="223"/>
      <c r="G34" s="211"/>
      <c r="H34" s="223"/>
      <c r="I34" s="224">
        <f>SUM(I27:I32)</f>
        <v>0</v>
      </c>
    </row>
    <row r="35" ht="14.25" customHeight="1">
      <c r="A35" s="232" t="str">
        <f>$I$3</f>
        <v>m³</v>
      </c>
      <c r="B35" s="233"/>
      <c r="C35" s="233"/>
      <c r="D35" s="233"/>
      <c r="E35" s="233"/>
      <c r="F35" s="233"/>
      <c r="G35" s="21"/>
      <c r="H35" s="233"/>
      <c r="I35" s="205">
        <f>$H$3</f>
        <v>366.36</v>
      </c>
      <c r="J35" s="92"/>
      <c r="K35" s="92"/>
      <c r="L35" s="92"/>
    </row>
    <row r="36" ht="14.25" customHeight="1">
      <c r="A36" s="234" t="s">
        <v>997</v>
      </c>
      <c r="B36" s="232" t="str">
        <f>A35</f>
        <v>m³</v>
      </c>
      <c r="C36" s="233"/>
      <c r="D36" s="233"/>
      <c r="E36" s="233"/>
      <c r="F36" s="233"/>
      <c r="G36" s="21"/>
      <c r="H36" s="233"/>
      <c r="I36" s="235">
        <f>I34/I35</f>
        <v>0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01" t="s">
        <v>1000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02" t="s">
        <v>988</v>
      </c>
      <c r="B40" s="202" t="s">
        <v>989</v>
      </c>
      <c r="C40" s="202" t="s">
        <v>990</v>
      </c>
      <c r="D40" s="202" t="s">
        <v>991</v>
      </c>
      <c r="E40" s="202" t="s">
        <v>999</v>
      </c>
      <c r="F40" s="202" t="s">
        <v>992</v>
      </c>
      <c r="G40" s="4" t="s">
        <v>993</v>
      </c>
      <c r="H40" s="202" t="s">
        <v>994</v>
      </c>
      <c r="I40" s="202" t="s">
        <v>995</v>
      </c>
    </row>
    <row r="41" ht="14.25" customHeight="1">
      <c r="A41" s="3" t="s">
        <v>665</v>
      </c>
      <c r="B41" s="92" t="str">
        <f>IF($A41=0,"",VLOOKUP($A41,'00_Eq'!$A$4:$D$100,2,FALSE))</f>
        <v>EXCAVACION Y RETIRO</v>
      </c>
      <c r="C41" s="92" t="str">
        <f>IF($A41=0,"",VLOOKUP($A41,'00_Eq'!$A$4:$D$100,3,FALSE))</f>
        <v>m3</v>
      </c>
      <c r="D41" s="205">
        <f>H3</f>
        <v>366.36</v>
      </c>
      <c r="E41" s="229">
        <v>1.0</v>
      </c>
      <c r="F41" s="236">
        <v>0.25</v>
      </c>
      <c r="G41" s="217">
        <f t="shared" ref="G41:G46" si="5">ROUNDUP(((D41*E41)*(1+F41)),0)</f>
        <v>458</v>
      </c>
      <c r="H41" s="143">
        <f>IF($A41=0,"",VLOOKUP($A41,'00_Eq'!$A$4:$D$100,4,FALSE))</f>
        <v>30000</v>
      </c>
      <c r="I41" s="143">
        <f t="shared" ref="I41:I44" si="6">G41*H41</f>
        <v>13740000</v>
      </c>
    </row>
    <row r="42" ht="14.25" customHeight="1">
      <c r="A42" s="204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04"/>
      <c r="E42" s="204"/>
      <c r="F42" s="206"/>
      <c r="G42" s="217">
        <f t="shared" si="5"/>
        <v>0</v>
      </c>
      <c r="H42" s="143" t="str">
        <f>IF($A42=0,"",VLOOKUP($A42,'00_Eq'!$A$4:$D$100,4,FALSE))</f>
        <v/>
      </c>
      <c r="I42" s="143">
        <f t="shared" si="6"/>
        <v>0</v>
      </c>
    </row>
    <row r="43" ht="14.25" customHeight="1">
      <c r="A43" s="204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04"/>
      <c r="E43" s="204"/>
      <c r="F43" s="206"/>
      <c r="G43" s="217">
        <f t="shared" si="5"/>
        <v>0</v>
      </c>
      <c r="H43" s="143" t="str">
        <f>IF($A43=0,"",VLOOKUP($A43,'00_Eq'!$A$4:$D$100,4,FALSE))</f>
        <v/>
      </c>
      <c r="I43" s="143">
        <f t="shared" si="6"/>
        <v>0</v>
      </c>
    </row>
    <row r="44" ht="14.25" customHeight="1">
      <c r="A44" s="204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04"/>
      <c r="E44" s="204"/>
      <c r="F44" s="206"/>
      <c r="G44" s="217">
        <f t="shared" si="5"/>
        <v>0</v>
      </c>
      <c r="H44" s="143" t="str">
        <f>IF($A44=0,"",VLOOKUP($A44,'00_Eq'!$A$4:$D$100,4,FALSE))</f>
        <v/>
      </c>
      <c r="I44" s="143">
        <f t="shared" si="6"/>
        <v>0</v>
      </c>
    </row>
    <row r="45" ht="14.25" customHeight="1">
      <c r="A45" s="204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04"/>
      <c r="E45" s="204"/>
      <c r="F45" s="206"/>
      <c r="G45" s="217">
        <f t="shared" si="5"/>
        <v>0</v>
      </c>
      <c r="H45" s="143" t="str">
        <f>IF($A45=0,"",VLOOKUP($A45,'00_Eq'!$A$4:$D$100,4,FALSE))</f>
        <v/>
      </c>
      <c r="I45" s="143"/>
    </row>
    <row r="46" ht="14.25" customHeight="1">
      <c r="A46" s="204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04"/>
      <c r="E46" s="204"/>
      <c r="F46" s="206"/>
      <c r="G46" s="217">
        <f t="shared" si="5"/>
        <v>0</v>
      </c>
      <c r="H46" s="143" t="str">
        <f>IF($A46=0,"",VLOOKUP($A46,'00_Eq'!$A$4:$D$100,4,FALSE))</f>
        <v/>
      </c>
      <c r="I46" s="143"/>
    </row>
    <row r="47" ht="14.25" customHeight="1">
      <c r="F47" s="208"/>
      <c r="G47" s="3"/>
      <c r="H47" s="143"/>
      <c r="I47" s="143"/>
    </row>
    <row r="48" ht="14.25" customHeight="1">
      <c r="A48" s="222" t="s">
        <v>987</v>
      </c>
      <c r="B48" s="223"/>
      <c r="C48" s="223"/>
      <c r="D48" s="223"/>
      <c r="E48" s="223"/>
      <c r="F48" s="223"/>
      <c r="G48" s="211"/>
      <c r="H48" s="223"/>
      <c r="I48" s="224">
        <f>SUM(I41:I46)</f>
        <v>13740000</v>
      </c>
    </row>
    <row r="49" ht="14.25" customHeight="1">
      <c r="A49" s="232" t="str">
        <f>$I$3</f>
        <v>m³</v>
      </c>
      <c r="B49" s="233"/>
      <c r="C49" s="233"/>
      <c r="D49" s="233"/>
      <c r="E49" s="233"/>
      <c r="F49" s="233"/>
      <c r="G49" s="21"/>
      <c r="H49" s="233"/>
      <c r="I49" s="205">
        <f>$H$3</f>
        <v>366.36</v>
      </c>
      <c r="J49" s="92"/>
      <c r="K49" s="92"/>
      <c r="L49" s="92"/>
    </row>
    <row r="50" ht="14.25" customHeight="1">
      <c r="A50" s="234" t="s">
        <v>997</v>
      </c>
      <c r="B50" s="232" t="str">
        <f>A49</f>
        <v>m³</v>
      </c>
      <c r="C50" s="233"/>
      <c r="D50" s="233"/>
      <c r="E50" s="233"/>
      <c r="F50" s="233"/>
      <c r="G50" s="21"/>
      <c r="H50" s="233"/>
      <c r="I50" s="235">
        <f>I48/I49</f>
        <v>37504.09433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01" t="s">
        <v>1010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02" t="s">
        <v>988</v>
      </c>
      <c r="B54" s="202" t="s">
        <v>989</v>
      </c>
      <c r="C54" s="202" t="s">
        <v>990</v>
      </c>
      <c r="D54" s="202" t="s">
        <v>991</v>
      </c>
      <c r="E54" s="202"/>
      <c r="F54" s="202" t="s">
        <v>992</v>
      </c>
      <c r="G54" s="4" t="s">
        <v>993</v>
      </c>
      <c r="H54" s="202" t="s">
        <v>994</v>
      </c>
      <c r="I54" s="202" t="s">
        <v>995</v>
      </c>
    </row>
    <row r="55" ht="14.25" customHeight="1">
      <c r="A55" s="3"/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30"/>
      <c r="E55" s="204"/>
      <c r="F55" s="236">
        <v>0.1</v>
      </c>
      <c r="G55" s="221">
        <f t="shared" ref="G55:G60" si="7">ROUNDUP((D55+(D55*F55)),0)</f>
        <v>0</v>
      </c>
      <c r="H55" s="143" t="str">
        <f>IF($A55=0,"",VLOOKUP($A55,'00_Mat'!$A$4:$J$1135,5,FALSE))</f>
        <v/>
      </c>
      <c r="I55" s="143">
        <f t="shared" ref="I55:I60" si="8">G55*H55</f>
        <v>0</v>
      </c>
      <c r="J55" s="237"/>
    </row>
    <row r="56" ht="14.25" customHeight="1">
      <c r="A56" s="3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0"/>
      <c r="E56" s="204"/>
      <c r="F56" s="236">
        <v>0.1</v>
      </c>
      <c r="G56" s="221">
        <f t="shared" si="7"/>
        <v>0</v>
      </c>
      <c r="H56" s="143" t="str">
        <f>IF($A56=0,"",VLOOKUP($A56,'00_Mat'!$A$4:$J$1135,5,FALSE))</f>
        <v/>
      </c>
      <c r="I56" s="143">
        <f t="shared" si="8"/>
        <v>0</v>
      </c>
      <c r="J56" s="237"/>
    </row>
    <row r="57" ht="14.25" customHeight="1">
      <c r="A57" s="3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0">
        <v>20.0</v>
      </c>
      <c r="E57" s="204"/>
      <c r="F57" s="236">
        <v>0.1</v>
      </c>
      <c r="G57" s="221">
        <f t="shared" si="7"/>
        <v>22</v>
      </c>
      <c r="H57" s="143" t="str">
        <f>IF($A57=0,"",VLOOKUP($A57,'00_Mat'!$A$4:$J$1135,5,FALSE))</f>
        <v/>
      </c>
      <c r="I57" s="143">
        <f t="shared" si="8"/>
        <v>0</v>
      </c>
      <c r="J57" s="153" t="s">
        <v>1013</v>
      </c>
      <c r="L57" s="153" t="s">
        <v>1011</v>
      </c>
      <c r="M57" s="153" t="s">
        <v>1012</v>
      </c>
    </row>
    <row r="58" ht="14.25" customHeight="1">
      <c r="A58" s="20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0">
        <v>2.0</v>
      </c>
      <c r="E58" s="204"/>
      <c r="F58" s="236">
        <v>0.1</v>
      </c>
      <c r="G58" s="221">
        <f t="shared" si="7"/>
        <v>3</v>
      </c>
      <c r="H58" s="143" t="str">
        <f>IF($A58=0,"",VLOOKUP($A58,'00_Mat'!$A$4:$J$1135,5,FALSE))</f>
        <v/>
      </c>
      <c r="I58" s="143">
        <f t="shared" si="8"/>
        <v>0</v>
      </c>
      <c r="J58" s="153" t="s">
        <v>1033</v>
      </c>
    </row>
    <row r="59" ht="14.25" customHeight="1">
      <c r="C59" s="92" t="str">
        <f>IF($A58=0,"",VLOOKUP($A58,'00_Mat'!$A$4:$J$1135,3,FALSE))</f>
        <v/>
      </c>
      <c r="D59" s="230"/>
      <c r="E59" s="204"/>
      <c r="F59" s="236">
        <v>0.1</v>
      </c>
      <c r="G59" s="221">
        <f t="shared" si="7"/>
        <v>0</v>
      </c>
      <c r="H59" s="143" t="str">
        <f>IF($A59=0,"",VLOOKUP($A59,'00_Mat'!$A$4:$J$1135,5,FALSE))</f>
        <v/>
      </c>
      <c r="I59" s="143">
        <f t="shared" si="8"/>
        <v>0</v>
      </c>
    </row>
    <row r="60" ht="14.25" customHeight="1">
      <c r="A60" s="204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05"/>
      <c r="E60" s="204"/>
      <c r="F60" s="206"/>
      <c r="G60" s="221">
        <f t="shared" si="7"/>
        <v>0</v>
      </c>
      <c r="H60" s="143" t="str">
        <f>IF($A60=0,"",VLOOKUP($A60,'00_Mat'!$A$4:$J$1135,5,FALSE))</f>
        <v/>
      </c>
      <c r="I60" s="143">
        <f t="shared" si="8"/>
        <v>0</v>
      </c>
    </row>
    <row r="61" ht="14.25" customHeight="1">
      <c r="F61" s="208"/>
      <c r="G61" s="3"/>
      <c r="H61" s="143"/>
      <c r="I61" s="143"/>
    </row>
    <row r="62" ht="14.25" customHeight="1">
      <c r="A62" s="222" t="s">
        <v>987</v>
      </c>
      <c r="B62" s="223"/>
      <c r="C62" s="223"/>
      <c r="D62" s="223"/>
      <c r="E62" s="223"/>
      <c r="F62" s="223"/>
      <c r="G62" s="211"/>
      <c r="H62" s="223"/>
      <c r="I62" s="224">
        <f>SUM(I55:I60)</f>
        <v>0</v>
      </c>
    </row>
    <row r="63" ht="14.25" customHeight="1">
      <c r="A63" s="232" t="str">
        <f>$I$3</f>
        <v>m³</v>
      </c>
      <c r="B63" s="233"/>
      <c r="C63" s="233"/>
      <c r="D63" s="233"/>
      <c r="E63" s="233"/>
      <c r="F63" s="233"/>
      <c r="G63" s="21"/>
      <c r="H63" s="233"/>
      <c r="I63" s="205">
        <f>$H$3</f>
        <v>366.36</v>
      </c>
      <c r="J63" s="92"/>
      <c r="K63" s="92"/>
      <c r="L63" s="92"/>
    </row>
    <row r="64" ht="14.25" customHeight="1">
      <c r="A64" s="234" t="s">
        <v>997</v>
      </c>
      <c r="B64" s="232" t="str">
        <f>A63</f>
        <v>m³</v>
      </c>
      <c r="C64" s="233"/>
      <c r="D64" s="233"/>
      <c r="E64" s="233"/>
      <c r="F64" s="233"/>
      <c r="G64" s="21"/>
      <c r="H64" s="233"/>
      <c r="I64" s="235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01" t="s">
        <v>1025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02" t="s">
        <v>988</v>
      </c>
      <c r="B68" s="202" t="s">
        <v>989</v>
      </c>
      <c r="C68" s="202" t="s">
        <v>990</v>
      </c>
      <c r="D68" s="202" t="s">
        <v>991</v>
      </c>
      <c r="E68" s="202" t="s">
        <v>999</v>
      </c>
      <c r="F68" s="202" t="s">
        <v>992</v>
      </c>
      <c r="G68" s="4" t="s">
        <v>993</v>
      </c>
      <c r="H68" s="202" t="s">
        <v>994</v>
      </c>
      <c r="I68" s="202" t="s">
        <v>995</v>
      </c>
    </row>
    <row r="69" ht="14.25" customHeight="1">
      <c r="A69" s="204"/>
      <c r="B69" s="92" t="str">
        <f>IF($A69=0,"",VLOOKUP($A69,'00_Sub'!$A$4:$D$1007,2,FALSE))</f>
        <v/>
      </c>
      <c r="C69" s="92" t="str">
        <f>IF($A69=0,"",VLOOKUP($A69,'00_Sub'!$A$4:$D$1007,3,FALSE))</f>
        <v/>
      </c>
      <c r="D69" s="204"/>
      <c r="E69" s="204"/>
      <c r="F69" s="206"/>
      <c r="G69" s="221">
        <f t="shared" ref="G69:G74" si="9">ROUNDUP((D69+(D69*F69)),0)</f>
        <v>0</v>
      </c>
      <c r="H69" s="143" t="str">
        <f>IF($A69=0,"",VLOOKUP($A69,'00_Sub'!$A$4:$D$1007,4,FALSE))</f>
        <v/>
      </c>
      <c r="I69" s="143"/>
    </row>
    <row r="70" ht="14.25" customHeight="1">
      <c r="A70" s="204"/>
      <c r="B70" s="92" t="str">
        <f>IF($A70=0,"",VLOOKUP($A70,'00_Sub'!$A$4:$D$1007,2,FALSE))</f>
        <v/>
      </c>
      <c r="C70" s="92" t="str">
        <f>IF($A70=0,"",VLOOKUP($A70,'00_Sub'!$A$4:$D$1007,3,FALSE))</f>
        <v/>
      </c>
      <c r="D70" s="204"/>
      <c r="E70" s="204"/>
      <c r="F70" s="206"/>
      <c r="G70" s="221">
        <f t="shared" si="9"/>
        <v>0</v>
      </c>
      <c r="H70" s="143" t="str">
        <f>IF($A70=0,"",VLOOKUP($A70,'00_Sub'!$A$4:$D$1007,4,FALSE))</f>
        <v/>
      </c>
      <c r="I70" s="143"/>
    </row>
    <row r="71" ht="14.25" customHeight="1">
      <c r="A71" s="204"/>
      <c r="B71" s="92" t="str">
        <f>IF($A71=0,"",VLOOKUP($A71,'00_Sub'!$A$4:$D$1007,2,FALSE))</f>
        <v/>
      </c>
      <c r="C71" s="92" t="str">
        <f>IF($A71=0,"",VLOOKUP($A71,'00_Sub'!$A$4:$D$1007,3,FALSE))</f>
        <v/>
      </c>
      <c r="D71" s="204"/>
      <c r="E71" s="204"/>
      <c r="F71" s="206"/>
      <c r="G71" s="221">
        <f t="shared" si="9"/>
        <v>0</v>
      </c>
      <c r="H71" s="143" t="str">
        <f>IF($A71=0,"",VLOOKUP($A71,'00_Sub'!$A$4:$D$1007,4,FALSE))</f>
        <v/>
      </c>
      <c r="I71" s="143"/>
    </row>
    <row r="72" ht="14.25" customHeight="1">
      <c r="A72" s="204"/>
      <c r="B72" s="92" t="str">
        <f>IF($A72=0,"",VLOOKUP($A72,'00_Sub'!$A$4:$D$1007,2,FALSE))</f>
        <v/>
      </c>
      <c r="C72" s="92" t="str">
        <f>IF($A72=0,"",VLOOKUP($A72,'00_Sub'!$A$4:$D$1007,3,FALSE))</f>
        <v/>
      </c>
      <c r="D72" s="204"/>
      <c r="E72" s="204"/>
      <c r="F72" s="206"/>
      <c r="G72" s="221">
        <f t="shared" si="9"/>
        <v>0</v>
      </c>
      <c r="H72" s="143" t="str">
        <f>IF($A72=0,"",VLOOKUP($A72,'00_Sub'!$A$4:$D$1007,4,FALSE))</f>
        <v/>
      </c>
      <c r="I72" s="143"/>
    </row>
    <row r="73" ht="14.25" customHeight="1">
      <c r="A73" s="204"/>
      <c r="B73" s="92" t="str">
        <f>IF($A73=0,"",VLOOKUP($A73,'00_Sub'!$A$4:$D$1007,2,FALSE))</f>
        <v/>
      </c>
      <c r="C73" s="92" t="str">
        <f>IF($A73=0,"",VLOOKUP($A73,'00_Sub'!$A$4:$D$1007,3,FALSE))</f>
        <v/>
      </c>
      <c r="D73" s="204"/>
      <c r="E73" s="204"/>
      <c r="F73" s="206"/>
      <c r="G73" s="221">
        <f t="shared" si="9"/>
        <v>0</v>
      </c>
      <c r="H73" s="143" t="str">
        <f>IF($A73=0,"",VLOOKUP($A73,'00_Sub'!$A$4:$D$1007,4,FALSE))</f>
        <v/>
      </c>
      <c r="I73" s="143"/>
    </row>
    <row r="74" ht="14.25" customHeight="1">
      <c r="A74" s="204"/>
      <c r="B74" s="92" t="str">
        <f>IF($A74=0,"",VLOOKUP($A74,'00_Sub'!$A$4:$D$1007,2,FALSE))</f>
        <v/>
      </c>
      <c r="C74" s="92" t="str">
        <f>IF($A74=0,"",VLOOKUP($A74,'00_Sub'!$A$4:$D$1007,3,FALSE))</f>
        <v/>
      </c>
      <c r="D74" s="204"/>
      <c r="E74" s="204"/>
      <c r="F74" s="206"/>
      <c r="G74" s="221">
        <f t="shared" si="9"/>
        <v>0</v>
      </c>
      <c r="H74" s="143" t="str">
        <f>IF($A74=0,"",VLOOKUP($A74,'00_Sub'!$A$4:$D$1007,4,FALSE))</f>
        <v/>
      </c>
      <c r="I74" s="143"/>
    </row>
    <row r="75" ht="14.25" customHeight="1">
      <c r="F75" s="208"/>
      <c r="G75" s="3"/>
      <c r="H75" s="143"/>
      <c r="I75" s="143"/>
    </row>
    <row r="76" ht="14.25" customHeight="1">
      <c r="A76" s="222" t="s">
        <v>987</v>
      </c>
      <c r="B76" s="223"/>
      <c r="C76" s="223"/>
      <c r="D76" s="223"/>
      <c r="E76" s="223"/>
      <c r="F76" s="223"/>
      <c r="G76" s="211"/>
      <c r="H76" s="223"/>
      <c r="I76" s="224">
        <f>SUM(I69:I74)</f>
        <v>0</v>
      </c>
    </row>
    <row r="77" ht="14.25" customHeight="1">
      <c r="A77" s="232" t="str">
        <f>$I$3</f>
        <v>m³</v>
      </c>
      <c r="B77" s="233"/>
      <c r="C77" s="233"/>
      <c r="D77" s="233"/>
      <c r="E77" s="233"/>
      <c r="F77" s="233"/>
      <c r="G77" s="21"/>
      <c r="H77" s="233"/>
      <c r="I77" s="205">
        <f>$H$3</f>
        <v>366.36</v>
      </c>
      <c r="J77" s="92"/>
      <c r="K77" s="92"/>
      <c r="L77" s="92"/>
    </row>
    <row r="78" ht="14.25" customHeight="1">
      <c r="A78" s="234" t="s">
        <v>997</v>
      </c>
      <c r="B78" s="232" t="str">
        <f>A77</f>
        <v>m³</v>
      </c>
      <c r="C78" s="233"/>
      <c r="D78" s="233"/>
      <c r="E78" s="233"/>
      <c r="F78" s="233"/>
      <c r="G78" s="21"/>
      <c r="H78" s="233"/>
      <c r="I78" s="235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18"/>
      <c r="B82" s="219"/>
      <c r="C82" s="219"/>
      <c r="D82" s="219"/>
      <c r="E82" s="219"/>
      <c r="F82" s="219"/>
      <c r="G82" s="3"/>
      <c r="H82" s="219"/>
      <c r="I82" s="219"/>
    </row>
    <row r="83" ht="14.25" customHeight="1">
      <c r="A83" s="218"/>
      <c r="B83" s="219"/>
      <c r="C83" s="219"/>
      <c r="D83" s="219"/>
      <c r="E83" s="219"/>
      <c r="F83" s="219"/>
      <c r="G83" s="3"/>
      <c r="H83" s="219"/>
      <c r="I83" s="219"/>
    </row>
    <row r="84" ht="14.25" customHeight="1">
      <c r="G84" s="3"/>
      <c r="H84" s="208"/>
      <c r="I84" s="143"/>
    </row>
    <row r="85" ht="14.25" customHeight="1">
      <c r="G85" s="3"/>
      <c r="H85" s="208"/>
      <c r="I85" s="143"/>
    </row>
    <row r="86" ht="14.25" customHeight="1">
      <c r="A86" s="218"/>
      <c r="B86" s="219"/>
      <c r="C86" s="219"/>
      <c r="D86" s="219"/>
      <c r="E86" s="219"/>
      <c r="F86" s="219"/>
      <c r="G86" s="3"/>
      <c r="H86" s="219"/>
      <c r="I86" s="225"/>
    </row>
    <row r="87" ht="14.25" customHeight="1">
      <c r="G87" s="3"/>
      <c r="H87" s="208"/>
      <c r="I87" s="143"/>
    </row>
    <row r="88" ht="14.25" customHeight="1">
      <c r="G88" s="3"/>
      <c r="H88" s="208"/>
      <c r="I88" s="143"/>
    </row>
    <row r="89" ht="14.25" customHeight="1">
      <c r="G89" s="3"/>
      <c r="H89" s="208"/>
      <c r="I89" s="143"/>
    </row>
    <row r="90" ht="14.25" customHeight="1">
      <c r="A90" s="218"/>
      <c r="B90" s="219"/>
      <c r="C90" s="219"/>
      <c r="D90" s="219"/>
      <c r="E90" s="219"/>
      <c r="F90" s="219"/>
      <c r="G90" s="3"/>
      <c r="H90" s="219"/>
      <c r="I90" s="225"/>
    </row>
    <row r="91" ht="14.25" customHeight="1">
      <c r="G91" s="3"/>
      <c r="H91" s="208"/>
      <c r="I91" s="143"/>
    </row>
    <row r="92" ht="14.25" customHeight="1">
      <c r="G92" s="3"/>
      <c r="H92" s="208"/>
      <c r="I92" s="143"/>
    </row>
    <row r="93" ht="14.25" customHeight="1">
      <c r="A93" s="218"/>
      <c r="B93" s="219"/>
      <c r="C93" s="219"/>
      <c r="D93" s="219"/>
      <c r="E93" s="219"/>
      <c r="F93" s="219"/>
      <c r="G93" s="3"/>
      <c r="H93" s="219"/>
      <c r="I93" s="225"/>
    </row>
    <row r="94" ht="14.25" customHeight="1">
      <c r="G94" s="3"/>
      <c r="H94" s="208"/>
      <c r="I94" s="143"/>
    </row>
    <row r="95" ht="14.25" customHeight="1">
      <c r="G95" s="3"/>
      <c r="H95" s="208"/>
      <c r="I95" s="143"/>
    </row>
    <row r="96" ht="14.25" customHeight="1">
      <c r="A96" s="218"/>
      <c r="B96" s="219"/>
      <c r="C96" s="219"/>
      <c r="D96" s="219"/>
      <c r="E96" s="219"/>
      <c r="F96" s="219"/>
      <c r="G96" s="3"/>
      <c r="H96" s="219"/>
      <c r="I96" s="225"/>
    </row>
    <row r="97" ht="14.25" customHeight="1">
      <c r="A97" s="218"/>
      <c r="B97" s="219"/>
      <c r="C97" s="219"/>
      <c r="D97" s="219"/>
      <c r="E97" s="219"/>
      <c r="F97" s="219"/>
      <c r="G97" s="3"/>
      <c r="H97" s="247"/>
      <c r="I97" s="225"/>
    </row>
    <row r="98" ht="14.25" customHeight="1">
      <c r="A98" s="218"/>
      <c r="B98" s="219"/>
      <c r="C98" s="219"/>
      <c r="D98" s="219"/>
      <c r="E98" s="219"/>
      <c r="F98" s="219"/>
      <c r="G98" s="3"/>
      <c r="H98" s="219"/>
      <c r="I98" s="22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1" width="8.71"/>
    <col customWidth="1" min="12" max="12" width="10.14"/>
    <col customWidth="1" min="13" max="13" width="30.29"/>
  </cols>
  <sheetData>
    <row r="1" ht="33.75" customHeight="1">
      <c r="A1" s="91" t="str">
        <f>'01_C&amp;P'!A1</f>
        <v>EDIFICIO LAS HERAS</v>
      </c>
      <c r="B1" s="91"/>
      <c r="C1" s="91"/>
      <c r="G1" s="3"/>
    </row>
    <row r="2" ht="14.25" customHeight="1">
      <c r="G2" s="3"/>
    </row>
    <row r="3" ht="23.25" customHeight="1">
      <c r="A3" s="195" t="str">
        <f>'01_C&amp;P'!A19</f>
        <v>0.10</v>
      </c>
      <c r="B3" s="196" t="str">
        <f>IF($A3=0,"",VLOOKUP($A3,'01_C&amp;P'!$A$9:$D$192,2,FALSE))</f>
        <v>EXCAVACION TENSORES</v>
      </c>
      <c r="C3" s="197"/>
      <c r="D3" s="197"/>
      <c r="E3" s="197"/>
      <c r="F3" s="197"/>
      <c r="G3" s="198"/>
      <c r="H3" s="199">
        <f>IF($A3=0,"",VLOOKUP($A3,'01_C&amp;P'!$A$9:$D$192,4,FALSE))</f>
        <v>5.4</v>
      </c>
      <c r="I3" s="200" t="str">
        <f>IF($A3=0,"",VLOOKUP($A3,'01_C&amp;P'!$A$9:$D$192,3,FALSE))</f>
        <v>m³</v>
      </c>
      <c r="M3" s="246" t="s">
        <v>1027</v>
      </c>
    </row>
    <row r="4" ht="14.25" customHeight="1">
      <c r="G4" s="3"/>
    </row>
    <row r="5" ht="14.25" customHeight="1">
      <c r="A5" s="201" t="s">
        <v>0</v>
      </c>
      <c r="B5" s="94"/>
      <c r="C5" s="94"/>
      <c r="D5" s="94"/>
      <c r="E5" s="94"/>
      <c r="F5" s="94"/>
      <c r="G5" s="2"/>
      <c r="H5" s="94"/>
      <c r="I5" s="94"/>
    </row>
    <row r="6" ht="14.25" customHeight="1">
      <c r="A6" s="202" t="s">
        <v>988</v>
      </c>
      <c r="B6" s="202" t="s">
        <v>989</v>
      </c>
      <c r="C6" s="202" t="s">
        <v>990</v>
      </c>
      <c r="D6" s="203" t="s">
        <v>991</v>
      </c>
      <c r="E6" s="197"/>
      <c r="F6" s="202" t="s">
        <v>992</v>
      </c>
      <c r="G6" s="4" t="s">
        <v>993</v>
      </c>
      <c r="H6" s="202" t="s">
        <v>994</v>
      </c>
      <c r="I6" s="202" t="s">
        <v>995</v>
      </c>
    </row>
    <row r="7" ht="14.25" customHeight="1">
      <c r="A7" s="229"/>
      <c r="B7" s="92" t="str">
        <f>IF($A7=0,"",VLOOKUP($A7,'00_Mat'!$A$4:$J$1135,2,FALSE))</f>
        <v/>
      </c>
      <c r="C7" s="92" t="str">
        <f>IF($A7=0,"",VLOOKUP($A7,'00_Mat'!$A$4:$J$1135,3,FALSE))</f>
        <v/>
      </c>
      <c r="D7" s="230">
        <f>H3</f>
        <v>5.4</v>
      </c>
      <c r="E7" s="204"/>
      <c r="F7" s="206">
        <v>0.1</v>
      </c>
      <c r="G7" s="221">
        <f t="shared" ref="G7:G18" si="1">ROUNDUP((D7+(D7*F7)),0)</f>
        <v>6</v>
      </c>
      <c r="H7" s="143" t="str">
        <f>IF($A7=0,"",VLOOKUP($A7,'00_Mat'!$A$4:$J$1135,5,FALSE))</f>
        <v/>
      </c>
      <c r="I7" s="143">
        <f t="shared" ref="I7:I18" si="2">G7*H7</f>
        <v>0</v>
      </c>
      <c r="J7" s="231" t="s">
        <v>548</v>
      </c>
    </row>
    <row r="8" ht="14.25" customHeight="1">
      <c r="A8" s="3"/>
      <c r="B8" s="92" t="str">
        <f>IF($A8=0,"",VLOOKUP($A8,'00_Mat'!$A$4:$J$1135,2,FALSE))</f>
        <v/>
      </c>
      <c r="C8" s="92" t="str">
        <f>IF($A8=0,"",VLOOKUP($A8,'00_Mat'!$A$4:$J$1135,3,FALSE))</f>
        <v/>
      </c>
      <c r="D8" s="230">
        <v>206.0</v>
      </c>
      <c r="E8" s="204"/>
      <c r="F8" s="206">
        <v>0.1</v>
      </c>
      <c r="G8" s="221">
        <f t="shared" si="1"/>
        <v>227</v>
      </c>
      <c r="H8" s="143" t="str">
        <f>IF($A8=0,"",VLOOKUP($A8,'00_Mat'!$A$4:$J$1135,5,FALSE))</f>
        <v/>
      </c>
      <c r="I8" s="143">
        <f t="shared" si="2"/>
        <v>0</v>
      </c>
      <c r="J8" s="153" t="s">
        <v>1028</v>
      </c>
    </row>
    <row r="9" ht="14.25" customHeight="1">
      <c r="A9" s="3"/>
      <c r="B9" s="92" t="str">
        <f>IF($A9=0,"",VLOOKUP($A9,'00_Mat'!$A$4:$J$1135,2,FALSE))</f>
        <v/>
      </c>
      <c r="C9" s="92" t="str">
        <f>IF($A9=0,"",VLOOKUP($A9,'00_Mat'!$A$4:$J$1135,3,FALSE))</f>
        <v/>
      </c>
      <c r="D9" s="229">
        <v>52.0</v>
      </c>
      <c r="E9" s="204"/>
      <c r="F9" s="206">
        <v>0.1</v>
      </c>
      <c r="G9" s="221">
        <f t="shared" si="1"/>
        <v>58</v>
      </c>
      <c r="H9" s="143" t="str">
        <f>IF($A9=0,"",VLOOKUP($A9,'00_Mat'!$A$4:$J$1135,5,FALSE))</f>
        <v/>
      </c>
      <c r="I9" s="143">
        <f t="shared" si="2"/>
        <v>0</v>
      </c>
    </row>
    <row r="10" ht="14.25" customHeight="1">
      <c r="A10" s="3"/>
      <c r="B10" s="92" t="str">
        <f>IF($A10=0,"",VLOOKUP($A10,'00_Mat'!$A$4:$J$1135,2,FALSE))</f>
        <v/>
      </c>
      <c r="C10" s="92" t="str">
        <f>IF($A10=0,"",VLOOKUP($A10,'00_Mat'!$A$4:$J$1135,3,FALSE))</f>
        <v/>
      </c>
      <c r="D10" s="229">
        <v>9.0</v>
      </c>
      <c r="E10" s="204"/>
      <c r="F10" s="206">
        <v>0.1</v>
      </c>
      <c r="G10" s="221">
        <f t="shared" si="1"/>
        <v>10</v>
      </c>
      <c r="H10" s="143" t="str">
        <f>IF($A10=0,"",VLOOKUP($A10,'00_Mat'!$A$4:$J$1135,5,FALSE))</f>
        <v/>
      </c>
      <c r="I10" s="143">
        <f t="shared" si="2"/>
        <v>0</v>
      </c>
    </row>
    <row r="11" ht="14.25" customHeight="1">
      <c r="A11" s="3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29">
        <v>54.0</v>
      </c>
      <c r="E11" s="204"/>
      <c r="F11" s="206">
        <v>0.1</v>
      </c>
      <c r="G11" s="221">
        <f t="shared" si="1"/>
        <v>60</v>
      </c>
      <c r="H11" s="143" t="str">
        <f>IF($A11=0,"",VLOOKUP($A11,'00_Mat'!$A$4:$J$1135,5,FALSE))</f>
        <v/>
      </c>
      <c r="I11" s="143">
        <f t="shared" si="2"/>
        <v>0</v>
      </c>
    </row>
    <row r="12" ht="14.25" customHeight="1">
      <c r="A12" s="3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29">
        <v>37.0</v>
      </c>
      <c r="E12" s="204"/>
      <c r="F12" s="206">
        <v>0.1</v>
      </c>
      <c r="G12" s="221">
        <f t="shared" si="1"/>
        <v>41</v>
      </c>
      <c r="H12" s="143" t="str">
        <f>IF($A12=0,"",VLOOKUP($A12,'00_Mat'!$A$4:$J$1135,5,FALSE))</f>
        <v/>
      </c>
      <c r="I12" s="143">
        <f t="shared" si="2"/>
        <v>0</v>
      </c>
    </row>
    <row r="13" ht="14.25" customHeight="1">
      <c r="A13" s="20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29">
        <v>9.0</v>
      </c>
      <c r="E13" s="204"/>
      <c r="F13" s="206">
        <v>0.1</v>
      </c>
      <c r="G13" s="221">
        <f t="shared" si="1"/>
        <v>10</v>
      </c>
      <c r="H13" s="143" t="str">
        <f>IF($A13=0,"",VLOOKUP($A13,'00_Mat'!$A$4:$J$1135,5,FALSE))</f>
        <v/>
      </c>
      <c r="I13" s="143">
        <f t="shared" si="2"/>
        <v>0</v>
      </c>
    </row>
    <row r="14" ht="14.25" customHeight="1">
      <c r="A14" s="3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29">
        <v>0.0</v>
      </c>
      <c r="E14" s="204"/>
      <c r="F14" s="236">
        <v>0.25</v>
      </c>
      <c r="G14" s="221">
        <f t="shared" si="1"/>
        <v>0</v>
      </c>
      <c r="H14" s="143" t="str">
        <f>IF($A14=0,"",VLOOKUP($A14,'00_Mat'!$A$4:$J$1135,5,FALSE))</f>
        <v/>
      </c>
      <c r="I14" s="143">
        <f t="shared" si="2"/>
        <v>0</v>
      </c>
      <c r="J14" s="153" t="s">
        <v>1029</v>
      </c>
    </row>
    <row r="15" ht="14.25" customHeight="1">
      <c r="A15" s="3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29">
        <f>92</f>
        <v>92</v>
      </c>
      <c r="E15" s="204"/>
      <c r="F15" s="236">
        <v>0.2</v>
      </c>
      <c r="G15" s="221">
        <f t="shared" si="1"/>
        <v>111</v>
      </c>
      <c r="H15" s="143" t="str">
        <f>IF($A15=0,"",VLOOKUP($A15,'00_Mat'!$A$4:$J$1135,5,FALSE))</f>
        <v/>
      </c>
      <c r="I15" s="143">
        <f t="shared" si="2"/>
        <v>0</v>
      </c>
      <c r="J15" s="153" t="s">
        <v>1030</v>
      </c>
    </row>
    <row r="16" ht="14.25" customHeight="1">
      <c r="A16" s="3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29">
        <v>1.0</v>
      </c>
      <c r="E16" s="204"/>
      <c r="F16" s="206"/>
      <c r="G16" s="221">
        <f t="shared" si="1"/>
        <v>1</v>
      </c>
      <c r="H16" s="143" t="str">
        <f>IF($A16=0,"",VLOOKUP($A16,'00_Mat'!$A$4:$J$1135,5,FALSE))</f>
        <v/>
      </c>
      <c r="I16" s="143">
        <f t="shared" si="2"/>
        <v>0</v>
      </c>
      <c r="J16" s="153" t="s">
        <v>1031</v>
      </c>
    </row>
    <row r="17" ht="14.25" customHeight="1">
      <c r="A17" s="3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05">
        <f>D7</f>
        <v>5.4</v>
      </c>
      <c r="E17" s="204"/>
      <c r="F17" s="206">
        <v>0.1</v>
      </c>
      <c r="G17" s="221">
        <f t="shared" si="1"/>
        <v>6</v>
      </c>
      <c r="H17" s="143" t="str">
        <f>IF($A17=0,"",VLOOKUP($A17,'00_Mat'!$A$4:$J$1135,5,FALSE))</f>
        <v/>
      </c>
      <c r="I17" s="143">
        <f t="shared" si="2"/>
        <v>0</v>
      </c>
      <c r="J17" s="153" t="s">
        <v>1032</v>
      </c>
    </row>
    <row r="18" ht="14.25" customHeight="1">
      <c r="A18" s="204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04"/>
      <c r="E18" s="204"/>
      <c r="F18" s="206">
        <v>0.1</v>
      </c>
      <c r="G18" s="221">
        <f t="shared" si="1"/>
        <v>0</v>
      </c>
      <c r="H18" s="143" t="str">
        <f>IF($A18=0,"",VLOOKUP($A18,'00_Mat'!$A$4:$J$1135,5,FALSE))</f>
        <v/>
      </c>
      <c r="I18" s="143">
        <f t="shared" si="2"/>
        <v>0</v>
      </c>
    </row>
    <row r="19" ht="14.25" customHeight="1">
      <c r="F19" s="208"/>
      <c r="G19" s="3"/>
      <c r="H19" s="143"/>
      <c r="I19" s="143"/>
    </row>
    <row r="20" ht="14.25" customHeight="1">
      <c r="A20" s="222" t="s">
        <v>996</v>
      </c>
      <c r="B20" s="223"/>
      <c r="C20" s="223"/>
      <c r="D20" s="223"/>
      <c r="E20" s="223"/>
      <c r="F20" s="223"/>
      <c r="G20" s="211"/>
      <c r="H20" s="223"/>
      <c r="I20" s="224">
        <f>SUM(I7:I18)</f>
        <v>0</v>
      </c>
      <c r="J20" s="92"/>
      <c r="K20" s="92"/>
      <c r="L20" s="92"/>
    </row>
    <row r="21" ht="14.25" customHeight="1">
      <c r="A21" s="232" t="str">
        <f>$I$3</f>
        <v>m³</v>
      </c>
      <c r="B21" s="233"/>
      <c r="C21" s="233"/>
      <c r="D21" s="233"/>
      <c r="E21" s="233"/>
      <c r="F21" s="233"/>
      <c r="G21" s="21"/>
      <c r="H21" s="233"/>
      <c r="I21" s="205">
        <f>$H$3</f>
        <v>5.4</v>
      </c>
      <c r="J21" s="92"/>
      <c r="K21" s="92"/>
      <c r="L21" s="92"/>
    </row>
    <row r="22" ht="14.25" customHeight="1">
      <c r="A22" s="234" t="s">
        <v>997</v>
      </c>
      <c r="B22" s="232" t="str">
        <f>A21</f>
        <v>m³</v>
      </c>
      <c r="C22" s="233"/>
      <c r="D22" s="233"/>
      <c r="E22" s="233"/>
      <c r="F22" s="233"/>
      <c r="G22" s="21"/>
      <c r="H22" s="233"/>
      <c r="I22" s="235">
        <f>I20/I21</f>
        <v>0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01" t="s">
        <v>998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02" t="s">
        <v>988</v>
      </c>
      <c r="B26" s="202" t="s">
        <v>989</v>
      </c>
      <c r="C26" s="202" t="s">
        <v>990</v>
      </c>
      <c r="D26" s="202" t="s">
        <v>991</v>
      </c>
      <c r="E26" s="202" t="s">
        <v>999</v>
      </c>
      <c r="F26" s="202" t="s">
        <v>992</v>
      </c>
      <c r="G26" s="4" t="s">
        <v>993</v>
      </c>
      <c r="H26" s="202" t="s">
        <v>994</v>
      </c>
      <c r="I26" s="202" t="s">
        <v>995</v>
      </c>
    </row>
    <row r="27" ht="14.25" customHeight="1">
      <c r="A27" s="61" t="s">
        <v>621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29">
        <v>1.0</v>
      </c>
      <c r="E27" s="229">
        <v>0.0</v>
      </c>
      <c r="F27" s="236">
        <v>0.25</v>
      </c>
      <c r="G27" s="217">
        <f t="shared" ref="G27:G32" si="3">ROUNDUP(((D27*E27)*(1+F27)),0)</f>
        <v>0</v>
      </c>
      <c r="H27" s="143">
        <f>IF($A27=0,"",VLOOKUP($A27,'00_MO'!$A$4:$D$7,4,FALSE))</f>
        <v>120000</v>
      </c>
      <c r="I27" s="143">
        <f t="shared" ref="I27:I32" si="4">G27*H27</f>
        <v>0</v>
      </c>
    </row>
    <row r="28" ht="14.25" customHeight="1">
      <c r="A28" s="61" t="s">
        <v>623</v>
      </c>
      <c r="B28" s="92" t="str">
        <f>IF($A28=0,"",VLOOKUP($A28,'00_MO'!$A$4:$D$7,2,FALSE))</f>
        <v>Puntero</v>
      </c>
      <c r="C28" s="92" t="str">
        <f>IF($A28=0,"",VLOOKUP($A28,'00_MO'!$A$4:$D$7,3,FALSE))</f>
        <v>u</v>
      </c>
      <c r="D28" s="229">
        <v>2.0</v>
      </c>
      <c r="E28" s="229"/>
      <c r="F28" s="236">
        <v>0.25</v>
      </c>
      <c r="G28" s="217">
        <f t="shared" si="3"/>
        <v>0</v>
      </c>
      <c r="H28" s="143">
        <f>IF($A28=0,"",VLOOKUP($A28,'00_MO'!$A$4:$D$7,4,FALSE))</f>
        <v>105000</v>
      </c>
      <c r="I28" s="143">
        <f t="shared" si="4"/>
        <v>0</v>
      </c>
    </row>
    <row r="29" ht="14.25" customHeight="1">
      <c r="A29" s="61" t="s">
        <v>625</v>
      </c>
      <c r="B29" s="92" t="str">
        <f>IF($A29=0,"",VLOOKUP($A29,'00_MO'!$A$4:$D$7,2,FALSE))</f>
        <v>Oficial</v>
      </c>
      <c r="C29" s="92" t="str">
        <f>IF($A29=0,"",VLOOKUP($A29,'00_MO'!$A$4:$D$7,3,FALSE))</f>
        <v>u</v>
      </c>
      <c r="D29" s="229">
        <v>3.0</v>
      </c>
      <c r="E29" s="229"/>
      <c r="F29" s="236">
        <v>0.25</v>
      </c>
      <c r="G29" s="217">
        <f t="shared" si="3"/>
        <v>0</v>
      </c>
      <c r="H29" s="143">
        <f>IF($A29=0,"",VLOOKUP($A29,'00_MO'!$A$4:$D$7,4,FALSE))</f>
        <v>90000</v>
      </c>
      <c r="I29" s="143">
        <f t="shared" si="4"/>
        <v>0</v>
      </c>
    </row>
    <row r="30" ht="14.25" customHeight="1">
      <c r="A30" s="61" t="s">
        <v>627</v>
      </c>
      <c r="B30" s="92" t="str">
        <f>IF($A30=0,"",VLOOKUP($A30,'00_MO'!$A$4:$D$7,2,FALSE))</f>
        <v>Ayudante</v>
      </c>
      <c r="C30" s="92" t="str">
        <f>IF($A30=0,"",VLOOKUP($A30,'00_MO'!$A$4:$D$7,3,FALSE))</f>
        <v>u</v>
      </c>
      <c r="D30" s="229">
        <v>3.0</v>
      </c>
      <c r="E30" s="229"/>
      <c r="F30" s="236">
        <v>0.25</v>
      </c>
      <c r="G30" s="217">
        <f t="shared" si="3"/>
        <v>0</v>
      </c>
      <c r="H30" s="143">
        <f>IF($A30=0,"",VLOOKUP($A30,'00_MO'!$A$4:$D$7,4,FALSE))</f>
        <v>60000</v>
      </c>
      <c r="I30" s="143">
        <f t="shared" si="4"/>
        <v>0</v>
      </c>
    </row>
    <row r="31" ht="14.25" customHeight="1">
      <c r="A31" s="204"/>
      <c r="B31" s="92" t="str">
        <f>IF($A31=0,"",VLOOKUP($A31,'00_MO'!$A$4:$D$7,2,FALSE))</f>
        <v/>
      </c>
      <c r="C31" s="92" t="str">
        <f>IF($A31=0,"",VLOOKUP($A31,'00_MO'!$A$4:$D$7,3,FALSE))</f>
        <v/>
      </c>
      <c r="D31" s="204"/>
      <c r="E31" s="229"/>
      <c r="F31" s="206"/>
      <c r="G31" s="217">
        <f t="shared" si="3"/>
        <v>0</v>
      </c>
      <c r="H31" s="143" t="str">
        <f>IF($A31=0,"",VLOOKUP($A31,'00_MO'!$A$4:$D$7,4,FALSE))</f>
        <v/>
      </c>
      <c r="I31" s="143">
        <f t="shared" si="4"/>
        <v>0</v>
      </c>
    </row>
    <row r="32" ht="14.25" customHeight="1">
      <c r="A32" s="204"/>
      <c r="B32" s="92" t="str">
        <f>IF($A32=0,"",VLOOKUP($A32,'00_MO'!$A$4:$D$7,2,FALSE))</f>
        <v/>
      </c>
      <c r="C32" s="92" t="str">
        <f>IF($A32=0,"",VLOOKUP($A32,'00_MO'!$A$4:$D$7,3,FALSE))</f>
        <v/>
      </c>
      <c r="D32" s="204"/>
      <c r="E32" s="204"/>
      <c r="F32" s="206"/>
      <c r="G32" s="217">
        <f t="shared" si="3"/>
        <v>0</v>
      </c>
      <c r="H32" s="143" t="str">
        <f>IF($A32=0,"",VLOOKUP($A32,'00_MO'!$A$4:$D$7,4,FALSE))</f>
        <v/>
      </c>
      <c r="I32" s="143">
        <f t="shared" si="4"/>
        <v>0</v>
      </c>
    </row>
    <row r="33" ht="14.25" customHeight="1">
      <c r="F33" s="208"/>
      <c r="G33" s="3"/>
      <c r="H33" s="143"/>
      <c r="I33" s="143"/>
    </row>
    <row r="34" ht="14.25" customHeight="1">
      <c r="A34" s="222" t="s">
        <v>987</v>
      </c>
      <c r="B34" s="223"/>
      <c r="C34" s="223"/>
      <c r="D34" s="223"/>
      <c r="E34" s="223"/>
      <c r="F34" s="223"/>
      <c r="G34" s="211"/>
      <c r="H34" s="223"/>
      <c r="I34" s="224">
        <f>SUM(I27:I32)</f>
        <v>0</v>
      </c>
    </row>
    <row r="35" ht="14.25" customHeight="1">
      <c r="A35" s="232" t="str">
        <f>$I$3</f>
        <v>m³</v>
      </c>
      <c r="B35" s="233"/>
      <c r="C35" s="233"/>
      <c r="D35" s="233"/>
      <c r="E35" s="233"/>
      <c r="F35" s="233"/>
      <c r="G35" s="21"/>
      <c r="H35" s="233"/>
      <c r="I35" s="205">
        <f>$H$3</f>
        <v>5.4</v>
      </c>
      <c r="J35" s="92"/>
      <c r="K35" s="92"/>
      <c r="L35" s="92"/>
    </row>
    <row r="36" ht="14.25" customHeight="1">
      <c r="A36" s="234" t="s">
        <v>997</v>
      </c>
      <c r="B36" s="232" t="str">
        <f>A35</f>
        <v>m³</v>
      </c>
      <c r="C36" s="233"/>
      <c r="D36" s="233"/>
      <c r="E36" s="233"/>
      <c r="F36" s="233"/>
      <c r="G36" s="21"/>
      <c r="H36" s="233"/>
      <c r="I36" s="235">
        <f>I34/I35</f>
        <v>0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01" t="s">
        <v>1000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02" t="s">
        <v>988</v>
      </c>
      <c r="B40" s="202" t="s">
        <v>989</v>
      </c>
      <c r="C40" s="202" t="s">
        <v>990</v>
      </c>
      <c r="D40" s="202" t="s">
        <v>991</v>
      </c>
      <c r="E40" s="202" t="s">
        <v>999</v>
      </c>
      <c r="F40" s="202" t="s">
        <v>992</v>
      </c>
      <c r="G40" s="4" t="s">
        <v>993</v>
      </c>
      <c r="H40" s="202" t="s">
        <v>994</v>
      </c>
      <c r="I40" s="202" t="s">
        <v>995</v>
      </c>
    </row>
    <row r="41" ht="14.25" customHeight="1">
      <c r="A41" s="3" t="s">
        <v>665</v>
      </c>
      <c r="B41" s="92" t="str">
        <f>IF($A41=0,"",VLOOKUP($A41,'00_Eq'!$A$4:$D$100,2,FALSE))</f>
        <v>EXCAVACION Y RETIRO</v>
      </c>
      <c r="C41" s="92" t="str">
        <f>IF($A41=0,"",VLOOKUP($A41,'00_Eq'!$A$4:$D$100,3,FALSE))</f>
        <v>m3</v>
      </c>
      <c r="D41" s="205">
        <f>H3</f>
        <v>5.4</v>
      </c>
      <c r="E41" s="229">
        <v>1.0</v>
      </c>
      <c r="F41" s="236">
        <v>0.5</v>
      </c>
      <c r="G41" s="217">
        <f t="shared" ref="G41:G46" si="5">ROUNDUP(((D41*E41)*(1+F41)),0)</f>
        <v>9</v>
      </c>
      <c r="H41" s="143">
        <f>IF($A41=0,"",VLOOKUP($A41,'00_Eq'!$A$4:$D$100,4,FALSE))</f>
        <v>30000</v>
      </c>
      <c r="I41" s="143">
        <f t="shared" ref="I41:I44" si="6">G41*H41</f>
        <v>270000</v>
      </c>
    </row>
    <row r="42" ht="14.25" customHeight="1">
      <c r="A42" s="204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04"/>
      <c r="E42" s="204"/>
      <c r="F42" s="206"/>
      <c r="G42" s="217">
        <f t="shared" si="5"/>
        <v>0</v>
      </c>
      <c r="H42" s="143" t="str">
        <f>IF($A42=0,"",VLOOKUP($A42,'00_Eq'!$A$4:$D$100,4,FALSE))</f>
        <v/>
      </c>
      <c r="I42" s="143">
        <f t="shared" si="6"/>
        <v>0</v>
      </c>
    </row>
    <row r="43" ht="14.25" customHeight="1">
      <c r="A43" s="204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04"/>
      <c r="E43" s="204"/>
      <c r="F43" s="206"/>
      <c r="G43" s="217">
        <f t="shared" si="5"/>
        <v>0</v>
      </c>
      <c r="H43" s="143" t="str">
        <f>IF($A43=0,"",VLOOKUP($A43,'00_Eq'!$A$4:$D$100,4,FALSE))</f>
        <v/>
      </c>
      <c r="I43" s="143">
        <f t="shared" si="6"/>
        <v>0</v>
      </c>
    </row>
    <row r="44" ht="14.25" customHeight="1">
      <c r="A44" s="204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04"/>
      <c r="E44" s="204"/>
      <c r="F44" s="206"/>
      <c r="G44" s="217">
        <f t="shared" si="5"/>
        <v>0</v>
      </c>
      <c r="H44" s="143" t="str">
        <f>IF($A44=0,"",VLOOKUP($A44,'00_Eq'!$A$4:$D$100,4,FALSE))</f>
        <v/>
      </c>
      <c r="I44" s="143">
        <f t="shared" si="6"/>
        <v>0</v>
      </c>
    </row>
    <row r="45" ht="14.25" customHeight="1">
      <c r="A45" s="204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04"/>
      <c r="E45" s="204"/>
      <c r="F45" s="206"/>
      <c r="G45" s="217">
        <f t="shared" si="5"/>
        <v>0</v>
      </c>
      <c r="H45" s="143" t="str">
        <f>IF($A45=0,"",VLOOKUP($A45,'00_Eq'!$A$4:$D$100,4,FALSE))</f>
        <v/>
      </c>
      <c r="I45" s="143"/>
    </row>
    <row r="46" ht="14.25" customHeight="1">
      <c r="A46" s="204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04"/>
      <c r="E46" s="204"/>
      <c r="F46" s="206"/>
      <c r="G46" s="217">
        <f t="shared" si="5"/>
        <v>0</v>
      </c>
      <c r="H46" s="143" t="str">
        <f>IF($A46=0,"",VLOOKUP($A46,'00_Eq'!$A$4:$D$100,4,FALSE))</f>
        <v/>
      </c>
      <c r="I46" s="143"/>
    </row>
    <row r="47" ht="14.25" customHeight="1">
      <c r="F47" s="208"/>
      <c r="G47" s="3"/>
      <c r="H47" s="143"/>
      <c r="I47" s="143"/>
    </row>
    <row r="48" ht="14.25" customHeight="1">
      <c r="A48" s="222" t="s">
        <v>987</v>
      </c>
      <c r="B48" s="223"/>
      <c r="C48" s="223"/>
      <c r="D48" s="223"/>
      <c r="E48" s="223"/>
      <c r="F48" s="223"/>
      <c r="G48" s="211"/>
      <c r="H48" s="223"/>
      <c r="I48" s="224">
        <f>SUM(I41:I46)</f>
        <v>270000</v>
      </c>
    </row>
    <row r="49" ht="14.25" customHeight="1">
      <c r="A49" s="232" t="str">
        <f>$I$3</f>
        <v>m³</v>
      </c>
      <c r="B49" s="233"/>
      <c r="C49" s="233"/>
      <c r="D49" s="233"/>
      <c r="E49" s="233"/>
      <c r="F49" s="233"/>
      <c r="G49" s="21"/>
      <c r="H49" s="233"/>
      <c r="I49" s="205">
        <f>$H$3</f>
        <v>5.4</v>
      </c>
      <c r="J49" s="92"/>
      <c r="K49" s="92"/>
      <c r="L49" s="92"/>
    </row>
    <row r="50" ht="14.25" customHeight="1">
      <c r="A50" s="234" t="s">
        <v>997</v>
      </c>
      <c r="B50" s="232" t="str">
        <f>A49</f>
        <v>m³</v>
      </c>
      <c r="C50" s="233"/>
      <c r="D50" s="233"/>
      <c r="E50" s="233"/>
      <c r="F50" s="233"/>
      <c r="G50" s="21"/>
      <c r="H50" s="233"/>
      <c r="I50" s="235">
        <f>I48/I49</f>
        <v>50000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01" t="s">
        <v>1010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02" t="s">
        <v>988</v>
      </c>
      <c r="B54" s="202" t="s">
        <v>989</v>
      </c>
      <c r="C54" s="202" t="s">
        <v>990</v>
      </c>
      <c r="D54" s="202" t="s">
        <v>991</v>
      </c>
      <c r="E54" s="202"/>
      <c r="F54" s="202" t="s">
        <v>992</v>
      </c>
      <c r="G54" s="4" t="s">
        <v>993</v>
      </c>
      <c r="H54" s="202" t="s">
        <v>994</v>
      </c>
      <c r="I54" s="202" t="s">
        <v>995</v>
      </c>
    </row>
    <row r="55" ht="14.25" customHeight="1">
      <c r="A55" s="3"/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30"/>
      <c r="E55" s="204"/>
      <c r="F55" s="236">
        <v>0.1</v>
      </c>
      <c r="G55" s="221">
        <f t="shared" ref="G55:G60" si="7">ROUNDUP((D55+(D55*F55)),0)</f>
        <v>0</v>
      </c>
      <c r="H55" s="143" t="str">
        <f>IF($A55=0,"",VLOOKUP($A55,'00_Mat'!$A$4:$J$1135,5,FALSE))</f>
        <v/>
      </c>
      <c r="I55" s="143">
        <f t="shared" ref="I55:I60" si="8">G55*H55</f>
        <v>0</v>
      </c>
      <c r="J55" s="237"/>
    </row>
    <row r="56" ht="14.25" customHeight="1">
      <c r="A56" s="3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0"/>
      <c r="E56" s="204"/>
      <c r="F56" s="236">
        <v>0.1</v>
      </c>
      <c r="G56" s="221">
        <f t="shared" si="7"/>
        <v>0</v>
      </c>
      <c r="H56" s="143" t="str">
        <f>IF($A56=0,"",VLOOKUP($A56,'00_Mat'!$A$4:$J$1135,5,FALSE))</f>
        <v/>
      </c>
      <c r="I56" s="143">
        <f t="shared" si="8"/>
        <v>0</v>
      </c>
      <c r="J56" s="237"/>
    </row>
    <row r="57" ht="14.25" customHeight="1">
      <c r="A57" s="3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0">
        <v>20.0</v>
      </c>
      <c r="E57" s="204"/>
      <c r="F57" s="236">
        <v>0.1</v>
      </c>
      <c r="G57" s="221">
        <f t="shared" si="7"/>
        <v>22</v>
      </c>
      <c r="H57" s="143" t="str">
        <f>IF($A57=0,"",VLOOKUP($A57,'00_Mat'!$A$4:$J$1135,5,FALSE))</f>
        <v/>
      </c>
      <c r="I57" s="143">
        <f t="shared" si="8"/>
        <v>0</v>
      </c>
      <c r="J57" s="153" t="s">
        <v>1013</v>
      </c>
      <c r="L57" s="153" t="s">
        <v>1011</v>
      </c>
      <c r="M57" s="153" t="s">
        <v>1012</v>
      </c>
    </row>
    <row r="58" ht="14.25" customHeight="1">
      <c r="A58" s="20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0">
        <v>2.0</v>
      </c>
      <c r="E58" s="204"/>
      <c r="F58" s="236">
        <v>0.1</v>
      </c>
      <c r="G58" s="221">
        <f t="shared" si="7"/>
        <v>3</v>
      </c>
      <c r="H58" s="143" t="str">
        <f>IF($A58=0,"",VLOOKUP($A58,'00_Mat'!$A$4:$J$1135,5,FALSE))</f>
        <v/>
      </c>
      <c r="I58" s="143">
        <f t="shared" si="8"/>
        <v>0</v>
      </c>
      <c r="J58" s="153" t="s">
        <v>1033</v>
      </c>
    </row>
    <row r="59" ht="14.25" customHeight="1">
      <c r="C59" s="92" t="str">
        <f>IF($A58=0,"",VLOOKUP($A58,'00_Mat'!$A$4:$J$1135,3,FALSE))</f>
        <v/>
      </c>
      <c r="D59" s="230"/>
      <c r="E59" s="204"/>
      <c r="F59" s="236">
        <v>0.1</v>
      </c>
      <c r="G59" s="221">
        <f t="shared" si="7"/>
        <v>0</v>
      </c>
      <c r="H59" s="143" t="str">
        <f>IF($A59=0,"",VLOOKUP($A59,'00_Mat'!$A$4:$J$1135,5,FALSE))</f>
        <v/>
      </c>
      <c r="I59" s="143">
        <f t="shared" si="8"/>
        <v>0</v>
      </c>
    </row>
    <row r="60" ht="14.25" customHeight="1">
      <c r="A60" s="204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05"/>
      <c r="E60" s="204"/>
      <c r="F60" s="206"/>
      <c r="G60" s="221">
        <f t="shared" si="7"/>
        <v>0</v>
      </c>
      <c r="H60" s="143" t="str">
        <f>IF($A60=0,"",VLOOKUP($A60,'00_Mat'!$A$4:$J$1135,5,FALSE))</f>
        <v/>
      </c>
      <c r="I60" s="143">
        <f t="shared" si="8"/>
        <v>0</v>
      </c>
    </row>
    <row r="61" ht="14.25" customHeight="1">
      <c r="F61" s="208"/>
      <c r="G61" s="3"/>
      <c r="H61" s="143"/>
      <c r="I61" s="143"/>
    </row>
    <row r="62" ht="14.25" customHeight="1">
      <c r="A62" s="222" t="s">
        <v>987</v>
      </c>
      <c r="B62" s="223"/>
      <c r="C62" s="223"/>
      <c r="D62" s="223"/>
      <c r="E62" s="223"/>
      <c r="F62" s="223"/>
      <c r="G62" s="211"/>
      <c r="H62" s="223"/>
      <c r="I62" s="224">
        <f>SUM(I55:I60)</f>
        <v>0</v>
      </c>
    </row>
    <row r="63" ht="14.25" customHeight="1">
      <c r="A63" s="232" t="str">
        <f>$I$3</f>
        <v>m³</v>
      </c>
      <c r="B63" s="233"/>
      <c r="C63" s="233"/>
      <c r="D63" s="233"/>
      <c r="E63" s="233"/>
      <c r="F63" s="233"/>
      <c r="G63" s="21"/>
      <c r="H63" s="233"/>
      <c r="I63" s="205">
        <f>$H$3</f>
        <v>5.4</v>
      </c>
      <c r="J63" s="92"/>
      <c r="K63" s="92"/>
      <c r="L63" s="92"/>
    </row>
    <row r="64" ht="14.25" customHeight="1">
      <c r="A64" s="234" t="s">
        <v>997</v>
      </c>
      <c r="B64" s="232" t="str">
        <f>A63</f>
        <v>m³</v>
      </c>
      <c r="C64" s="233"/>
      <c r="D64" s="233"/>
      <c r="E64" s="233"/>
      <c r="F64" s="233"/>
      <c r="G64" s="21"/>
      <c r="H64" s="233"/>
      <c r="I64" s="235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01" t="s">
        <v>1025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02" t="s">
        <v>988</v>
      </c>
      <c r="B68" s="202" t="s">
        <v>989</v>
      </c>
      <c r="C68" s="202" t="s">
        <v>990</v>
      </c>
      <c r="D68" s="202" t="s">
        <v>991</v>
      </c>
      <c r="E68" s="202" t="s">
        <v>999</v>
      </c>
      <c r="F68" s="202" t="s">
        <v>992</v>
      </c>
      <c r="G68" s="4" t="s">
        <v>993</v>
      </c>
      <c r="H68" s="202" t="s">
        <v>994</v>
      </c>
      <c r="I68" s="202" t="s">
        <v>995</v>
      </c>
    </row>
    <row r="69" ht="14.25" customHeight="1">
      <c r="A69" s="204"/>
      <c r="B69" s="92" t="str">
        <f>IF($A69=0,"",VLOOKUP($A69,'00_Sub'!$A$4:$D$1007,2,FALSE))</f>
        <v/>
      </c>
      <c r="C69" s="92" t="str">
        <f>IF($A69=0,"",VLOOKUP($A69,'00_Sub'!$A$4:$D$1007,3,FALSE))</f>
        <v/>
      </c>
      <c r="D69" s="204"/>
      <c r="E69" s="204"/>
      <c r="F69" s="206"/>
      <c r="G69" s="221">
        <f t="shared" ref="G69:G74" si="9">ROUNDUP((D69+(D69*F69)),0)</f>
        <v>0</v>
      </c>
      <c r="H69" s="143" t="str">
        <f>IF($A69=0,"",VLOOKUP($A69,'00_Sub'!$A$4:$D$1007,4,FALSE))</f>
        <v/>
      </c>
      <c r="I69" s="143"/>
    </row>
    <row r="70" ht="14.25" customHeight="1">
      <c r="A70" s="204"/>
      <c r="B70" s="92" t="str">
        <f>IF($A70=0,"",VLOOKUP($A70,'00_Sub'!$A$4:$D$1007,2,FALSE))</f>
        <v/>
      </c>
      <c r="C70" s="92" t="str">
        <f>IF($A70=0,"",VLOOKUP($A70,'00_Sub'!$A$4:$D$1007,3,FALSE))</f>
        <v/>
      </c>
      <c r="D70" s="204"/>
      <c r="E70" s="204"/>
      <c r="F70" s="206"/>
      <c r="G70" s="221">
        <f t="shared" si="9"/>
        <v>0</v>
      </c>
      <c r="H70" s="143" t="str">
        <f>IF($A70=0,"",VLOOKUP($A70,'00_Sub'!$A$4:$D$1007,4,FALSE))</f>
        <v/>
      </c>
      <c r="I70" s="143"/>
    </row>
    <row r="71" ht="14.25" customHeight="1">
      <c r="A71" s="204"/>
      <c r="B71" s="92" t="str">
        <f>IF($A71=0,"",VLOOKUP($A71,'00_Sub'!$A$4:$D$1007,2,FALSE))</f>
        <v/>
      </c>
      <c r="C71" s="92" t="str">
        <f>IF($A71=0,"",VLOOKUP($A71,'00_Sub'!$A$4:$D$1007,3,FALSE))</f>
        <v/>
      </c>
      <c r="D71" s="204"/>
      <c r="E71" s="204"/>
      <c r="F71" s="206"/>
      <c r="G71" s="221">
        <f t="shared" si="9"/>
        <v>0</v>
      </c>
      <c r="H71" s="143" t="str">
        <f>IF($A71=0,"",VLOOKUP($A71,'00_Sub'!$A$4:$D$1007,4,FALSE))</f>
        <v/>
      </c>
      <c r="I71" s="143"/>
    </row>
    <row r="72" ht="14.25" customHeight="1">
      <c r="A72" s="204"/>
      <c r="B72" s="92" t="str">
        <f>IF($A72=0,"",VLOOKUP($A72,'00_Sub'!$A$4:$D$1007,2,FALSE))</f>
        <v/>
      </c>
      <c r="C72" s="92" t="str">
        <f>IF($A72=0,"",VLOOKUP($A72,'00_Sub'!$A$4:$D$1007,3,FALSE))</f>
        <v/>
      </c>
      <c r="D72" s="204"/>
      <c r="E72" s="204"/>
      <c r="F72" s="206"/>
      <c r="G72" s="221">
        <f t="shared" si="9"/>
        <v>0</v>
      </c>
      <c r="H72" s="143" t="str">
        <f>IF($A72=0,"",VLOOKUP($A72,'00_Sub'!$A$4:$D$1007,4,FALSE))</f>
        <v/>
      </c>
      <c r="I72" s="143"/>
    </row>
    <row r="73" ht="14.25" customHeight="1">
      <c r="A73" s="204"/>
      <c r="B73" s="92" t="str">
        <f>IF($A73=0,"",VLOOKUP($A73,'00_Sub'!$A$4:$D$1007,2,FALSE))</f>
        <v/>
      </c>
      <c r="C73" s="92" t="str">
        <f>IF($A73=0,"",VLOOKUP($A73,'00_Sub'!$A$4:$D$1007,3,FALSE))</f>
        <v/>
      </c>
      <c r="D73" s="204"/>
      <c r="E73" s="204"/>
      <c r="F73" s="206"/>
      <c r="G73" s="221">
        <f t="shared" si="9"/>
        <v>0</v>
      </c>
      <c r="H73" s="143" t="str">
        <f>IF($A73=0,"",VLOOKUP($A73,'00_Sub'!$A$4:$D$1007,4,FALSE))</f>
        <v/>
      </c>
      <c r="I73" s="143"/>
    </row>
    <row r="74" ht="14.25" customHeight="1">
      <c r="A74" s="204"/>
      <c r="B74" s="92" t="str">
        <f>IF($A74=0,"",VLOOKUP($A74,'00_Sub'!$A$4:$D$1007,2,FALSE))</f>
        <v/>
      </c>
      <c r="C74" s="92" t="str">
        <f>IF($A74=0,"",VLOOKUP($A74,'00_Sub'!$A$4:$D$1007,3,FALSE))</f>
        <v/>
      </c>
      <c r="D74" s="204"/>
      <c r="E74" s="204"/>
      <c r="F74" s="206"/>
      <c r="G74" s="221">
        <f t="shared" si="9"/>
        <v>0</v>
      </c>
      <c r="H74" s="143" t="str">
        <f>IF($A74=0,"",VLOOKUP($A74,'00_Sub'!$A$4:$D$1007,4,FALSE))</f>
        <v/>
      </c>
      <c r="I74" s="143"/>
    </row>
    <row r="75" ht="14.25" customHeight="1">
      <c r="F75" s="208"/>
      <c r="G75" s="3"/>
      <c r="H75" s="143"/>
      <c r="I75" s="143"/>
    </row>
    <row r="76" ht="14.25" customHeight="1">
      <c r="A76" s="222" t="s">
        <v>987</v>
      </c>
      <c r="B76" s="223"/>
      <c r="C76" s="223"/>
      <c r="D76" s="223"/>
      <c r="E76" s="223"/>
      <c r="F76" s="223"/>
      <c r="G76" s="211"/>
      <c r="H76" s="223"/>
      <c r="I76" s="224">
        <f>SUM(I69:I74)</f>
        <v>0</v>
      </c>
    </row>
    <row r="77" ht="14.25" customHeight="1">
      <c r="A77" s="232" t="str">
        <f>$I$3</f>
        <v>m³</v>
      </c>
      <c r="B77" s="233"/>
      <c r="C77" s="233"/>
      <c r="D77" s="233"/>
      <c r="E77" s="233"/>
      <c r="F77" s="233"/>
      <c r="G77" s="21"/>
      <c r="H77" s="233"/>
      <c r="I77" s="205">
        <f>$H$3</f>
        <v>5.4</v>
      </c>
      <c r="J77" s="92"/>
      <c r="K77" s="92"/>
      <c r="L77" s="92"/>
    </row>
    <row r="78" ht="14.25" customHeight="1">
      <c r="A78" s="234" t="s">
        <v>997</v>
      </c>
      <c r="B78" s="232" t="str">
        <f>A77</f>
        <v>m³</v>
      </c>
      <c r="C78" s="233"/>
      <c r="D78" s="233"/>
      <c r="E78" s="233"/>
      <c r="F78" s="233"/>
      <c r="G78" s="21"/>
      <c r="H78" s="233"/>
      <c r="I78" s="235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18"/>
      <c r="B82" s="219"/>
      <c r="C82" s="219"/>
      <c r="D82" s="219"/>
      <c r="E82" s="219"/>
      <c r="F82" s="219"/>
      <c r="G82" s="3"/>
      <c r="H82" s="219"/>
      <c r="I82" s="219"/>
    </row>
    <row r="83" ht="14.25" customHeight="1">
      <c r="A83" s="218"/>
      <c r="B83" s="219"/>
      <c r="C83" s="219"/>
      <c r="D83" s="219"/>
      <c r="E83" s="219"/>
      <c r="F83" s="219"/>
      <c r="G83" s="3"/>
      <c r="H83" s="219"/>
      <c r="I83" s="219"/>
    </row>
    <row r="84" ht="14.25" customHeight="1">
      <c r="G84" s="3"/>
      <c r="H84" s="208"/>
      <c r="I84" s="143"/>
    </row>
    <row r="85" ht="14.25" customHeight="1">
      <c r="G85" s="3"/>
      <c r="H85" s="208"/>
      <c r="I85" s="143"/>
    </row>
    <row r="86" ht="14.25" customHeight="1">
      <c r="A86" s="218"/>
      <c r="B86" s="219"/>
      <c r="C86" s="219"/>
      <c r="D86" s="219"/>
      <c r="E86" s="219"/>
      <c r="F86" s="219"/>
      <c r="G86" s="3"/>
      <c r="H86" s="219"/>
      <c r="I86" s="225"/>
    </row>
    <row r="87" ht="14.25" customHeight="1">
      <c r="G87" s="3"/>
      <c r="H87" s="208"/>
      <c r="I87" s="143"/>
    </row>
    <row r="88" ht="14.25" customHeight="1">
      <c r="G88" s="3"/>
      <c r="H88" s="208"/>
      <c r="I88" s="143"/>
    </row>
    <row r="89" ht="14.25" customHeight="1">
      <c r="G89" s="3"/>
      <c r="H89" s="208"/>
      <c r="I89" s="143"/>
    </row>
    <row r="90" ht="14.25" customHeight="1">
      <c r="A90" s="218"/>
      <c r="B90" s="219"/>
      <c r="C90" s="219"/>
      <c r="D90" s="219"/>
      <c r="E90" s="219"/>
      <c r="F90" s="219"/>
      <c r="G90" s="3"/>
      <c r="H90" s="219"/>
      <c r="I90" s="225"/>
    </row>
    <row r="91" ht="14.25" customHeight="1">
      <c r="G91" s="3"/>
      <c r="H91" s="208"/>
      <c r="I91" s="143"/>
    </row>
    <row r="92" ht="14.25" customHeight="1">
      <c r="G92" s="3"/>
      <c r="H92" s="208"/>
      <c r="I92" s="143"/>
    </row>
    <row r="93" ht="14.25" customHeight="1">
      <c r="A93" s="218"/>
      <c r="B93" s="219"/>
      <c r="C93" s="219"/>
      <c r="D93" s="219"/>
      <c r="E93" s="219"/>
      <c r="F93" s="219"/>
      <c r="G93" s="3"/>
      <c r="H93" s="219"/>
      <c r="I93" s="225"/>
    </row>
    <row r="94" ht="14.25" customHeight="1">
      <c r="G94" s="3"/>
      <c r="H94" s="208"/>
      <c r="I94" s="143"/>
    </row>
    <row r="95" ht="14.25" customHeight="1">
      <c r="G95" s="3"/>
      <c r="H95" s="208"/>
      <c r="I95" s="143"/>
    </row>
    <row r="96" ht="14.25" customHeight="1">
      <c r="A96" s="218"/>
      <c r="B96" s="219"/>
      <c r="C96" s="219"/>
      <c r="D96" s="219"/>
      <c r="E96" s="219"/>
      <c r="F96" s="219"/>
      <c r="G96" s="3"/>
      <c r="H96" s="219"/>
      <c r="I96" s="225"/>
    </row>
    <row r="97" ht="14.25" customHeight="1">
      <c r="A97" s="218"/>
      <c r="B97" s="219"/>
      <c r="C97" s="219"/>
      <c r="D97" s="219"/>
      <c r="E97" s="219"/>
      <c r="F97" s="219"/>
      <c r="G97" s="3"/>
      <c r="H97" s="247"/>
      <c r="I97" s="225"/>
    </row>
    <row r="98" ht="14.25" customHeight="1">
      <c r="A98" s="218"/>
      <c r="B98" s="219"/>
      <c r="C98" s="219"/>
      <c r="D98" s="219"/>
      <c r="E98" s="219"/>
      <c r="F98" s="219"/>
      <c r="G98" s="3"/>
      <c r="H98" s="219"/>
      <c r="I98" s="22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1" width="8.71"/>
    <col customWidth="1" min="12" max="12" width="10.14"/>
    <col customWidth="1" min="13" max="13" width="30.29"/>
  </cols>
  <sheetData>
    <row r="1" ht="33.75" customHeight="1">
      <c r="A1" s="91" t="str">
        <f>'01_C&amp;P'!A1</f>
        <v>EDIFICIO LAS HERAS</v>
      </c>
      <c r="B1" s="91"/>
      <c r="C1" s="91"/>
      <c r="G1" s="3"/>
    </row>
    <row r="2" ht="14.25" customHeight="1">
      <c r="G2" s="3"/>
    </row>
    <row r="3" ht="23.25" customHeight="1">
      <c r="A3" s="195" t="str">
        <f>'01_C&amp;P'!A20</f>
        <v>0.11</v>
      </c>
      <c r="B3" s="196" t="str">
        <f>IF($A3=0,"",VLOOKUP($A3,'01_C&amp;P'!$A$9:$D$192,2,FALSE))</f>
        <v>EXCAVACION TRONERAS</v>
      </c>
      <c r="C3" s="197"/>
      <c r="D3" s="197"/>
      <c r="E3" s="197"/>
      <c r="F3" s="197"/>
      <c r="G3" s="198"/>
      <c r="H3" s="199">
        <f>IF($A3=0,"",VLOOKUP($A3,'01_C&amp;P'!$A$9:$D$192,4,FALSE))</f>
        <v>276</v>
      </c>
      <c r="I3" s="200" t="str">
        <f>IF($A3=0,"",VLOOKUP($A3,'01_C&amp;P'!$A$9:$D$192,3,FALSE))</f>
        <v>m³</v>
      </c>
      <c r="M3" s="246"/>
    </row>
    <row r="4" ht="14.25" customHeight="1">
      <c r="G4" s="3"/>
    </row>
    <row r="5" ht="14.25" customHeight="1">
      <c r="A5" s="201" t="s">
        <v>0</v>
      </c>
      <c r="B5" s="94"/>
      <c r="C5" s="94"/>
      <c r="D5" s="94"/>
      <c r="E5" s="94"/>
      <c r="F5" s="94"/>
      <c r="G5" s="2"/>
      <c r="H5" s="94"/>
      <c r="I5" s="94"/>
    </row>
    <row r="6" ht="14.25" customHeight="1">
      <c r="A6" s="202" t="s">
        <v>988</v>
      </c>
      <c r="B6" s="202" t="s">
        <v>989</v>
      </c>
      <c r="C6" s="202" t="s">
        <v>990</v>
      </c>
      <c r="D6" s="203" t="s">
        <v>991</v>
      </c>
      <c r="E6" s="197"/>
      <c r="F6" s="202" t="s">
        <v>992</v>
      </c>
      <c r="G6" s="4" t="s">
        <v>993</v>
      </c>
      <c r="H6" s="202" t="s">
        <v>994</v>
      </c>
      <c r="I6" s="202" t="s">
        <v>995</v>
      </c>
    </row>
    <row r="7" ht="14.25" customHeight="1">
      <c r="A7" s="229"/>
      <c r="B7" s="92" t="str">
        <f>IF($A7=0,"",VLOOKUP($A7,'00_Mat'!$A$4:$J$1135,2,FALSE))</f>
        <v/>
      </c>
      <c r="C7" s="92" t="str">
        <f>IF($A7=0,"",VLOOKUP($A7,'00_Mat'!$A$4:$J$1135,3,FALSE))</f>
        <v/>
      </c>
      <c r="D7" s="230">
        <f>H3</f>
        <v>276</v>
      </c>
      <c r="E7" s="204"/>
      <c r="F7" s="206">
        <v>0.1</v>
      </c>
      <c r="G7" s="221">
        <f t="shared" ref="G7:G18" si="1">ROUNDUP((D7+(D7*F7)),0)</f>
        <v>304</v>
      </c>
      <c r="H7" s="143" t="str">
        <f>IF($A7=0,"",VLOOKUP($A7,'00_Mat'!$A$4:$J$1135,5,FALSE))</f>
        <v/>
      </c>
      <c r="I7" s="143">
        <f t="shared" ref="I7:I18" si="2">G7*H7</f>
        <v>0</v>
      </c>
      <c r="J7" s="231" t="s">
        <v>548</v>
      </c>
    </row>
    <row r="8" ht="14.25" customHeight="1">
      <c r="A8" s="3"/>
      <c r="B8" s="92" t="str">
        <f>IF($A8=0,"",VLOOKUP($A8,'00_Mat'!$A$4:$J$1135,2,FALSE))</f>
        <v/>
      </c>
      <c r="C8" s="92" t="str">
        <f>IF($A8=0,"",VLOOKUP($A8,'00_Mat'!$A$4:$J$1135,3,FALSE))</f>
        <v/>
      </c>
      <c r="D8" s="230">
        <v>206.0</v>
      </c>
      <c r="E8" s="204"/>
      <c r="F8" s="206">
        <v>0.1</v>
      </c>
      <c r="G8" s="221">
        <f t="shared" si="1"/>
        <v>227</v>
      </c>
      <c r="H8" s="143" t="str">
        <f>IF($A8=0,"",VLOOKUP($A8,'00_Mat'!$A$4:$J$1135,5,FALSE))</f>
        <v/>
      </c>
      <c r="I8" s="143">
        <f t="shared" si="2"/>
        <v>0</v>
      </c>
      <c r="J8" s="153" t="s">
        <v>1028</v>
      </c>
    </row>
    <row r="9" ht="14.25" customHeight="1">
      <c r="A9" s="3"/>
      <c r="B9" s="92" t="str">
        <f>IF($A9=0,"",VLOOKUP($A9,'00_Mat'!$A$4:$J$1135,2,FALSE))</f>
        <v/>
      </c>
      <c r="C9" s="92" t="str">
        <f>IF($A9=0,"",VLOOKUP($A9,'00_Mat'!$A$4:$J$1135,3,FALSE))</f>
        <v/>
      </c>
      <c r="D9" s="229">
        <v>52.0</v>
      </c>
      <c r="E9" s="204"/>
      <c r="F9" s="206">
        <v>0.1</v>
      </c>
      <c r="G9" s="221">
        <f t="shared" si="1"/>
        <v>58</v>
      </c>
      <c r="H9" s="143" t="str">
        <f>IF($A9=0,"",VLOOKUP($A9,'00_Mat'!$A$4:$J$1135,5,FALSE))</f>
        <v/>
      </c>
      <c r="I9" s="143">
        <f t="shared" si="2"/>
        <v>0</v>
      </c>
    </row>
    <row r="10" ht="14.25" customHeight="1">
      <c r="A10" s="3"/>
      <c r="B10" s="92" t="str">
        <f>IF($A10=0,"",VLOOKUP($A10,'00_Mat'!$A$4:$J$1135,2,FALSE))</f>
        <v/>
      </c>
      <c r="C10" s="92" t="str">
        <f>IF($A10=0,"",VLOOKUP($A10,'00_Mat'!$A$4:$J$1135,3,FALSE))</f>
        <v/>
      </c>
      <c r="D10" s="229">
        <v>9.0</v>
      </c>
      <c r="E10" s="204"/>
      <c r="F10" s="206">
        <v>0.1</v>
      </c>
      <c r="G10" s="221">
        <f t="shared" si="1"/>
        <v>10</v>
      </c>
      <c r="H10" s="143" t="str">
        <f>IF($A10=0,"",VLOOKUP($A10,'00_Mat'!$A$4:$J$1135,5,FALSE))</f>
        <v/>
      </c>
      <c r="I10" s="143">
        <f t="shared" si="2"/>
        <v>0</v>
      </c>
    </row>
    <row r="11" ht="14.25" customHeight="1">
      <c r="A11" s="3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29">
        <v>54.0</v>
      </c>
      <c r="E11" s="204"/>
      <c r="F11" s="206">
        <v>0.1</v>
      </c>
      <c r="G11" s="221">
        <f t="shared" si="1"/>
        <v>60</v>
      </c>
      <c r="H11" s="143" t="str">
        <f>IF($A11=0,"",VLOOKUP($A11,'00_Mat'!$A$4:$J$1135,5,FALSE))</f>
        <v/>
      </c>
      <c r="I11" s="143">
        <f t="shared" si="2"/>
        <v>0</v>
      </c>
    </row>
    <row r="12" ht="14.25" customHeight="1">
      <c r="A12" s="3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29">
        <v>37.0</v>
      </c>
      <c r="E12" s="204"/>
      <c r="F12" s="206">
        <v>0.1</v>
      </c>
      <c r="G12" s="221">
        <f t="shared" si="1"/>
        <v>41</v>
      </c>
      <c r="H12" s="143" t="str">
        <f>IF($A12=0,"",VLOOKUP($A12,'00_Mat'!$A$4:$J$1135,5,FALSE))</f>
        <v/>
      </c>
      <c r="I12" s="143">
        <f t="shared" si="2"/>
        <v>0</v>
      </c>
    </row>
    <row r="13" ht="14.25" customHeight="1">
      <c r="A13" s="20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29">
        <v>9.0</v>
      </c>
      <c r="E13" s="204"/>
      <c r="F13" s="206">
        <v>0.1</v>
      </c>
      <c r="G13" s="221">
        <f t="shared" si="1"/>
        <v>10</v>
      </c>
      <c r="H13" s="143" t="str">
        <f>IF($A13=0,"",VLOOKUP($A13,'00_Mat'!$A$4:$J$1135,5,FALSE))</f>
        <v/>
      </c>
      <c r="I13" s="143">
        <f t="shared" si="2"/>
        <v>0</v>
      </c>
    </row>
    <row r="14" ht="14.25" customHeight="1">
      <c r="A14" s="3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29">
        <v>0.0</v>
      </c>
      <c r="E14" s="204"/>
      <c r="F14" s="236">
        <v>0.25</v>
      </c>
      <c r="G14" s="221">
        <f t="shared" si="1"/>
        <v>0</v>
      </c>
      <c r="H14" s="143" t="str">
        <f>IF($A14=0,"",VLOOKUP($A14,'00_Mat'!$A$4:$J$1135,5,FALSE))</f>
        <v/>
      </c>
      <c r="I14" s="143">
        <f t="shared" si="2"/>
        <v>0</v>
      </c>
      <c r="J14" s="153" t="s">
        <v>1029</v>
      </c>
    </row>
    <row r="15" ht="14.25" customHeight="1">
      <c r="A15" s="3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29">
        <f>92</f>
        <v>92</v>
      </c>
      <c r="E15" s="204"/>
      <c r="F15" s="236">
        <v>0.2</v>
      </c>
      <c r="G15" s="221">
        <f t="shared" si="1"/>
        <v>111</v>
      </c>
      <c r="H15" s="143" t="str">
        <f>IF($A15=0,"",VLOOKUP($A15,'00_Mat'!$A$4:$J$1135,5,FALSE))</f>
        <v/>
      </c>
      <c r="I15" s="143">
        <f t="shared" si="2"/>
        <v>0</v>
      </c>
      <c r="J15" s="153" t="s">
        <v>1030</v>
      </c>
    </row>
    <row r="16" ht="14.25" customHeight="1">
      <c r="A16" s="3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29">
        <v>1.0</v>
      </c>
      <c r="E16" s="204"/>
      <c r="F16" s="206"/>
      <c r="G16" s="221">
        <f t="shared" si="1"/>
        <v>1</v>
      </c>
      <c r="H16" s="143" t="str">
        <f>IF($A16=0,"",VLOOKUP($A16,'00_Mat'!$A$4:$J$1135,5,FALSE))</f>
        <v/>
      </c>
      <c r="I16" s="143">
        <f t="shared" si="2"/>
        <v>0</v>
      </c>
      <c r="J16" s="153" t="s">
        <v>1031</v>
      </c>
    </row>
    <row r="17" ht="14.25" customHeight="1">
      <c r="A17" s="3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05">
        <f>D7</f>
        <v>276</v>
      </c>
      <c r="E17" s="204"/>
      <c r="F17" s="206">
        <v>0.1</v>
      </c>
      <c r="G17" s="221">
        <f t="shared" si="1"/>
        <v>304</v>
      </c>
      <c r="H17" s="143" t="str">
        <f>IF($A17=0,"",VLOOKUP($A17,'00_Mat'!$A$4:$J$1135,5,FALSE))</f>
        <v/>
      </c>
      <c r="I17" s="143">
        <f t="shared" si="2"/>
        <v>0</v>
      </c>
      <c r="J17" s="153" t="s">
        <v>1032</v>
      </c>
    </row>
    <row r="18" ht="14.25" customHeight="1">
      <c r="A18" s="204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04"/>
      <c r="E18" s="204"/>
      <c r="F18" s="206">
        <v>0.1</v>
      </c>
      <c r="G18" s="221">
        <f t="shared" si="1"/>
        <v>0</v>
      </c>
      <c r="H18" s="143" t="str">
        <f>IF($A18=0,"",VLOOKUP($A18,'00_Mat'!$A$4:$J$1135,5,FALSE))</f>
        <v/>
      </c>
      <c r="I18" s="143">
        <f t="shared" si="2"/>
        <v>0</v>
      </c>
    </row>
    <row r="19" ht="14.25" customHeight="1">
      <c r="F19" s="208"/>
      <c r="G19" s="3"/>
      <c r="H19" s="143"/>
      <c r="I19" s="143"/>
    </row>
    <row r="20" ht="14.25" customHeight="1">
      <c r="A20" s="222" t="s">
        <v>996</v>
      </c>
      <c r="B20" s="223"/>
      <c r="C20" s="223"/>
      <c r="D20" s="223"/>
      <c r="E20" s="223"/>
      <c r="F20" s="223"/>
      <c r="G20" s="211"/>
      <c r="H20" s="223"/>
      <c r="I20" s="224">
        <f>SUM(I7:I18)</f>
        <v>0</v>
      </c>
      <c r="J20" s="92"/>
      <c r="K20" s="92"/>
      <c r="L20" s="92"/>
    </row>
    <row r="21" ht="14.25" customHeight="1">
      <c r="A21" s="232" t="str">
        <f>$I$3</f>
        <v>m³</v>
      </c>
      <c r="B21" s="233"/>
      <c r="C21" s="233"/>
      <c r="D21" s="233"/>
      <c r="E21" s="233"/>
      <c r="F21" s="233"/>
      <c r="G21" s="21"/>
      <c r="H21" s="233"/>
      <c r="I21" s="205">
        <f>$H$3</f>
        <v>276</v>
      </c>
      <c r="J21" s="92"/>
      <c r="K21" s="92"/>
      <c r="L21" s="92"/>
    </row>
    <row r="22" ht="14.25" customHeight="1">
      <c r="A22" s="234" t="s">
        <v>997</v>
      </c>
      <c r="B22" s="232" t="str">
        <f>A21</f>
        <v>m³</v>
      </c>
      <c r="C22" s="233"/>
      <c r="D22" s="233"/>
      <c r="E22" s="233"/>
      <c r="F22" s="233"/>
      <c r="G22" s="21"/>
      <c r="H22" s="233"/>
      <c r="I22" s="235">
        <f>I20/I21</f>
        <v>0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01" t="s">
        <v>998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02" t="s">
        <v>988</v>
      </c>
      <c r="B26" s="202" t="s">
        <v>989</v>
      </c>
      <c r="C26" s="202" t="s">
        <v>990</v>
      </c>
      <c r="D26" s="202" t="s">
        <v>991</v>
      </c>
      <c r="E26" s="202" t="s">
        <v>999</v>
      </c>
      <c r="F26" s="202" t="s">
        <v>992</v>
      </c>
      <c r="G26" s="4" t="s">
        <v>993</v>
      </c>
      <c r="H26" s="202" t="s">
        <v>994</v>
      </c>
      <c r="I26" s="202" t="s">
        <v>995</v>
      </c>
    </row>
    <row r="27" ht="14.25" customHeight="1">
      <c r="A27" s="61" t="s">
        <v>621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29">
        <v>1.0</v>
      </c>
      <c r="E27" s="229">
        <v>0.0</v>
      </c>
      <c r="F27" s="236">
        <v>0.25</v>
      </c>
      <c r="G27" s="217">
        <f t="shared" ref="G27:G32" si="3">ROUNDUP(((D27*E27)*(1+F27)),0)</f>
        <v>0</v>
      </c>
      <c r="H27" s="143">
        <f>IF($A27=0,"",VLOOKUP($A27,'00_MO'!$A$4:$D$7,4,FALSE))</f>
        <v>120000</v>
      </c>
      <c r="I27" s="143">
        <f t="shared" ref="I27:I32" si="4">G27*H27</f>
        <v>0</v>
      </c>
    </row>
    <row r="28" ht="14.25" customHeight="1">
      <c r="A28" s="61" t="s">
        <v>623</v>
      </c>
      <c r="B28" s="92" t="str">
        <f>IF($A28=0,"",VLOOKUP($A28,'00_MO'!$A$4:$D$7,2,FALSE))</f>
        <v>Puntero</v>
      </c>
      <c r="C28" s="92" t="str">
        <f>IF($A28=0,"",VLOOKUP($A28,'00_MO'!$A$4:$D$7,3,FALSE))</f>
        <v>u</v>
      </c>
      <c r="D28" s="229">
        <v>2.0</v>
      </c>
      <c r="E28" s="229"/>
      <c r="F28" s="236">
        <v>0.25</v>
      </c>
      <c r="G28" s="217">
        <f t="shared" si="3"/>
        <v>0</v>
      </c>
      <c r="H28" s="143">
        <f>IF($A28=0,"",VLOOKUP($A28,'00_MO'!$A$4:$D$7,4,FALSE))</f>
        <v>105000</v>
      </c>
      <c r="I28" s="143">
        <f t="shared" si="4"/>
        <v>0</v>
      </c>
    </row>
    <row r="29" ht="14.25" customHeight="1">
      <c r="A29" s="61" t="s">
        <v>625</v>
      </c>
      <c r="B29" s="92" t="str">
        <f>IF($A29=0,"",VLOOKUP($A29,'00_MO'!$A$4:$D$7,2,FALSE))</f>
        <v>Oficial</v>
      </c>
      <c r="C29" s="92" t="str">
        <f>IF($A29=0,"",VLOOKUP($A29,'00_MO'!$A$4:$D$7,3,FALSE))</f>
        <v>u</v>
      </c>
      <c r="D29" s="229">
        <v>3.0</v>
      </c>
      <c r="E29" s="229"/>
      <c r="F29" s="236">
        <v>0.25</v>
      </c>
      <c r="G29" s="217">
        <f t="shared" si="3"/>
        <v>0</v>
      </c>
      <c r="H29" s="143">
        <f>IF($A29=0,"",VLOOKUP($A29,'00_MO'!$A$4:$D$7,4,FALSE))</f>
        <v>90000</v>
      </c>
      <c r="I29" s="143">
        <f t="shared" si="4"/>
        <v>0</v>
      </c>
    </row>
    <row r="30" ht="14.25" customHeight="1">
      <c r="A30" s="61" t="s">
        <v>627</v>
      </c>
      <c r="B30" s="92" t="str">
        <f>IF($A30=0,"",VLOOKUP($A30,'00_MO'!$A$4:$D$7,2,FALSE))</f>
        <v>Ayudante</v>
      </c>
      <c r="C30" s="92" t="str">
        <f>IF($A30=0,"",VLOOKUP($A30,'00_MO'!$A$4:$D$7,3,FALSE))</f>
        <v>u</v>
      </c>
      <c r="D30" s="229">
        <v>3.0</v>
      </c>
      <c r="E30" s="229"/>
      <c r="F30" s="236">
        <v>0.25</v>
      </c>
      <c r="G30" s="217">
        <f t="shared" si="3"/>
        <v>0</v>
      </c>
      <c r="H30" s="143">
        <f>IF($A30=0,"",VLOOKUP($A30,'00_MO'!$A$4:$D$7,4,FALSE))</f>
        <v>60000</v>
      </c>
      <c r="I30" s="143">
        <f t="shared" si="4"/>
        <v>0</v>
      </c>
    </row>
    <row r="31" ht="14.25" customHeight="1">
      <c r="A31" s="204"/>
      <c r="B31" s="92" t="str">
        <f>IF($A31=0,"",VLOOKUP($A31,'00_MO'!$A$4:$D$7,2,FALSE))</f>
        <v/>
      </c>
      <c r="C31" s="92" t="str">
        <f>IF($A31=0,"",VLOOKUP($A31,'00_MO'!$A$4:$D$7,3,FALSE))</f>
        <v/>
      </c>
      <c r="D31" s="204"/>
      <c r="E31" s="229"/>
      <c r="F31" s="206"/>
      <c r="G31" s="217">
        <f t="shared" si="3"/>
        <v>0</v>
      </c>
      <c r="H31" s="143" t="str">
        <f>IF($A31=0,"",VLOOKUP($A31,'00_MO'!$A$4:$D$7,4,FALSE))</f>
        <v/>
      </c>
      <c r="I31" s="143">
        <f t="shared" si="4"/>
        <v>0</v>
      </c>
    </row>
    <row r="32" ht="14.25" customHeight="1">
      <c r="A32" s="204"/>
      <c r="B32" s="92" t="str">
        <f>IF($A32=0,"",VLOOKUP($A32,'00_MO'!$A$4:$D$7,2,FALSE))</f>
        <v/>
      </c>
      <c r="C32" s="92" t="str">
        <f>IF($A32=0,"",VLOOKUP($A32,'00_MO'!$A$4:$D$7,3,FALSE))</f>
        <v/>
      </c>
      <c r="D32" s="204"/>
      <c r="E32" s="204"/>
      <c r="F32" s="206"/>
      <c r="G32" s="217">
        <f t="shared" si="3"/>
        <v>0</v>
      </c>
      <c r="H32" s="143" t="str">
        <f>IF($A32=0,"",VLOOKUP($A32,'00_MO'!$A$4:$D$7,4,FALSE))</f>
        <v/>
      </c>
      <c r="I32" s="143">
        <f t="shared" si="4"/>
        <v>0</v>
      </c>
    </row>
    <row r="33" ht="14.25" customHeight="1">
      <c r="F33" s="208"/>
      <c r="G33" s="3"/>
      <c r="H33" s="143"/>
      <c r="I33" s="143"/>
    </row>
    <row r="34" ht="14.25" customHeight="1">
      <c r="A34" s="222" t="s">
        <v>987</v>
      </c>
      <c r="B34" s="223"/>
      <c r="C34" s="223"/>
      <c r="D34" s="223"/>
      <c r="E34" s="223"/>
      <c r="F34" s="223"/>
      <c r="G34" s="211"/>
      <c r="H34" s="223"/>
      <c r="I34" s="224">
        <f>SUM(I27:I32)</f>
        <v>0</v>
      </c>
    </row>
    <row r="35" ht="14.25" customHeight="1">
      <c r="A35" s="232" t="str">
        <f>$I$3</f>
        <v>m³</v>
      </c>
      <c r="B35" s="233"/>
      <c r="C35" s="233"/>
      <c r="D35" s="233"/>
      <c r="E35" s="233"/>
      <c r="F35" s="233"/>
      <c r="G35" s="21"/>
      <c r="H35" s="233"/>
      <c r="I35" s="205">
        <f>$H$3</f>
        <v>276</v>
      </c>
      <c r="J35" s="92"/>
      <c r="K35" s="92"/>
      <c r="L35" s="92"/>
    </row>
    <row r="36" ht="14.25" customHeight="1">
      <c r="A36" s="234" t="s">
        <v>997</v>
      </c>
      <c r="B36" s="232" t="str">
        <f>A35</f>
        <v>m³</v>
      </c>
      <c r="C36" s="233"/>
      <c r="D36" s="233"/>
      <c r="E36" s="233"/>
      <c r="F36" s="233"/>
      <c r="G36" s="21"/>
      <c r="H36" s="233"/>
      <c r="I36" s="235">
        <f>I34/I35</f>
        <v>0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01" t="s">
        <v>1000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02" t="s">
        <v>988</v>
      </c>
      <c r="B40" s="202" t="s">
        <v>989</v>
      </c>
      <c r="C40" s="202" t="s">
        <v>990</v>
      </c>
      <c r="D40" s="202" t="s">
        <v>991</v>
      </c>
      <c r="E40" s="202" t="s">
        <v>999</v>
      </c>
      <c r="F40" s="202" t="s">
        <v>992</v>
      </c>
      <c r="G40" s="4" t="s">
        <v>993</v>
      </c>
      <c r="H40" s="202" t="s">
        <v>994</v>
      </c>
      <c r="I40" s="202" t="s">
        <v>995</v>
      </c>
    </row>
    <row r="41" ht="14.25" customHeight="1">
      <c r="A41" s="3" t="s">
        <v>665</v>
      </c>
      <c r="B41" s="92" t="str">
        <f>IF($A41=0,"",VLOOKUP($A41,'00_Eq'!$A$4:$D$100,2,FALSE))</f>
        <v>EXCAVACION Y RETIRO</v>
      </c>
      <c r="C41" s="92" t="str">
        <f>IF($A41=0,"",VLOOKUP($A41,'00_Eq'!$A$4:$D$100,3,FALSE))</f>
        <v>m3</v>
      </c>
      <c r="D41" s="205">
        <f>H3</f>
        <v>276</v>
      </c>
      <c r="E41" s="229">
        <v>1.0</v>
      </c>
      <c r="F41" s="236">
        <v>0.25</v>
      </c>
      <c r="G41" s="217">
        <f t="shared" ref="G41:G46" si="5">ROUNDUP(((D41*E41)*(1+F41)),0)</f>
        <v>345</v>
      </c>
      <c r="H41" s="143">
        <f>IF($A41=0,"",VLOOKUP($A41,'00_Eq'!$A$4:$D$100,4,FALSE))</f>
        <v>30000</v>
      </c>
      <c r="I41" s="143">
        <f t="shared" ref="I41:I44" si="6">G41*H41</f>
        <v>10350000</v>
      </c>
    </row>
    <row r="42" ht="14.25" customHeight="1">
      <c r="A42" s="204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04"/>
      <c r="E42" s="204"/>
      <c r="F42" s="206"/>
      <c r="G42" s="217">
        <f t="shared" si="5"/>
        <v>0</v>
      </c>
      <c r="H42" s="143" t="str">
        <f>IF($A42=0,"",VLOOKUP($A42,'00_Eq'!$A$4:$D$100,4,FALSE))</f>
        <v/>
      </c>
      <c r="I42" s="143">
        <f t="shared" si="6"/>
        <v>0</v>
      </c>
    </row>
    <row r="43" ht="14.25" customHeight="1">
      <c r="A43" s="204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04"/>
      <c r="E43" s="204"/>
      <c r="F43" s="206"/>
      <c r="G43" s="217">
        <f t="shared" si="5"/>
        <v>0</v>
      </c>
      <c r="H43" s="143" t="str">
        <f>IF($A43=0,"",VLOOKUP($A43,'00_Eq'!$A$4:$D$100,4,FALSE))</f>
        <v/>
      </c>
      <c r="I43" s="143">
        <f t="shared" si="6"/>
        <v>0</v>
      </c>
    </row>
    <row r="44" ht="14.25" customHeight="1">
      <c r="A44" s="204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04"/>
      <c r="E44" s="204"/>
      <c r="F44" s="206"/>
      <c r="G44" s="217">
        <f t="shared" si="5"/>
        <v>0</v>
      </c>
      <c r="H44" s="143" t="str">
        <f>IF($A44=0,"",VLOOKUP($A44,'00_Eq'!$A$4:$D$100,4,FALSE))</f>
        <v/>
      </c>
      <c r="I44" s="143">
        <f t="shared" si="6"/>
        <v>0</v>
      </c>
    </row>
    <row r="45" ht="14.25" customHeight="1">
      <c r="A45" s="204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04"/>
      <c r="E45" s="204"/>
      <c r="F45" s="206"/>
      <c r="G45" s="217">
        <f t="shared" si="5"/>
        <v>0</v>
      </c>
      <c r="H45" s="143" t="str">
        <f>IF($A45=0,"",VLOOKUP($A45,'00_Eq'!$A$4:$D$100,4,FALSE))</f>
        <v/>
      </c>
      <c r="I45" s="143"/>
    </row>
    <row r="46" ht="14.25" customHeight="1">
      <c r="A46" s="204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04"/>
      <c r="E46" s="204"/>
      <c r="F46" s="206"/>
      <c r="G46" s="217">
        <f t="shared" si="5"/>
        <v>0</v>
      </c>
      <c r="H46" s="143" t="str">
        <f>IF($A46=0,"",VLOOKUP($A46,'00_Eq'!$A$4:$D$100,4,FALSE))</f>
        <v/>
      </c>
      <c r="I46" s="143"/>
    </row>
    <row r="47" ht="14.25" customHeight="1">
      <c r="F47" s="208"/>
      <c r="G47" s="3"/>
      <c r="H47" s="143"/>
      <c r="I47" s="143"/>
    </row>
    <row r="48" ht="14.25" customHeight="1">
      <c r="A48" s="222" t="s">
        <v>987</v>
      </c>
      <c r="B48" s="223"/>
      <c r="C48" s="223"/>
      <c r="D48" s="223"/>
      <c r="E48" s="223"/>
      <c r="F48" s="223"/>
      <c r="G48" s="211"/>
      <c r="H48" s="223"/>
      <c r="I48" s="224">
        <f>SUM(I41:I46)</f>
        <v>10350000</v>
      </c>
    </row>
    <row r="49" ht="14.25" customHeight="1">
      <c r="A49" s="232" t="str">
        <f>$I$3</f>
        <v>m³</v>
      </c>
      <c r="B49" s="233"/>
      <c r="C49" s="233"/>
      <c r="D49" s="233"/>
      <c r="E49" s="233"/>
      <c r="F49" s="233"/>
      <c r="G49" s="21"/>
      <c r="H49" s="233"/>
      <c r="I49" s="205">
        <f>$H$3</f>
        <v>276</v>
      </c>
      <c r="J49" s="92"/>
      <c r="K49" s="92"/>
      <c r="L49" s="92"/>
    </row>
    <row r="50" ht="14.25" customHeight="1">
      <c r="A50" s="234" t="s">
        <v>997</v>
      </c>
      <c r="B50" s="232" t="str">
        <f>A49</f>
        <v>m³</v>
      </c>
      <c r="C50" s="233"/>
      <c r="D50" s="233"/>
      <c r="E50" s="233"/>
      <c r="F50" s="233"/>
      <c r="G50" s="21"/>
      <c r="H50" s="233"/>
      <c r="I50" s="235">
        <f>I48/I49</f>
        <v>37500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01" t="s">
        <v>1010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02" t="s">
        <v>988</v>
      </c>
      <c r="B54" s="202" t="s">
        <v>989</v>
      </c>
      <c r="C54" s="202" t="s">
        <v>990</v>
      </c>
      <c r="D54" s="202" t="s">
        <v>991</v>
      </c>
      <c r="E54" s="202"/>
      <c r="F54" s="202" t="s">
        <v>992</v>
      </c>
      <c r="G54" s="4" t="s">
        <v>993</v>
      </c>
      <c r="H54" s="202" t="s">
        <v>994</v>
      </c>
      <c r="I54" s="202" t="s">
        <v>995</v>
      </c>
    </row>
    <row r="55" ht="14.25" customHeight="1">
      <c r="A55" s="3"/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30"/>
      <c r="E55" s="204"/>
      <c r="F55" s="236">
        <v>0.1</v>
      </c>
      <c r="G55" s="221">
        <f t="shared" ref="G55:G60" si="7">ROUNDUP((D55+(D55*F55)),0)</f>
        <v>0</v>
      </c>
      <c r="H55" s="143" t="str">
        <f>IF($A55=0,"",VLOOKUP($A55,'00_Mat'!$A$4:$J$1135,5,FALSE))</f>
        <v/>
      </c>
      <c r="I55" s="143">
        <f t="shared" ref="I55:I60" si="8">G55*H55</f>
        <v>0</v>
      </c>
      <c r="J55" s="237"/>
    </row>
    <row r="56" ht="14.25" customHeight="1">
      <c r="A56" s="3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0"/>
      <c r="E56" s="204"/>
      <c r="F56" s="236">
        <v>0.1</v>
      </c>
      <c r="G56" s="221">
        <f t="shared" si="7"/>
        <v>0</v>
      </c>
      <c r="H56" s="143" t="str">
        <f>IF($A56=0,"",VLOOKUP($A56,'00_Mat'!$A$4:$J$1135,5,FALSE))</f>
        <v/>
      </c>
      <c r="I56" s="143">
        <f t="shared" si="8"/>
        <v>0</v>
      </c>
      <c r="J56" s="237"/>
    </row>
    <row r="57" ht="14.25" customHeight="1">
      <c r="A57" s="3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0">
        <v>20.0</v>
      </c>
      <c r="E57" s="204"/>
      <c r="F57" s="236">
        <v>0.1</v>
      </c>
      <c r="G57" s="221">
        <f t="shared" si="7"/>
        <v>22</v>
      </c>
      <c r="H57" s="143" t="str">
        <f>IF($A57=0,"",VLOOKUP($A57,'00_Mat'!$A$4:$J$1135,5,FALSE))</f>
        <v/>
      </c>
      <c r="I57" s="143">
        <f t="shared" si="8"/>
        <v>0</v>
      </c>
      <c r="J57" s="153" t="s">
        <v>1013</v>
      </c>
      <c r="L57" s="153" t="s">
        <v>1011</v>
      </c>
      <c r="M57" s="153" t="s">
        <v>1012</v>
      </c>
    </row>
    <row r="58" ht="14.25" customHeight="1">
      <c r="A58" s="20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0">
        <v>2.0</v>
      </c>
      <c r="E58" s="204"/>
      <c r="F58" s="236">
        <v>0.1</v>
      </c>
      <c r="G58" s="221">
        <f t="shared" si="7"/>
        <v>3</v>
      </c>
      <c r="H58" s="143" t="str">
        <f>IF($A58=0,"",VLOOKUP($A58,'00_Mat'!$A$4:$J$1135,5,FALSE))</f>
        <v/>
      </c>
      <c r="I58" s="143">
        <f t="shared" si="8"/>
        <v>0</v>
      </c>
      <c r="J58" s="153" t="s">
        <v>1033</v>
      </c>
    </row>
    <row r="59" ht="14.25" customHeight="1">
      <c r="C59" s="92" t="str">
        <f>IF($A58=0,"",VLOOKUP($A58,'00_Mat'!$A$4:$J$1135,3,FALSE))</f>
        <v/>
      </c>
      <c r="D59" s="230"/>
      <c r="E59" s="204"/>
      <c r="F59" s="236">
        <v>0.1</v>
      </c>
      <c r="G59" s="221">
        <f t="shared" si="7"/>
        <v>0</v>
      </c>
      <c r="H59" s="143" t="str">
        <f>IF($A59=0,"",VLOOKUP($A59,'00_Mat'!$A$4:$J$1135,5,FALSE))</f>
        <v/>
      </c>
      <c r="I59" s="143">
        <f t="shared" si="8"/>
        <v>0</v>
      </c>
    </row>
    <row r="60" ht="14.25" customHeight="1">
      <c r="A60" s="204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05"/>
      <c r="E60" s="204"/>
      <c r="F60" s="206"/>
      <c r="G60" s="221">
        <f t="shared" si="7"/>
        <v>0</v>
      </c>
      <c r="H60" s="143" t="str">
        <f>IF($A60=0,"",VLOOKUP($A60,'00_Mat'!$A$4:$J$1135,5,FALSE))</f>
        <v/>
      </c>
      <c r="I60" s="143">
        <f t="shared" si="8"/>
        <v>0</v>
      </c>
    </row>
    <row r="61" ht="14.25" customHeight="1">
      <c r="F61" s="208"/>
      <c r="G61" s="3"/>
      <c r="H61" s="143"/>
      <c r="I61" s="143"/>
    </row>
    <row r="62" ht="14.25" customHeight="1">
      <c r="A62" s="222" t="s">
        <v>987</v>
      </c>
      <c r="B62" s="223"/>
      <c r="C62" s="223"/>
      <c r="D62" s="223"/>
      <c r="E62" s="223"/>
      <c r="F62" s="223"/>
      <c r="G62" s="211"/>
      <c r="H62" s="223"/>
      <c r="I62" s="224">
        <f>SUM(I55:I60)</f>
        <v>0</v>
      </c>
    </row>
    <row r="63" ht="14.25" customHeight="1">
      <c r="A63" s="232" t="str">
        <f>$I$3</f>
        <v>m³</v>
      </c>
      <c r="B63" s="233"/>
      <c r="C63" s="233"/>
      <c r="D63" s="233"/>
      <c r="E63" s="233"/>
      <c r="F63" s="233"/>
      <c r="G63" s="21"/>
      <c r="H63" s="233"/>
      <c r="I63" s="205">
        <f>$H$3</f>
        <v>276</v>
      </c>
      <c r="J63" s="92"/>
      <c r="K63" s="92"/>
      <c r="L63" s="92"/>
    </row>
    <row r="64" ht="14.25" customHeight="1">
      <c r="A64" s="234" t="s">
        <v>997</v>
      </c>
      <c r="B64" s="232" t="str">
        <f>A63</f>
        <v>m³</v>
      </c>
      <c r="C64" s="233"/>
      <c r="D64" s="233"/>
      <c r="E64" s="233"/>
      <c r="F64" s="233"/>
      <c r="G64" s="21"/>
      <c r="H64" s="233"/>
      <c r="I64" s="235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01" t="s">
        <v>1025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02" t="s">
        <v>988</v>
      </c>
      <c r="B68" s="202" t="s">
        <v>989</v>
      </c>
      <c r="C68" s="202" t="s">
        <v>990</v>
      </c>
      <c r="D68" s="202" t="s">
        <v>991</v>
      </c>
      <c r="E68" s="202" t="s">
        <v>999</v>
      </c>
      <c r="F68" s="202" t="s">
        <v>992</v>
      </c>
      <c r="G68" s="4" t="s">
        <v>993</v>
      </c>
      <c r="H68" s="202" t="s">
        <v>994</v>
      </c>
      <c r="I68" s="202" t="s">
        <v>995</v>
      </c>
    </row>
    <row r="69" ht="14.25" customHeight="1">
      <c r="A69" s="204"/>
      <c r="B69" s="92" t="str">
        <f>IF($A69=0,"",VLOOKUP($A69,'00_Sub'!$A$4:$D$1007,2,FALSE))</f>
        <v/>
      </c>
      <c r="C69" s="92" t="str">
        <f>IF($A69=0,"",VLOOKUP($A69,'00_Sub'!$A$4:$D$1007,3,FALSE))</f>
        <v/>
      </c>
      <c r="D69" s="204"/>
      <c r="E69" s="204"/>
      <c r="F69" s="206"/>
      <c r="G69" s="221">
        <f t="shared" ref="G69:G74" si="9">ROUNDUP((D69+(D69*F69)),0)</f>
        <v>0</v>
      </c>
      <c r="H69" s="143" t="str">
        <f>IF($A69=0,"",VLOOKUP($A69,'00_Sub'!$A$4:$D$1007,4,FALSE))</f>
        <v/>
      </c>
      <c r="I69" s="143"/>
    </row>
    <row r="70" ht="14.25" customHeight="1">
      <c r="A70" s="204"/>
      <c r="B70" s="92" t="str">
        <f>IF($A70=0,"",VLOOKUP($A70,'00_Sub'!$A$4:$D$1007,2,FALSE))</f>
        <v/>
      </c>
      <c r="C70" s="92" t="str">
        <f>IF($A70=0,"",VLOOKUP($A70,'00_Sub'!$A$4:$D$1007,3,FALSE))</f>
        <v/>
      </c>
      <c r="D70" s="204"/>
      <c r="E70" s="204"/>
      <c r="F70" s="206"/>
      <c r="G70" s="221">
        <f t="shared" si="9"/>
        <v>0</v>
      </c>
      <c r="H70" s="143" t="str">
        <f>IF($A70=0,"",VLOOKUP($A70,'00_Sub'!$A$4:$D$1007,4,FALSE))</f>
        <v/>
      </c>
      <c r="I70" s="143"/>
    </row>
    <row r="71" ht="14.25" customHeight="1">
      <c r="A71" s="204"/>
      <c r="B71" s="92" t="str">
        <f>IF($A71=0,"",VLOOKUP($A71,'00_Sub'!$A$4:$D$1007,2,FALSE))</f>
        <v/>
      </c>
      <c r="C71" s="92" t="str">
        <f>IF($A71=0,"",VLOOKUP($A71,'00_Sub'!$A$4:$D$1007,3,FALSE))</f>
        <v/>
      </c>
      <c r="D71" s="204"/>
      <c r="E71" s="204"/>
      <c r="F71" s="206"/>
      <c r="G71" s="221">
        <f t="shared" si="9"/>
        <v>0</v>
      </c>
      <c r="H71" s="143" t="str">
        <f>IF($A71=0,"",VLOOKUP($A71,'00_Sub'!$A$4:$D$1007,4,FALSE))</f>
        <v/>
      </c>
      <c r="I71" s="143"/>
    </row>
    <row r="72" ht="14.25" customHeight="1">
      <c r="A72" s="204"/>
      <c r="B72" s="92" t="str">
        <f>IF($A72=0,"",VLOOKUP($A72,'00_Sub'!$A$4:$D$1007,2,FALSE))</f>
        <v/>
      </c>
      <c r="C72" s="92" t="str">
        <f>IF($A72=0,"",VLOOKUP($A72,'00_Sub'!$A$4:$D$1007,3,FALSE))</f>
        <v/>
      </c>
      <c r="D72" s="204"/>
      <c r="E72" s="204"/>
      <c r="F72" s="206"/>
      <c r="G72" s="221">
        <f t="shared" si="9"/>
        <v>0</v>
      </c>
      <c r="H72" s="143" t="str">
        <f>IF($A72=0,"",VLOOKUP($A72,'00_Sub'!$A$4:$D$1007,4,FALSE))</f>
        <v/>
      </c>
      <c r="I72" s="143"/>
    </row>
    <row r="73" ht="14.25" customHeight="1">
      <c r="A73" s="204"/>
      <c r="B73" s="92" t="str">
        <f>IF($A73=0,"",VLOOKUP($A73,'00_Sub'!$A$4:$D$1007,2,FALSE))</f>
        <v/>
      </c>
      <c r="C73" s="92" t="str">
        <f>IF($A73=0,"",VLOOKUP($A73,'00_Sub'!$A$4:$D$1007,3,FALSE))</f>
        <v/>
      </c>
      <c r="D73" s="204"/>
      <c r="E73" s="204"/>
      <c r="F73" s="206"/>
      <c r="G73" s="221">
        <f t="shared" si="9"/>
        <v>0</v>
      </c>
      <c r="H73" s="143" t="str">
        <f>IF($A73=0,"",VLOOKUP($A73,'00_Sub'!$A$4:$D$1007,4,FALSE))</f>
        <v/>
      </c>
      <c r="I73" s="143"/>
    </row>
    <row r="74" ht="14.25" customHeight="1">
      <c r="A74" s="204"/>
      <c r="B74" s="92" t="str">
        <f>IF($A74=0,"",VLOOKUP($A74,'00_Sub'!$A$4:$D$1007,2,FALSE))</f>
        <v/>
      </c>
      <c r="C74" s="92" t="str">
        <f>IF($A74=0,"",VLOOKUP($A74,'00_Sub'!$A$4:$D$1007,3,FALSE))</f>
        <v/>
      </c>
      <c r="D74" s="204"/>
      <c r="E74" s="204"/>
      <c r="F74" s="206"/>
      <c r="G74" s="221">
        <f t="shared" si="9"/>
        <v>0</v>
      </c>
      <c r="H74" s="143" t="str">
        <f>IF($A74=0,"",VLOOKUP($A74,'00_Sub'!$A$4:$D$1007,4,FALSE))</f>
        <v/>
      </c>
      <c r="I74" s="143"/>
    </row>
    <row r="75" ht="14.25" customHeight="1">
      <c r="F75" s="208"/>
      <c r="G75" s="3"/>
      <c r="H75" s="143"/>
      <c r="I75" s="143"/>
    </row>
    <row r="76" ht="14.25" customHeight="1">
      <c r="A76" s="222" t="s">
        <v>987</v>
      </c>
      <c r="B76" s="223"/>
      <c r="C76" s="223"/>
      <c r="D76" s="223"/>
      <c r="E76" s="223"/>
      <c r="F76" s="223"/>
      <c r="G76" s="211"/>
      <c r="H76" s="223"/>
      <c r="I76" s="224">
        <f>SUM(I69:I74)</f>
        <v>0</v>
      </c>
    </row>
    <row r="77" ht="14.25" customHeight="1">
      <c r="A77" s="232" t="str">
        <f>$I$3</f>
        <v>m³</v>
      </c>
      <c r="B77" s="233"/>
      <c r="C77" s="233"/>
      <c r="D77" s="233"/>
      <c r="E77" s="233"/>
      <c r="F77" s="233"/>
      <c r="G77" s="21"/>
      <c r="H77" s="233"/>
      <c r="I77" s="205">
        <f>$H$3</f>
        <v>276</v>
      </c>
      <c r="J77" s="92"/>
      <c r="K77" s="92"/>
      <c r="L77" s="92"/>
    </row>
    <row r="78" ht="14.25" customHeight="1">
      <c r="A78" s="234" t="s">
        <v>997</v>
      </c>
      <c r="B78" s="232" t="str">
        <f>A77</f>
        <v>m³</v>
      </c>
      <c r="C78" s="233"/>
      <c r="D78" s="233"/>
      <c r="E78" s="233"/>
      <c r="F78" s="233"/>
      <c r="G78" s="21"/>
      <c r="H78" s="233"/>
      <c r="I78" s="235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18"/>
      <c r="B82" s="219"/>
      <c r="C82" s="219"/>
      <c r="D82" s="219"/>
      <c r="E82" s="219"/>
      <c r="F82" s="219"/>
      <c r="G82" s="3"/>
      <c r="H82" s="219"/>
      <c r="I82" s="219"/>
    </row>
    <row r="83" ht="14.25" customHeight="1">
      <c r="A83" s="218"/>
      <c r="B83" s="219"/>
      <c r="C83" s="219"/>
      <c r="D83" s="219"/>
      <c r="E83" s="219"/>
      <c r="F83" s="219"/>
      <c r="G83" s="3"/>
      <c r="H83" s="219"/>
      <c r="I83" s="219"/>
    </row>
    <row r="84" ht="14.25" customHeight="1">
      <c r="G84" s="3"/>
      <c r="H84" s="208"/>
      <c r="I84" s="143"/>
    </row>
    <row r="85" ht="14.25" customHeight="1">
      <c r="G85" s="3"/>
      <c r="H85" s="208"/>
      <c r="I85" s="143"/>
    </row>
    <row r="86" ht="14.25" customHeight="1">
      <c r="A86" s="218"/>
      <c r="B86" s="219"/>
      <c r="C86" s="219"/>
      <c r="D86" s="219"/>
      <c r="E86" s="219"/>
      <c r="F86" s="219"/>
      <c r="G86" s="3"/>
      <c r="H86" s="219"/>
      <c r="I86" s="225"/>
    </row>
    <row r="87" ht="14.25" customHeight="1">
      <c r="G87" s="3"/>
      <c r="H87" s="208"/>
      <c r="I87" s="143"/>
    </row>
    <row r="88" ht="14.25" customHeight="1">
      <c r="G88" s="3"/>
      <c r="H88" s="208"/>
      <c r="I88" s="143"/>
    </row>
    <row r="89" ht="14.25" customHeight="1">
      <c r="G89" s="3"/>
      <c r="H89" s="208"/>
      <c r="I89" s="143"/>
    </row>
    <row r="90" ht="14.25" customHeight="1">
      <c r="A90" s="218"/>
      <c r="B90" s="219"/>
      <c r="C90" s="219"/>
      <c r="D90" s="219"/>
      <c r="E90" s="219"/>
      <c r="F90" s="219"/>
      <c r="G90" s="3"/>
      <c r="H90" s="219"/>
      <c r="I90" s="225"/>
    </row>
    <row r="91" ht="14.25" customHeight="1">
      <c r="G91" s="3"/>
      <c r="H91" s="208"/>
      <c r="I91" s="143"/>
    </row>
    <row r="92" ht="14.25" customHeight="1">
      <c r="G92" s="3"/>
      <c r="H92" s="208"/>
      <c r="I92" s="143"/>
    </row>
    <row r="93" ht="14.25" customHeight="1">
      <c r="A93" s="218"/>
      <c r="B93" s="219"/>
      <c r="C93" s="219"/>
      <c r="D93" s="219"/>
      <c r="E93" s="219"/>
      <c r="F93" s="219"/>
      <c r="G93" s="3"/>
      <c r="H93" s="219"/>
      <c r="I93" s="225"/>
    </row>
    <row r="94" ht="14.25" customHeight="1">
      <c r="G94" s="3"/>
      <c r="H94" s="208"/>
      <c r="I94" s="143"/>
    </row>
    <row r="95" ht="14.25" customHeight="1">
      <c r="G95" s="3"/>
      <c r="H95" s="208"/>
      <c r="I95" s="143"/>
    </row>
    <row r="96" ht="14.25" customHeight="1">
      <c r="A96" s="218"/>
      <c r="B96" s="219"/>
      <c r="C96" s="219"/>
      <c r="D96" s="219"/>
      <c r="E96" s="219"/>
      <c r="F96" s="219"/>
      <c r="G96" s="3"/>
      <c r="H96" s="219"/>
      <c r="I96" s="225"/>
    </row>
    <row r="97" ht="14.25" customHeight="1">
      <c r="A97" s="218"/>
      <c r="B97" s="219"/>
      <c r="C97" s="219"/>
      <c r="D97" s="219"/>
      <c r="E97" s="219"/>
      <c r="F97" s="219"/>
      <c r="G97" s="3"/>
      <c r="H97" s="247"/>
      <c r="I97" s="225"/>
    </row>
    <row r="98" ht="14.25" customHeight="1">
      <c r="A98" s="218"/>
      <c r="B98" s="219"/>
      <c r="C98" s="219"/>
      <c r="D98" s="219"/>
      <c r="E98" s="219"/>
      <c r="F98" s="219"/>
      <c r="G98" s="3"/>
      <c r="H98" s="219"/>
      <c r="I98" s="22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1" width="8.71"/>
    <col customWidth="1" min="12" max="12" width="10.14"/>
    <col customWidth="1" min="13" max="13" width="30.29"/>
  </cols>
  <sheetData>
    <row r="1" ht="33.75" customHeight="1">
      <c r="A1" s="91" t="str">
        <f>'01_C&amp;P'!A1</f>
        <v>EDIFICIO LAS HERAS</v>
      </c>
      <c r="B1" s="91"/>
      <c r="C1" s="91"/>
      <c r="G1" s="3"/>
    </row>
    <row r="2" ht="14.25" customHeight="1">
      <c r="G2" s="3"/>
    </row>
    <row r="3" ht="23.25" customHeight="1">
      <c r="A3" s="195" t="str">
        <f>'01_C&amp;P'!A22</f>
        <v>0.12</v>
      </c>
      <c r="B3" s="196" t="str">
        <f>IF($A3=0,"",VLOOKUP($A3,'01_C&amp;P'!$A$9:$D$192,2,FALSE))</f>
        <v>BASES</v>
      </c>
      <c r="C3" s="197"/>
      <c r="D3" s="197"/>
      <c r="E3" s="197"/>
      <c r="F3" s="197"/>
      <c r="G3" s="198"/>
      <c r="H3" s="199">
        <f>IF($A3=0,"",VLOOKUP($A3,'01_C&amp;P'!$A$9:$D$192,4,FALSE))</f>
        <v>108</v>
      </c>
      <c r="I3" s="200" t="str">
        <f>IF($A3=0,"",VLOOKUP($A3,'01_C&amp;P'!$A$9:$D$192,3,FALSE))</f>
        <v>m³</v>
      </c>
      <c r="M3" s="246" t="s">
        <v>1034</v>
      </c>
    </row>
    <row r="4" ht="14.25" customHeight="1">
      <c r="G4" s="3"/>
    </row>
    <row r="5" ht="14.25" customHeight="1">
      <c r="A5" s="201" t="s">
        <v>0</v>
      </c>
      <c r="B5" s="94"/>
      <c r="C5" s="94"/>
      <c r="D5" s="94"/>
      <c r="E5" s="94"/>
      <c r="F5" s="94"/>
      <c r="G5" s="2"/>
      <c r="H5" s="94"/>
      <c r="I5" s="94"/>
    </row>
    <row r="6" ht="14.25" customHeight="1">
      <c r="A6" s="202" t="s">
        <v>988</v>
      </c>
      <c r="B6" s="202" t="s">
        <v>989</v>
      </c>
      <c r="C6" s="202" t="s">
        <v>990</v>
      </c>
      <c r="D6" s="203" t="s">
        <v>991</v>
      </c>
      <c r="E6" s="197"/>
      <c r="F6" s="202" t="s">
        <v>992</v>
      </c>
      <c r="G6" s="4" t="s">
        <v>993</v>
      </c>
      <c r="H6" s="202" t="s">
        <v>994</v>
      </c>
      <c r="I6" s="202" t="s">
        <v>995</v>
      </c>
    </row>
    <row r="7" ht="14.25" customHeight="1">
      <c r="A7" s="229" t="s">
        <v>560</v>
      </c>
      <c r="B7" s="92" t="str">
        <f>IF($A7=0,"",VLOOKUP($A7,'00_Mat'!$A$4:$J$1135,2,FALSE))</f>
        <v>Hormigon H30</v>
      </c>
      <c r="C7" s="92" t="str">
        <f>IF($A7=0,"",VLOOKUP($A7,'00_Mat'!$A$4:$J$1135,3,FALSE))</f>
        <v>m3</v>
      </c>
      <c r="D7" s="230">
        <f>H3</f>
        <v>108</v>
      </c>
      <c r="E7" s="204"/>
      <c r="F7" s="206">
        <v>0.1</v>
      </c>
      <c r="G7" s="221">
        <f t="shared" ref="G7:G18" si="1">ROUNDUP((D7+(D7*F7)),0)</f>
        <v>119</v>
      </c>
      <c r="H7" s="143">
        <f>IF($A7=0,"",VLOOKUP($A7,'00_Mat'!$A$4:$J$1135,5,FALSE))</f>
        <v>158000</v>
      </c>
      <c r="I7" s="143">
        <f t="shared" ref="I7:I18" si="2">G7*H7</f>
        <v>18802000</v>
      </c>
      <c r="J7" s="231" t="s">
        <v>548</v>
      </c>
    </row>
    <row r="8" ht="14.25" customHeight="1">
      <c r="A8" s="3" t="s">
        <v>132</v>
      </c>
      <c r="B8" s="92" t="str">
        <f>IF($A8=0,"",VLOOKUP($A8,'00_Mat'!$A$4:$J$1135,2,FALSE))</f>
        <v>Hierros ADN 420 Φ 6 </v>
      </c>
      <c r="C8" s="92" t="str">
        <f>IF($A8=0,"",VLOOKUP($A8,'00_Mat'!$A$4:$J$1135,3,FALSE))</f>
        <v>u</v>
      </c>
      <c r="D8" s="230"/>
      <c r="E8" s="204"/>
      <c r="F8" s="206">
        <v>0.1</v>
      </c>
      <c r="G8" s="221">
        <f t="shared" si="1"/>
        <v>0</v>
      </c>
      <c r="H8" s="143">
        <f>IF($A8=0,"",VLOOKUP($A8,'00_Mat'!$A$4:$J$1135,5,FALSE))</f>
        <v>5250</v>
      </c>
      <c r="I8" s="143">
        <f t="shared" si="2"/>
        <v>0</v>
      </c>
      <c r="J8" s="153" t="s">
        <v>1028</v>
      </c>
    </row>
    <row r="9" ht="14.25" customHeight="1">
      <c r="A9" s="3" t="s">
        <v>134</v>
      </c>
      <c r="B9" s="92" t="str">
        <f>IF($A9=0,"",VLOOKUP($A9,'00_Mat'!$A$4:$J$1135,2,FALSE))</f>
        <v>Hierros ADN 420 Φ 8</v>
      </c>
      <c r="C9" s="92" t="str">
        <f>IF($A9=0,"",VLOOKUP($A9,'00_Mat'!$A$4:$J$1135,3,FALSE))</f>
        <v>u</v>
      </c>
      <c r="D9" s="229"/>
      <c r="E9" s="204"/>
      <c r="F9" s="206">
        <v>0.1</v>
      </c>
      <c r="G9" s="221">
        <f t="shared" si="1"/>
        <v>0</v>
      </c>
      <c r="H9" s="143">
        <f>IF($A9=0,"",VLOOKUP($A9,'00_Mat'!$A$4:$J$1135,5,FALSE))</f>
        <v>9050</v>
      </c>
      <c r="I9" s="143">
        <f t="shared" si="2"/>
        <v>0</v>
      </c>
    </row>
    <row r="10" ht="14.25" customHeight="1">
      <c r="A10" s="3" t="s">
        <v>136</v>
      </c>
      <c r="B10" s="92" t="str">
        <f>IF($A10=0,"",VLOOKUP($A10,'00_Mat'!$A$4:$J$1135,2,FALSE))</f>
        <v>Hierros ADN 420Φ 10</v>
      </c>
      <c r="C10" s="92" t="str">
        <f>IF($A10=0,"",VLOOKUP($A10,'00_Mat'!$A$4:$J$1135,3,FALSE))</f>
        <v>u</v>
      </c>
      <c r="D10" s="229">
        <v>30.0</v>
      </c>
      <c r="E10" s="204"/>
      <c r="F10" s="236">
        <v>0.15</v>
      </c>
      <c r="G10" s="221">
        <f t="shared" si="1"/>
        <v>35</v>
      </c>
      <c r="H10" s="143">
        <f>IF($A10=0,"",VLOOKUP($A10,'00_Mat'!$A$4:$J$1135,5,FALSE))</f>
        <v>11237</v>
      </c>
      <c r="I10" s="143">
        <f t="shared" si="2"/>
        <v>393295</v>
      </c>
    </row>
    <row r="11" ht="14.25" customHeight="1">
      <c r="A11" s="3" t="s">
        <v>138</v>
      </c>
      <c r="B11" s="92" t="str">
        <f>IF($A11=0,"",VLOOKUP($A11,'00_Mat'!$A$4:$J$1135,2,FALSE))</f>
        <v>Hierros ADN 420 Φ 12</v>
      </c>
      <c r="C11" s="92" t="str">
        <f>IF($A11=0,"",VLOOKUP($A11,'00_Mat'!$A$4:$J$1135,3,FALSE))</f>
        <v>u</v>
      </c>
      <c r="D11" s="229">
        <v>120.0</v>
      </c>
      <c r="E11" s="204"/>
      <c r="F11" s="236">
        <v>0.15</v>
      </c>
      <c r="G11" s="221">
        <f t="shared" si="1"/>
        <v>138</v>
      </c>
      <c r="H11" s="143">
        <f>IF($A11=0,"",VLOOKUP($A11,'00_Mat'!$A$4:$J$1135,5,FALSE))</f>
        <v>20442.5</v>
      </c>
      <c r="I11" s="143">
        <f t="shared" si="2"/>
        <v>2821065</v>
      </c>
    </row>
    <row r="12" ht="14.25" customHeight="1">
      <c r="A12" s="3" t="s">
        <v>140</v>
      </c>
      <c r="B12" s="92" t="str">
        <f>IF($A12=0,"",VLOOKUP($A12,'00_Mat'!$A$4:$J$1135,2,FALSE))</f>
        <v>Hierros ADN 420 Φ 16</v>
      </c>
      <c r="C12" s="92" t="str">
        <f>IF($A12=0,"",VLOOKUP($A12,'00_Mat'!$A$4:$J$1135,3,FALSE))</f>
        <v>u</v>
      </c>
      <c r="D12" s="229">
        <v>90.0</v>
      </c>
      <c r="E12" s="204"/>
      <c r="F12" s="236">
        <v>0.15</v>
      </c>
      <c r="G12" s="221">
        <f t="shared" si="1"/>
        <v>104</v>
      </c>
      <c r="H12" s="143">
        <f>IF($A12=0,"",VLOOKUP($A12,'00_Mat'!$A$4:$J$1135,5,FALSE))</f>
        <v>36603.12</v>
      </c>
      <c r="I12" s="143">
        <f t="shared" si="2"/>
        <v>3806724.48</v>
      </c>
    </row>
    <row r="13" ht="14.25" customHeight="1">
      <c r="A13" s="20" t="s">
        <v>142</v>
      </c>
      <c r="B13" s="92" t="str">
        <f>IF($A13=0,"",VLOOKUP($A13,'00_Mat'!$A$4:$J$1135,2,FALSE))</f>
        <v>Hierros ADN 420 Φ 20</v>
      </c>
      <c r="C13" s="92" t="str">
        <f>IF($A13=0,"",VLOOKUP($A13,'00_Mat'!$A$4:$J$1135,3,FALSE))</f>
        <v>U</v>
      </c>
      <c r="D13" s="229">
        <v>20.0</v>
      </c>
      <c r="E13" s="204"/>
      <c r="F13" s="236">
        <v>0.15</v>
      </c>
      <c r="G13" s="221">
        <f t="shared" si="1"/>
        <v>23</v>
      </c>
      <c r="H13" s="143">
        <f>IF($A13=0,"",VLOOKUP($A13,'00_Mat'!$A$4:$J$1135,5,FALSE))</f>
        <v>55000</v>
      </c>
      <c r="I13" s="143">
        <f t="shared" si="2"/>
        <v>1265000</v>
      </c>
    </row>
    <row r="14" ht="14.25" customHeight="1">
      <c r="A14" s="3" t="s">
        <v>300</v>
      </c>
      <c r="B14" s="92" t="str">
        <f>IF($A14=0,"",VLOOKUP($A14,'00_Mat'!$A$4:$J$1135,2,FALSE))</f>
        <v>Fenolico 18mm Miraluz 125 GR con film</v>
      </c>
      <c r="C14" s="92" t="str">
        <f>IF($A14=0,"",VLOOKUP($A14,'00_Mat'!$A$4:$J$1135,3,FALSE))</f>
        <v>u</v>
      </c>
      <c r="D14" s="229"/>
      <c r="E14" s="204"/>
      <c r="F14" s="236">
        <v>0.25</v>
      </c>
      <c r="G14" s="221">
        <f t="shared" si="1"/>
        <v>0</v>
      </c>
      <c r="H14" s="143">
        <f>IF($A14=0,"",VLOOKUP($A14,'00_Mat'!$A$4:$J$1135,5,FALSE))</f>
        <v>55260</v>
      </c>
      <c r="I14" s="143">
        <f t="shared" si="2"/>
        <v>0</v>
      </c>
      <c r="J14" s="153" t="s">
        <v>1029</v>
      </c>
    </row>
    <row r="15" ht="14.25" customHeight="1">
      <c r="A15" s="3" t="s">
        <v>303</v>
      </c>
      <c r="B15" s="92" t="str">
        <f>IF($A15=0,"",VLOOKUP($A15,'00_Mat'!$A$4:$J$1135,2,FALSE))</f>
        <v>Fenolico 18mm Grandis 2 Buenas cal 3/3</v>
      </c>
      <c r="C15" s="92" t="str">
        <f>IF($A15=0,"",VLOOKUP($A15,'00_Mat'!$A$4:$J$1135,3,FALSE))</f>
        <v>u</v>
      </c>
      <c r="D15" s="229"/>
      <c r="E15" s="204"/>
      <c r="F15" s="236">
        <v>0.2</v>
      </c>
      <c r="G15" s="221">
        <f t="shared" si="1"/>
        <v>0</v>
      </c>
      <c r="H15" s="143">
        <f>IF($A15=0,"",VLOOKUP($A15,'00_Mat'!$A$4:$J$1135,5,FALSE))</f>
        <v>45454</v>
      </c>
      <c r="I15" s="143">
        <f t="shared" si="2"/>
        <v>0</v>
      </c>
      <c r="J15" s="153" t="s">
        <v>1030</v>
      </c>
    </row>
    <row r="16" ht="14.25" customHeight="1">
      <c r="A16" s="3" t="s">
        <v>602</v>
      </c>
      <c r="B16" s="92" t="str">
        <f>IF($A16=0,"",VLOOKUP($A16,'00_Mat'!$A$4:$J$1135,2,FALSE))</f>
        <v>Bomba Pluma Traslado e Instalacion</v>
      </c>
      <c r="C16" s="92" t="str">
        <f>IF($A16=0,"",VLOOKUP($A16,'00_Mat'!$A$4:$J$1135,3,FALSE))</f>
        <v>u</v>
      </c>
      <c r="D16" s="229">
        <v>1.0</v>
      </c>
      <c r="E16" s="204"/>
      <c r="F16" s="206"/>
      <c r="G16" s="221">
        <f t="shared" si="1"/>
        <v>1</v>
      </c>
      <c r="H16" s="143">
        <f>IF($A16=0,"",VLOOKUP($A16,'00_Mat'!$A$4:$J$1135,5,FALSE))</f>
        <v>600000</v>
      </c>
      <c r="I16" s="143">
        <f t="shared" si="2"/>
        <v>600000</v>
      </c>
      <c r="J16" s="153" t="s">
        <v>1031</v>
      </c>
    </row>
    <row r="17" ht="14.25" customHeight="1">
      <c r="A17" s="3" t="s">
        <v>604</v>
      </c>
      <c r="B17" s="92" t="str">
        <f>IF($A17=0,"",VLOOKUP($A17,'00_Mat'!$A$4:$J$1135,2,FALSE))</f>
        <v>Bomba Pluma m3 bombeable</v>
      </c>
      <c r="C17" s="92" t="str">
        <f>IF($A17=0,"",VLOOKUP($A17,'00_Mat'!$A$4:$J$1135,3,FALSE))</f>
        <v>m3</v>
      </c>
      <c r="D17" s="205">
        <f>D7+'0.13'!D7</f>
        <v>128</v>
      </c>
      <c r="E17" s="204"/>
      <c r="F17" s="206">
        <v>0.1</v>
      </c>
      <c r="G17" s="221">
        <f t="shared" si="1"/>
        <v>141</v>
      </c>
      <c r="H17" s="143">
        <f>IF($A17=0,"",VLOOKUP($A17,'00_Mat'!$A$4:$J$1135,5,FALSE))</f>
        <v>6000</v>
      </c>
      <c r="I17" s="143">
        <f t="shared" si="2"/>
        <v>846000</v>
      </c>
      <c r="J17" s="153" t="s">
        <v>1032</v>
      </c>
    </row>
    <row r="18" ht="14.25" customHeight="1">
      <c r="A18" s="204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04"/>
      <c r="E18" s="204"/>
      <c r="F18" s="206">
        <v>0.1</v>
      </c>
      <c r="G18" s="221">
        <f t="shared" si="1"/>
        <v>0</v>
      </c>
      <c r="H18" s="143" t="str">
        <f>IF($A18=0,"",VLOOKUP($A18,'00_Mat'!$A$4:$J$1135,5,FALSE))</f>
        <v/>
      </c>
      <c r="I18" s="143">
        <f t="shared" si="2"/>
        <v>0</v>
      </c>
    </row>
    <row r="19" ht="14.25" customHeight="1">
      <c r="F19" s="208"/>
      <c r="G19" s="3"/>
      <c r="H19" s="143"/>
      <c r="I19" s="143"/>
    </row>
    <row r="20" ht="14.25" customHeight="1">
      <c r="A20" s="222" t="s">
        <v>996</v>
      </c>
      <c r="B20" s="223"/>
      <c r="C20" s="223"/>
      <c r="D20" s="223"/>
      <c r="E20" s="223"/>
      <c r="F20" s="223"/>
      <c r="G20" s="211"/>
      <c r="H20" s="223"/>
      <c r="I20" s="224">
        <f>SUM(I7:I18)</f>
        <v>28534084.48</v>
      </c>
      <c r="J20" s="92"/>
      <c r="K20" s="92"/>
      <c r="L20" s="92"/>
    </row>
    <row r="21" ht="14.25" customHeight="1">
      <c r="A21" s="232" t="str">
        <f>$I$3</f>
        <v>m³</v>
      </c>
      <c r="B21" s="233"/>
      <c r="C21" s="233"/>
      <c r="D21" s="233"/>
      <c r="E21" s="233"/>
      <c r="F21" s="233"/>
      <c r="G21" s="21"/>
      <c r="H21" s="233"/>
      <c r="I21" s="205">
        <f>$H$3</f>
        <v>108</v>
      </c>
      <c r="J21" s="92"/>
      <c r="K21" s="92"/>
      <c r="L21" s="92"/>
    </row>
    <row r="22" ht="14.25" customHeight="1">
      <c r="A22" s="234" t="s">
        <v>997</v>
      </c>
      <c r="B22" s="232" t="str">
        <f>A21</f>
        <v>m³</v>
      </c>
      <c r="C22" s="233"/>
      <c r="D22" s="233"/>
      <c r="E22" s="233"/>
      <c r="F22" s="233"/>
      <c r="G22" s="21"/>
      <c r="H22" s="233"/>
      <c r="I22" s="235">
        <f>I20/I21</f>
        <v>264204.4859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01" t="s">
        <v>998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02" t="s">
        <v>988</v>
      </c>
      <c r="B26" s="202" t="s">
        <v>989</v>
      </c>
      <c r="C26" s="202" t="s">
        <v>990</v>
      </c>
      <c r="D26" s="202" t="s">
        <v>991</v>
      </c>
      <c r="E26" s="202" t="s">
        <v>999</v>
      </c>
      <c r="F26" s="202" t="s">
        <v>992</v>
      </c>
      <c r="G26" s="4" t="s">
        <v>993</v>
      </c>
      <c r="H26" s="202" t="s">
        <v>994</v>
      </c>
      <c r="I26" s="202" t="s">
        <v>995</v>
      </c>
    </row>
    <row r="27" ht="14.25" customHeight="1">
      <c r="A27" s="61" t="s">
        <v>621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29">
        <v>1.0</v>
      </c>
      <c r="E27" s="229">
        <v>7.0</v>
      </c>
      <c r="F27" s="236">
        <v>0.25</v>
      </c>
      <c r="G27" s="217">
        <f t="shared" ref="G27:G32" si="3">ROUNDUP(((D27*E27)*(1+F27)),0)</f>
        <v>9</v>
      </c>
      <c r="H27" s="143">
        <f>IF($A27=0,"",VLOOKUP($A27,'00_MO'!$A$4:$D$7,4,FALSE))</f>
        <v>120000</v>
      </c>
      <c r="I27" s="143">
        <f t="shared" ref="I27:I32" si="4">G27*H27</f>
        <v>1080000</v>
      </c>
    </row>
    <row r="28" ht="14.25" customHeight="1">
      <c r="A28" s="61" t="s">
        <v>623</v>
      </c>
      <c r="B28" s="92" t="str">
        <f>IF($A28=0,"",VLOOKUP($A28,'00_MO'!$A$4:$D$7,2,FALSE))</f>
        <v>Puntero</v>
      </c>
      <c r="C28" s="92" t="str">
        <f>IF($A28=0,"",VLOOKUP($A28,'00_MO'!$A$4:$D$7,3,FALSE))</f>
        <v>u</v>
      </c>
      <c r="D28" s="229">
        <v>2.0</v>
      </c>
      <c r="E28" s="229">
        <v>7.0</v>
      </c>
      <c r="F28" s="236">
        <v>0.25</v>
      </c>
      <c r="G28" s="217">
        <f t="shared" si="3"/>
        <v>18</v>
      </c>
      <c r="H28" s="143">
        <f>IF($A28=0,"",VLOOKUP($A28,'00_MO'!$A$4:$D$7,4,FALSE))</f>
        <v>105000</v>
      </c>
      <c r="I28" s="143">
        <f t="shared" si="4"/>
        <v>1890000</v>
      </c>
    </row>
    <row r="29" ht="14.25" customHeight="1">
      <c r="A29" s="61" t="s">
        <v>625</v>
      </c>
      <c r="B29" s="92" t="str">
        <f>IF($A29=0,"",VLOOKUP($A29,'00_MO'!$A$4:$D$7,2,FALSE))</f>
        <v>Oficial</v>
      </c>
      <c r="C29" s="92" t="str">
        <f>IF($A29=0,"",VLOOKUP($A29,'00_MO'!$A$4:$D$7,3,FALSE))</f>
        <v>u</v>
      </c>
      <c r="D29" s="229">
        <v>3.0</v>
      </c>
      <c r="E29" s="229">
        <v>7.0</v>
      </c>
      <c r="F29" s="236">
        <v>0.25</v>
      </c>
      <c r="G29" s="217">
        <f t="shared" si="3"/>
        <v>27</v>
      </c>
      <c r="H29" s="143">
        <f>IF($A29=0,"",VLOOKUP($A29,'00_MO'!$A$4:$D$7,4,FALSE))</f>
        <v>90000</v>
      </c>
      <c r="I29" s="143">
        <f t="shared" si="4"/>
        <v>2430000</v>
      </c>
    </row>
    <row r="30" ht="14.25" customHeight="1">
      <c r="A30" s="61" t="s">
        <v>627</v>
      </c>
      <c r="B30" s="92" t="str">
        <f>IF($A30=0,"",VLOOKUP($A30,'00_MO'!$A$4:$D$7,2,FALSE))</f>
        <v>Ayudante</v>
      </c>
      <c r="C30" s="92" t="str">
        <f>IF($A30=0,"",VLOOKUP($A30,'00_MO'!$A$4:$D$7,3,FALSE))</f>
        <v>u</v>
      </c>
      <c r="D30" s="229">
        <v>3.0</v>
      </c>
      <c r="E30" s="229">
        <v>7.0</v>
      </c>
      <c r="F30" s="236">
        <v>0.25</v>
      </c>
      <c r="G30" s="217">
        <f t="shared" si="3"/>
        <v>27</v>
      </c>
      <c r="H30" s="143">
        <f>IF($A30=0,"",VLOOKUP($A30,'00_MO'!$A$4:$D$7,4,FALSE))</f>
        <v>60000</v>
      </c>
      <c r="I30" s="143">
        <f t="shared" si="4"/>
        <v>1620000</v>
      </c>
    </row>
    <row r="31" ht="14.25" customHeight="1">
      <c r="A31" s="204"/>
      <c r="B31" s="92" t="str">
        <f>IF($A31=0,"",VLOOKUP($A31,'00_MO'!$A$4:$D$7,2,FALSE))</f>
        <v/>
      </c>
      <c r="C31" s="92" t="str">
        <f>IF($A31=0,"",VLOOKUP($A31,'00_MO'!$A$4:$D$7,3,FALSE))</f>
        <v/>
      </c>
      <c r="D31" s="204"/>
      <c r="E31" s="229"/>
      <c r="F31" s="206"/>
      <c r="G31" s="217">
        <f t="shared" si="3"/>
        <v>0</v>
      </c>
      <c r="H31" s="143" t="str">
        <f>IF($A31=0,"",VLOOKUP($A31,'00_MO'!$A$4:$D$7,4,FALSE))</f>
        <v/>
      </c>
      <c r="I31" s="143">
        <f t="shared" si="4"/>
        <v>0</v>
      </c>
    </row>
    <row r="32" ht="14.25" customHeight="1">
      <c r="A32" s="204"/>
      <c r="B32" s="92" t="str">
        <f>IF($A32=0,"",VLOOKUP($A32,'00_MO'!$A$4:$D$7,2,FALSE))</f>
        <v/>
      </c>
      <c r="C32" s="92" t="str">
        <f>IF($A32=0,"",VLOOKUP($A32,'00_MO'!$A$4:$D$7,3,FALSE))</f>
        <v/>
      </c>
      <c r="D32" s="204"/>
      <c r="E32" s="204"/>
      <c r="F32" s="206"/>
      <c r="G32" s="217">
        <f t="shared" si="3"/>
        <v>0</v>
      </c>
      <c r="H32" s="143" t="str">
        <f>IF($A32=0,"",VLOOKUP($A32,'00_MO'!$A$4:$D$7,4,FALSE))</f>
        <v/>
      </c>
      <c r="I32" s="143">
        <f t="shared" si="4"/>
        <v>0</v>
      </c>
    </row>
    <row r="33" ht="14.25" customHeight="1">
      <c r="F33" s="208"/>
      <c r="G33" s="3"/>
      <c r="H33" s="143"/>
      <c r="I33" s="143"/>
    </row>
    <row r="34" ht="14.25" customHeight="1">
      <c r="A34" s="222" t="s">
        <v>987</v>
      </c>
      <c r="B34" s="223"/>
      <c r="C34" s="223"/>
      <c r="D34" s="223"/>
      <c r="E34" s="223"/>
      <c r="F34" s="223"/>
      <c r="G34" s="211"/>
      <c r="H34" s="223"/>
      <c r="I34" s="224">
        <f>SUM(I27:I32)</f>
        <v>7020000</v>
      </c>
    </row>
    <row r="35" ht="14.25" customHeight="1">
      <c r="A35" s="232" t="str">
        <f>$I$3</f>
        <v>m³</v>
      </c>
      <c r="B35" s="233"/>
      <c r="C35" s="233"/>
      <c r="D35" s="233"/>
      <c r="E35" s="233"/>
      <c r="F35" s="233"/>
      <c r="G35" s="21"/>
      <c r="H35" s="233"/>
      <c r="I35" s="205">
        <f>$H$3</f>
        <v>108</v>
      </c>
      <c r="J35" s="92"/>
      <c r="K35" s="92"/>
      <c r="L35" s="92"/>
    </row>
    <row r="36" ht="14.25" customHeight="1">
      <c r="A36" s="234" t="s">
        <v>997</v>
      </c>
      <c r="B36" s="232" t="str">
        <f>A35</f>
        <v>m³</v>
      </c>
      <c r="C36" s="233"/>
      <c r="D36" s="233"/>
      <c r="E36" s="233"/>
      <c r="F36" s="233"/>
      <c r="G36" s="21"/>
      <c r="H36" s="233"/>
      <c r="I36" s="235">
        <f>I34/I35</f>
        <v>65000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01" t="s">
        <v>1000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02" t="s">
        <v>988</v>
      </c>
      <c r="B40" s="202" t="s">
        <v>989</v>
      </c>
      <c r="C40" s="202" t="s">
        <v>990</v>
      </c>
      <c r="D40" s="202" t="s">
        <v>991</v>
      </c>
      <c r="E40" s="202" t="s">
        <v>999</v>
      </c>
      <c r="F40" s="202" t="s">
        <v>992</v>
      </c>
      <c r="G40" s="4" t="s">
        <v>993</v>
      </c>
      <c r="H40" s="202" t="s">
        <v>994</v>
      </c>
      <c r="I40" s="202" t="s">
        <v>995</v>
      </c>
    </row>
    <row r="41" ht="14.25" customHeight="1">
      <c r="A41" s="204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04"/>
      <c r="E41" s="204"/>
      <c r="F41" s="206"/>
      <c r="G41" s="217">
        <f t="shared" ref="G41:G46" si="5">ROUNDUP(((D41*E41)*(1+F41)),0)</f>
        <v>0</v>
      </c>
      <c r="H41" s="143" t="str">
        <f>IF($A41=0,"",VLOOKUP($A41,'00_Eq'!$A$4:$D$100,4,FALSE))</f>
        <v/>
      </c>
      <c r="I41" s="143">
        <f t="shared" ref="I41:I44" si="6">G41*H41</f>
        <v>0</v>
      </c>
    </row>
    <row r="42" ht="14.25" customHeight="1">
      <c r="A42" s="204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04"/>
      <c r="E42" s="204"/>
      <c r="F42" s="206"/>
      <c r="G42" s="217">
        <f t="shared" si="5"/>
        <v>0</v>
      </c>
      <c r="H42" s="143" t="str">
        <f>IF($A42=0,"",VLOOKUP($A42,'00_Eq'!$A$4:$D$100,4,FALSE))</f>
        <v/>
      </c>
      <c r="I42" s="143">
        <f t="shared" si="6"/>
        <v>0</v>
      </c>
    </row>
    <row r="43" ht="14.25" customHeight="1">
      <c r="A43" s="204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04"/>
      <c r="E43" s="204"/>
      <c r="F43" s="206"/>
      <c r="G43" s="217">
        <f t="shared" si="5"/>
        <v>0</v>
      </c>
      <c r="H43" s="143" t="str">
        <f>IF($A43=0,"",VLOOKUP($A43,'00_Eq'!$A$4:$D$100,4,FALSE))</f>
        <v/>
      </c>
      <c r="I43" s="143">
        <f t="shared" si="6"/>
        <v>0</v>
      </c>
    </row>
    <row r="44" ht="14.25" customHeight="1">
      <c r="A44" s="204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04"/>
      <c r="E44" s="204"/>
      <c r="F44" s="206"/>
      <c r="G44" s="217">
        <f t="shared" si="5"/>
        <v>0</v>
      </c>
      <c r="H44" s="143" t="str">
        <f>IF($A44=0,"",VLOOKUP($A44,'00_Eq'!$A$4:$D$100,4,FALSE))</f>
        <v/>
      </c>
      <c r="I44" s="143">
        <f t="shared" si="6"/>
        <v>0</v>
      </c>
    </row>
    <row r="45" ht="14.25" customHeight="1">
      <c r="A45" s="204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04"/>
      <c r="E45" s="204"/>
      <c r="F45" s="206"/>
      <c r="G45" s="217">
        <f t="shared" si="5"/>
        <v>0</v>
      </c>
      <c r="H45" s="143" t="str">
        <f>IF($A45=0,"",VLOOKUP($A45,'00_Eq'!$A$4:$D$100,4,FALSE))</f>
        <v/>
      </c>
      <c r="I45" s="143"/>
    </row>
    <row r="46" ht="14.25" customHeight="1">
      <c r="A46" s="204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04"/>
      <c r="E46" s="204"/>
      <c r="F46" s="206"/>
      <c r="G46" s="217">
        <f t="shared" si="5"/>
        <v>0</v>
      </c>
      <c r="H46" s="143" t="str">
        <f>IF($A46=0,"",VLOOKUP($A46,'00_Eq'!$A$4:$D$100,4,FALSE))</f>
        <v/>
      </c>
      <c r="I46" s="143"/>
    </row>
    <row r="47" ht="14.25" customHeight="1">
      <c r="F47" s="208"/>
      <c r="G47" s="3"/>
      <c r="H47" s="143"/>
      <c r="I47" s="143"/>
    </row>
    <row r="48" ht="14.25" customHeight="1">
      <c r="A48" s="222" t="s">
        <v>987</v>
      </c>
      <c r="B48" s="223"/>
      <c r="C48" s="223"/>
      <c r="D48" s="223"/>
      <c r="E48" s="223"/>
      <c r="F48" s="223"/>
      <c r="G48" s="211"/>
      <c r="H48" s="223"/>
      <c r="I48" s="224">
        <f>SUM(I41:I46)</f>
        <v>0</v>
      </c>
    </row>
    <row r="49" ht="14.25" customHeight="1">
      <c r="A49" s="232" t="str">
        <f>$I$3</f>
        <v>m³</v>
      </c>
      <c r="B49" s="233"/>
      <c r="C49" s="233"/>
      <c r="D49" s="233"/>
      <c r="E49" s="233"/>
      <c r="F49" s="233"/>
      <c r="G49" s="21"/>
      <c r="H49" s="233"/>
      <c r="I49" s="205">
        <f>$H$3</f>
        <v>108</v>
      </c>
      <c r="J49" s="92"/>
      <c r="K49" s="92"/>
      <c r="L49" s="92"/>
    </row>
    <row r="50" ht="14.25" customHeight="1">
      <c r="A50" s="234" t="s">
        <v>997</v>
      </c>
      <c r="B50" s="232" t="str">
        <f>A49</f>
        <v>m³</v>
      </c>
      <c r="C50" s="233"/>
      <c r="D50" s="233"/>
      <c r="E50" s="233"/>
      <c r="F50" s="233"/>
      <c r="G50" s="21"/>
      <c r="H50" s="233"/>
      <c r="I50" s="235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01" t="s">
        <v>1010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02" t="s">
        <v>988</v>
      </c>
      <c r="B54" s="202" t="s">
        <v>989</v>
      </c>
      <c r="C54" s="202" t="s">
        <v>990</v>
      </c>
      <c r="D54" s="202" t="s">
        <v>991</v>
      </c>
      <c r="E54" s="202"/>
      <c r="F54" s="202" t="s">
        <v>992</v>
      </c>
      <c r="G54" s="4" t="s">
        <v>993</v>
      </c>
      <c r="H54" s="202" t="s">
        <v>994</v>
      </c>
      <c r="I54" s="202" t="s">
        <v>995</v>
      </c>
    </row>
    <row r="55" ht="14.25" customHeight="1">
      <c r="A55" s="3"/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30"/>
      <c r="E55" s="204"/>
      <c r="F55" s="236">
        <v>0.1</v>
      </c>
      <c r="G55" s="221">
        <f t="shared" ref="G55:G60" si="7">ROUNDUP((D55+(D55*F55)),0)</f>
        <v>0</v>
      </c>
      <c r="H55" s="143" t="str">
        <f>IF($A55=0,"",VLOOKUP($A55,'00_Mat'!$A$4:$J$1135,5,FALSE))</f>
        <v/>
      </c>
      <c r="I55" s="143">
        <f t="shared" ref="I55:I60" si="8">G55*H55</f>
        <v>0</v>
      </c>
      <c r="J55" s="237"/>
    </row>
    <row r="56" ht="14.25" customHeight="1">
      <c r="A56" s="3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0"/>
      <c r="E56" s="204"/>
      <c r="F56" s="236">
        <v>0.1</v>
      </c>
      <c r="G56" s="221">
        <f t="shared" si="7"/>
        <v>0</v>
      </c>
      <c r="H56" s="143" t="str">
        <f>IF($A56=0,"",VLOOKUP($A56,'00_Mat'!$A$4:$J$1135,5,FALSE))</f>
        <v/>
      </c>
      <c r="I56" s="143">
        <f t="shared" si="8"/>
        <v>0</v>
      </c>
      <c r="J56" s="237"/>
    </row>
    <row r="57" ht="14.25" customHeight="1">
      <c r="A57" s="3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0">
        <v>20.0</v>
      </c>
      <c r="E57" s="204"/>
      <c r="F57" s="236">
        <v>0.1</v>
      </c>
      <c r="G57" s="221">
        <f t="shared" si="7"/>
        <v>22</v>
      </c>
      <c r="H57" s="143" t="str">
        <f>IF($A57=0,"",VLOOKUP($A57,'00_Mat'!$A$4:$J$1135,5,FALSE))</f>
        <v/>
      </c>
      <c r="I57" s="143">
        <f t="shared" si="8"/>
        <v>0</v>
      </c>
      <c r="J57" s="153" t="s">
        <v>1013</v>
      </c>
      <c r="L57" s="153" t="s">
        <v>1011</v>
      </c>
      <c r="M57" s="153" t="s">
        <v>1012</v>
      </c>
    </row>
    <row r="58" ht="14.25" customHeight="1">
      <c r="A58" s="20" t="s">
        <v>81</v>
      </c>
      <c r="B58" s="92" t="str">
        <f>IF($A58=0,"",VLOOKUP($A58,'00_Mat'!$A$4:$J$1135,2,FALSE))</f>
        <v>Alambre Fardo (50 k)</v>
      </c>
      <c r="C58" s="92" t="str">
        <f>IF($A58=0,"",VLOOKUP($A58,'00_Mat'!$A$4:$J$1135,3,FALSE))</f>
        <v>k</v>
      </c>
      <c r="D58" s="230">
        <v>2.0</v>
      </c>
      <c r="E58" s="204"/>
      <c r="F58" s="236">
        <v>0.1</v>
      </c>
      <c r="G58" s="221">
        <f t="shared" si="7"/>
        <v>3</v>
      </c>
      <c r="H58" s="143">
        <f>IF($A58=0,"",VLOOKUP($A58,'00_Mat'!$A$4:$J$1135,5,FALSE))</f>
        <v>220000</v>
      </c>
      <c r="I58" s="143">
        <f t="shared" si="8"/>
        <v>660000</v>
      </c>
      <c r="J58" s="153" t="s">
        <v>1033</v>
      </c>
    </row>
    <row r="59" ht="14.25" customHeight="1">
      <c r="C59" s="92" t="str">
        <f>IF($A58=0,"",VLOOKUP($A58,'00_Mat'!$A$4:$J$1135,3,FALSE))</f>
        <v>k</v>
      </c>
      <c r="D59" s="230"/>
      <c r="E59" s="204"/>
      <c r="F59" s="236">
        <v>0.1</v>
      </c>
      <c r="G59" s="221">
        <f t="shared" si="7"/>
        <v>0</v>
      </c>
      <c r="H59" s="143" t="str">
        <f>IF($A59=0,"",VLOOKUP($A59,'00_Mat'!$A$4:$J$1135,5,FALSE))</f>
        <v/>
      </c>
      <c r="I59" s="143">
        <f t="shared" si="8"/>
        <v>0</v>
      </c>
    </row>
    <row r="60" ht="14.25" customHeight="1">
      <c r="A60" s="204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05"/>
      <c r="E60" s="204"/>
      <c r="F60" s="206"/>
      <c r="G60" s="221">
        <f t="shared" si="7"/>
        <v>0</v>
      </c>
      <c r="H60" s="143" t="str">
        <f>IF($A60=0,"",VLOOKUP($A60,'00_Mat'!$A$4:$J$1135,5,FALSE))</f>
        <v/>
      </c>
      <c r="I60" s="143">
        <f t="shared" si="8"/>
        <v>0</v>
      </c>
    </row>
    <row r="61" ht="14.25" customHeight="1">
      <c r="F61" s="208"/>
      <c r="G61" s="3"/>
      <c r="H61" s="143"/>
      <c r="I61" s="143"/>
    </row>
    <row r="62" ht="14.25" customHeight="1">
      <c r="A62" s="222" t="s">
        <v>987</v>
      </c>
      <c r="B62" s="223"/>
      <c r="C62" s="223"/>
      <c r="D62" s="223"/>
      <c r="E62" s="223"/>
      <c r="F62" s="223"/>
      <c r="G62" s="211"/>
      <c r="H62" s="223"/>
      <c r="I62" s="224">
        <f>SUM(I55:I60)</f>
        <v>660000</v>
      </c>
    </row>
    <row r="63" ht="14.25" customHeight="1">
      <c r="A63" s="232" t="str">
        <f>$I$3</f>
        <v>m³</v>
      </c>
      <c r="B63" s="233"/>
      <c r="C63" s="233"/>
      <c r="D63" s="233"/>
      <c r="E63" s="233"/>
      <c r="F63" s="233"/>
      <c r="G63" s="21"/>
      <c r="H63" s="233"/>
      <c r="I63" s="205">
        <f>$H$3</f>
        <v>108</v>
      </c>
      <c r="J63" s="92"/>
      <c r="K63" s="92"/>
      <c r="L63" s="92"/>
    </row>
    <row r="64" ht="14.25" customHeight="1">
      <c r="A64" s="234" t="s">
        <v>997</v>
      </c>
      <c r="B64" s="232" t="str">
        <f>A63</f>
        <v>m³</v>
      </c>
      <c r="C64" s="233"/>
      <c r="D64" s="233"/>
      <c r="E64" s="233"/>
      <c r="F64" s="233"/>
      <c r="G64" s="21"/>
      <c r="H64" s="233"/>
      <c r="I64" s="235">
        <f>I62/I63</f>
        <v>6111.111111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01" t="s">
        <v>1025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02" t="s">
        <v>988</v>
      </c>
      <c r="B68" s="202" t="s">
        <v>989</v>
      </c>
      <c r="C68" s="202" t="s">
        <v>990</v>
      </c>
      <c r="D68" s="202" t="s">
        <v>991</v>
      </c>
      <c r="E68" s="202" t="s">
        <v>999</v>
      </c>
      <c r="F68" s="202" t="s">
        <v>992</v>
      </c>
      <c r="G68" s="4" t="s">
        <v>993</v>
      </c>
      <c r="H68" s="202" t="s">
        <v>994</v>
      </c>
      <c r="I68" s="202" t="s">
        <v>995</v>
      </c>
    </row>
    <row r="69" ht="14.25" customHeight="1">
      <c r="A69" s="204"/>
      <c r="B69" s="92" t="str">
        <f>IF($A69=0,"",VLOOKUP($A69,'00_Sub'!$A$4:$D$1007,2,FALSE))</f>
        <v/>
      </c>
      <c r="C69" s="92" t="str">
        <f>IF($A69=0,"",VLOOKUP($A69,'00_Sub'!$A$4:$D$1007,3,FALSE))</f>
        <v/>
      </c>
      <c r="D69" s="204"/>
      <c r="E69" s="204"/>
      <c r="F69" s="206"/>
      <c r="G69" s="221">
        <f t="shared" ref="G69:G74" si="9">ROUNDUP((D69+(D69*F69)),0)</f>
        <v>0</v>
      </c>
      <c r="H69" s="143" t="str">
        <f>IF($A69=0,"",VLOOKUP($A69,'00_Sub'!$A$4:$D$1007,4,FALSE))</f>
        <v/>
      </c>
      <c r="I69" s="143"/>
    </row>
    <row r="70" ht="14.25" customHeight="1">
      <c r="A70" s="204"/>
      <c r="B70" s="92" t="str">
        <f>IF($A70=0,"",VLOOKUP($A70,'00_Sub'!$A$4:$D$1007,2,FALSE))</f>
        <v/>
      </c>
      <c r="C70" s="92" t="str">
        <f>IF($A70=0,"",VLOOKUP($A70,'00_Sub'!$A$4:$D$1007,3,FALSE))</f>
        <v/>
      </c>
      <c r="D70" s="204"/>
      <c r="E70" s="204"/>
      <c r="F70" s="206"/>
      <c r="G70" s="221">
        <f t="shared" si="9"/>
        <v>0</v>
      </c>
      <c r="H70" s="143" t="str">
        <f>IF($A70=0,"",VLOOKUP($A70,'00_Sub'!$A$4:$D$1007,4,FALSE))</f>
        <v/>
      </c>
      <c r="I70" s="143"/>
    </row>
    <row r="71" ht="14.25" customHeight="1">
      <c r="A71" s="204"/>
      <c r="B71" s="92" t="str">
        <f>IF($A71=0,"",VLOOKUP($A71,'00_Sub'!$A$4:$D$1007,2,FALSE))</f>
        <v/>
      </c>
      <c r="C71" s="92" t="str">
        <f>IF($A71=0,"",VLOOKUP($A71,'00_Sub'!$A$4:$D$1007,3,FALSE))</f>
        <v/>
      </c>
      <c r="D71" s="204"/>
      <c r="E71" s="204"/>
      <c r="F71" s="206"/>
      <c r="G71" s="221">
        <f t="shared" si="9"/>
        <v>0</v>
      </c>
      <c r="H71" s="143" t="str">
        <f>IF($A71=0,"",VLOOKUP($A71,'00_Sub'!$A$4:$D$1007,4,FALSE))</f>
        <v/>
      </c>
      <c r="I71" s="143"/>
    </row>
    <row r="72" ht="14.25" customHeight="1">
      <c r="A72" s="204"/>
      <c r="B72" s="92" t="str">
        <f>IF($A72=0,"",VLOOKUP($A72,'00_Sub'!$A$4:$D$1007,2,FALSE))</f>
        <v/>
      </c>
      <c r="C72" s="92" t="str">
        <f>IF($A72=0,"",VLOOKUP($A72,'00_Sub'!$A$4:$D$1007,3,FALSE))</f>
        <v/>
      </c>
      <c r="D72" s="204"/>
      <c r="E72" s="204"/>
      <c r="F72" s="206"/>
      <c r="G72" s="221">
        <f t="shared" si="9"/>
        <v>0</v>
      </c>
      <c r="H72" s="143" t="str">
        <f>IF($A72=0,"",VLOOKUP($A72,'00_Sub'!$A$4:$D$1007,4,FALSE))</f>
        <v/>
      </c>
      <c r="I72" s="143"/>
    </row>
    <row r="73" ht="14.25" customHeight="1">
      <c r="A73" s="204"/>
      <c r="B73" s="92" t="str">
        <f>IF($A73=0,"",VLOOKUP($A73,'00_Sub'!$A$4:$D$1007,2,FALSE))</f>
        <v/>
      </c>
      <c r="C73" s="92" t="str">
        <f>IF($A73=0,"",VLOOKUP($A73,'00_Sub'!$A$4:$D$1007,3,FALSE))</f>
        <v/>
      </c>
      <c r="D73" s="204"/>
      <c r="E73" s="204"/>
      <c r="F73" s="206"/>
      <c r="G73" s="221">
        <f t="shared" si="9"/>
        <v>0</v>
      </c>
      <c r="H73" s="143" t="str">
        <f>IF($A73=0,"",VLOOKUP($A73,'00_Sub'!$A$4:$D$1007,4,FALSE))</f>
        <v/>
      </c>
      <c r="I73" s="143"/>
    </row>
    <row r="74" ht="14.25" customHeight="1">
      <c r="A74" s="204"/>
      <c r="B74" s="92" t="str">
        <f>IF($A74=0,"",VLOOKUP($A74,'00_Sub'!$A$4:$D$1007,2,FALSE))</f>
        <v/>
      </c>
      <c r="C74" s="92" t="str">
        <f>IF($A74=0,"",VLOOKUP($A74,'00_Sub'!$A$4:$D$1007,3,FALSE))</f>
        <v/>
      </c>
      <c r="D74" s="204"/>
      <c r="E74" s="204"/>
      <c r="F74" s="206"/>
      <c r="G74" s="221">
        <f t="shared" si="9"/>
        <v>0</v>
      </c>
      <c r="H74" s="143" t="str">
        <f>IF($A74=0,"",VLOOKUP($A74,'00_Sub'!$A$4:$D$1007,4,FALSE))</f>
        <v/>
      </c>
      <c r="I74" s="143"/>
    </row>
    <row r="75" ht="14.25" customHeight="1">
      <c r="F75" s="208"/>
      <c r="G75" s="3"/>
      <c r="H75" s="143"/>
      <c r="I75" s="143"/>
    </row>
    <row r="76" ht="14.25" customHeight="1">
      <c r="A76" s="222" t="s">
        <v>987</v>
      </c>
      <c r="B76" s="223"/>
      <c r="C76" s="223"/>
      <c r="D76" s="223"/>
      <c r="E76" s="223"/>
      <c r="F76" s="223"/>
      <c r="G76" s="211"/>
      <c r="H76" s="223"/>
      <c r="I76" s="224">
        <f>SUM(I69:I74)</f>
        <v>0</v>
      </c>
    </row>
    <row r="77" ht="14.25" customHeight="1">
      <c r="A77" s="232" t="str">
        <f>$I$3</f>
        <v>m³</v>
      </c>
      <c r="B77" s="233"/>
      <c r="C77" s="233"/>
      <c r="D77" s="233"/>
      <c r="E77" s="233"/>
      <c r="F77" s="233"/>
      <c r="G77" s="21"/>
      <c r="H77" s="233"/>
      <c r="I77" s="205">
        <f>$H$3</f>
        <v>108</v>
      </c>
      <c r="J77" s="92"/>
      <c r="K77" s="92"/>
      <c r="L77" s="92"/>
    </row>
    <row r="78" ht="14.25" customHeight="1">
      <c r="A78" s="234" t="s">
        <v>997</v>
      </c>
      <c r="B78" s="232" t="str">
        <f>A77</f>
        <v>m³</v>
      </c>
      <c r="C78" s="233"/>
      <c r="D78" s="233"/>
      <c r="E78" s="233"/>
      <c r="F78" s="233"/>
      <c r="G78" s="21"/>
      <c r="H78" s="233"/>
      <c r="I78" s="235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18"/>
      <c r="B82" s="219"/>
      <c r="C82" s="219"/>
      <c r="D82" s="219"/>
      <c r="E82" s="219"/>
      <c r="F82" s="219"/>
      <c r="G82" s="3"/>
      <c r="H82" s="219"/>
      <c r="I82" s="219"/>
    </row>
    <row r="83" ht="14.25" customHeight="1">
      <c r="A83" s="218"/>
      <c r="B83" s="219"/>
      <c r="C83" s="219"/>
      <c r="D83" s="219"/>
      <c r="E83" s="219"/>
      <c r="F83" s="219"/>
      <c r="G83" s="3"/>
      <c r="H83" s="219"/>
      <c r="I83" s="219"/>
    </row>
    <row r="84" ht="14.25" customHeight="1">
      <c r="G84" s="3"/>
      <c r="H84" s="208"/>
      <c r="I84" s="143"/>
    </row>
    <row r="85" ht="14.25" customHeight="1">
      <c r="G85" s="3"/>
      <c r="H85" s="208"/>
      <c r="I85" s="143"/>
    </row>
    <row r="86" ht="14.25" customHeight="1">
      <c r="A86" s="218"/>
      <c r="B86" s="219"/>
      <c r="C86" s="219"/>
      <c r="D86" s="219"/>
      <c r="E86" s="219"/>
      <c r="F86" s="219"/>
      <c r="G86" s="3"/>
      <c r="H86" s="219"/>
      <c r="I86" s="225"/>
    </row>
    <row r="87" ht="14.25" customHeight="1">
      <c r="G87" s="3"/>
      <c r="H87" s="208"/>
      <c r="I87" s="143"/>
    </row>
    <row r="88" ht="14.25" customHeight="1">
      <c r="G88" s="3"/>
      <c r="H88" s="208"/>
      <c r="I88" s="143"/>
    </row>
    <row r="89" ht="14.25" customHeight="1">
      <c r="G89" s="3"/>
      <c r="H89" s="208"/>
      <c r="I89" s="143"/>
    </row>
    <row r="90" ht="14.25" customHeight="1">
      <c r="A90" s="218"/>
      <c r="B90" s="219"/>
      <c r="C90" s="219"/>
      <c r="D90" s="219"/>
      <c r="E90" s="219"/>
      <c r="F90" s="219"/>
      <c r="G90" s="3"/>
      <c r="H90" s="219"/>
      <c r="I90" s="225"/>
    </row>
    <row r="91" ht="14.25" customHeight="1">
      <c r="G91" s="3"/>
      <c r="H91" s="208"/>
      <c r="I91" s="143"/>
    </row>
    <row r="92" ht="14.25" customHeight="1">
      <c r="G92" s="3"/>
      <c r="H92" s="208"/>
      <c r="I92" s="143"/>
    </row>
    <row r="93" ht="14.25" customHeight="1">
      <c r="A93" s="218"/>
      <c r="B93" s="219"/>
      <c r="C93" s="219"/>
      <c r="D93" s="219"/>
      <c r="E93" s="219"/>
      <c r="F93" s="219"/>
      <c r="G93" s="3"/>
      <c r="H93" s="219"/>
      <c r="I93" s="225"/>
    </row>
    <row r="94" ht="14.25" customHeight="1">
      <c r="G94" s="3"/>
      <c r="H94" s="208"/>
      <c r="I94" s="143"/>
    </row>
    <row r="95" ht="14.25" customHeight="1">
      <c r="G95" s="3"/>
      <c r="H95" s="208"/>
      <c r="I95" s="143"/>
    </row>
    <row r="96" ht="14.25" customHeight="1">
      <c r="A96" s="218"/>
      <c r="B96" s="219"/>
      <c r="C96" s="219"/>
      <c r="D96" s="219"/>
      <c r="E96" s="219"/>
      <c r="F96" s="219"/>
      <c r="G96" s="3"/>
      <c r="H96" s="219"/>
      <c r="I96" s="225"/>
    </row>
    <row r="97" ht="14.25" customHeight="1">
      <c r="A97" s="218"/>
      <c r="B97" s="219"/>
      <c r="C97" s="219"/>
      <c r="D97" s="219"/>
      <c r="E97" s="219"/>
      <c r="F97" s="219"/>
      <c r="G97" s="3"/>
      <c r="H97" s="247"/>
      <c r="I97" s="225"/>
    </row>
    <row r="98" ht="14.25" customHeight="1">
      <c r="A98" s="218"/>
      <c r="B98" s="219"/>
      <c r="C98" s="219"/>
      <c r="D98" s="219"/>
      <c r="E98" s="219"/>
      <c r="F98" s="219"/>
      <c r="G98" s="3"/>
      <c r="H98" s="219"/>
      <c r="I98" s="22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1" width="8.71"/>
    <col customWidth="1" min="12" max="12" width="10.14"/>
    <col customWidth="1" min="13" max="13" width="30.29"/>
  </cols>
  <sheetData>
    <row r="1" ht="33.75" customHeight="1">
      <c r="A1" s="91" t="str">
        <f>'01_C&amp;P'!A1</f>
        <v>EDIFICIO LAS HERAS</v>
      </c>
      <c r="B1" s="91"/>
      <c r="C1" s="91"/>
      <c r="G1" s="3"/>
    </row>
    <row r="2" ht="14.25" customHeight="1">
      <c r="G2" s="3"/>
    </row>
    <row r="3" ht="23.25" customHeight="1">
      <c r="A3" s="195" t="str">
        <f>'01_C&amp;P'!A23</f>
        <v>0.13</v>
      </c>
      <c r="B3" s="196" t="str">
        <f>IF($A3=0,"",VLOOKUP($A3,'01_C&amp;P'!$A$9:$D$192,2,FALSE))</f>
        <v>TRONCOS</v>
      </c>
      <c r="C3" s="197"/>
      <c r="D3" s="197"/>
      <c r="E3" s="197"/>
      <c r="F3" s="197"/>
      <c r="G3" s="198"/>
      <c r="H3" s="199">
        <f>IF($A3=0,"",VLOOKUP($A3,'01_C&amp;P'!$A$9:$D$192,4,FALSE))</f>
        <v>20</v>
      </c>
      <c r="I3" s="200" t="str">
        <f>IF($A3=0,"",VLOOKUP($A3,'01_C&amp;P'!$A$9:$D$192,3,FALSE))</f>
        <v>m³</v>
      </c>
      <c r="M3" s="246" t="s">
        <v>1034</v>
      </c>
    </row>
    <row r="4" ht="14.25" customHeight="1">
      <c r="G4" s="3"/>
    </row>
    <row r="5" ht="14.25" customHeight="1">
      <c r="A5" s="201" t="s">
        <v>0</v>
      </c>
      <c r="B5" s="94"/>
      <c r="C5" s="94"/>
      <c r="D5" s="94"/>
      <c r="E5" s="94"/>
      <c r="F5" s="94"/>
      <c r="G5" s="2"/>
      <c r="H5" s="94"/>
      <c r="I5" s="94"/>
    </row>
    <row r="6" ht="14.25" customHeight="1">
      <c r="A6" s="202" t="s">
        <v>988</v>
      </c>
      <c r="B6" s="202" t="s">
        <v>989</v>
      </c>
      <c r="C6" s="202" t="s">
        <v>990</v>
      </c>
      <c r="D6" s="203" t="s">
        <v>991</v>
      </c>
      <c r="E6" s="197"/>
      <c r="F6" s="202" t="s">
        <v>992</v>
      </c>
      <c r="G6" s="4" t="s">
        <v>993</v>
      </c>
      <c r="H6" s="202" t="s">
        <v>994</v>
      </c>
      <c r="I6" s="202" t="s">
        <v>995</v>
      </c>
    </row>
    <row r="7" ht="14.25" customHeight="1">
      <c r="A7" s="229" t="s">
        <v>560</v>
      </c>
      <c r="B7" s="92" t="str">
        <f>IF($A7=0,"",VLOOKUP($A7,'00_Mat'!$A$4:$J$1135,2,FALSE))</f>
        <v>Hormigon H30</v>
      </c>
      <c r="C7" s="92" t="str">
        <f>IF($A7=0,"",VLOOKUP($A7,'00_Mat'!$A$4:$J$1135,3,FALSE))</f>
        <v>m3</v>
      </c>
      <c r="D7" s="230">
        <f>H3</f>
        <v>20</v>
      </c>
      <c r="E7" s="204"/>
      <c r="F7" s="206">
        <v>0.1</v>
      </c>
      <c r="G7" s="221">
        <f t="shared" ref="G7:G18" si="1">ROUNDUP((D7+(D7*F7)),0)</f>
        <v>22</v>
      </c>
      <c r="H7" s="143">
        <f>IF($A7=0,"",VLOOKUP($A7,'00_Mat'!$A$4:$J$1135,5,FALSE))</f>
        <v>158000</v>
      </c>
      <c r="I7" s="143">
        <f t="shared" ref="I7:I18" si="2">G7*H7</f>
        <v>3476000</v>
      </c>
      <c r="J7" s="231" t="s">
        <v>548</v>
      </c>
    </row>
    <row r="8" ht="14.25" customHeight="1">
      <c r="A8" s="3" t="s">
        <v>132</v>
      </c>
      <c r="B8" s="92" t="str">
        <f>IF($A8=0,"",VLOOKUP($A8,'00_Mat'!$A$4:$J$1135,2,FALSE))</f>
        <v>Hierros ADN 420 Φ 6 </v>
      </c>
      <c r="C8" s="92" t="str">
        <f>IF($A8=0,"",VLOOKUP($A8,'00_Mat'!$A$4:$J$1135,3,FALSE))</f>
        <v>u</v>
      </c>
      <c r="D8" s="230"/>
      <c r="E8" s="204"/>
      <c r="F8" s="206">
        <v>0.1</v>
      </c>
      <c r="G8" s="221">
        <f t="shared" si="1"/>
        <v>0</v>
      </c>
      <c r="H8" s="143">
        <f>IF($A8=0,"",VLOOKUP($A8,'00_Mat'!$A$4:$J$1135,5,FALSE))</f>
        <v>5250</v>
      </c>
      <c r="I8" s="143">
        <f t="shared" si="2"/>
        <v>0</v>
      </c>
      <c r="J8" s="153" t="s">
        <v>1028</v>
      </c>
    </row>
    <row r="9" ht="14.25" customHeight="1">
      <c r="A9" s="3" t="s">
        <v>134</v>
      </c>
      <c r="B9" s="92" t="str">
        <f>IF($A9=0,"",VLOOKUP($A9,'00_Mat'!$A$4:$J$1135,2,FALSE))</f>
        <v>Hierros ADN 420 Φ 8</v>
      </c>
      <c r="C9" s="92" t="str">
        <f>IF($A9=0,"",VLOOKUP($A9,'00_Mat'!$A$4:$J$1135,3,FALSE))</f>
        <v>u</v>
      </c>
      <c r="D9" s="229"/>
      <c r="E9" s="204"/>
      <c r="F9" s="206">
        <v>0.1</v>
      </c>
      <c r="G9" s="221">
        <f t="shared" si="1"/>
        <v>0</v>
      </c>
      <c r="H9" s="143">
        <f>IF($A9=0,"",VLOOKUP($A9,'00_Mat'!$A$4:$J$1135,5,FALSE))</f>
        <v>9050</v>
      </c>
      <c r="I9" s="143">
        <f t="shared" si="2"/>
        <v>0</v>
      </c>
    </row>
    <row r="10" ht="14.25" customHeight="1">
      <c r="A10" s="3" t="s">
        <v>136</v>
      </c>
      <c r="B10" s="92" t="str">
        <f>IF($A10=0,"",VLOOKUP($A10,'00_Mat'!$A$4:$J$1135,2,FALSE))</f>
        <v>Hierros ADN 420Φ 10</v>
      </c>
      <c r="C10" s="92" t="str">
        <f>IF($A10=0,"",VLOOKUP($A10,'00_Mat'!$A$4:$J$1135,3,FALSE))</f>
        <v>u</v>
      </c>
      <c r="D10" s="229"/>
      <c r="E10" s="204"/>
      <c r="F10" s="236">
        <v>0.15</v>
      </c>
      <c r="G10" s="221">
        <f t="shared" si="1"/>
        <v>0</v>
      </c>
      <c r="H10" s="143">
        <f>IF($A10=0,"",VLOOKUP($A10,'00_Mat'!$A$4:$J$1135,5,FALSE))</f>
        <v>11237</v>
      </c>
      <c r="I10" s="143">
        <f t="shared" si="2"/>
        <v>0</v>
      </c>
    </row>
    <row r="11" ht="14.25" customHeight="1">
      <c r="A11" s="3" t="s">
        <v>138</v>
      </c>
      <c r="B11" s="92" t="str">
        <f>IF($A11=0,"",VLOOKUP($A11,'00_Mat'!$A$4:$J$1135,2,FALSE))</f>
        <v>Hierros ADN 420 Φ 12</v>
      </c>
      <c r="C11" s="92" t="str">
        <f>IF($A11=0,"",VLOOKUP($A11,'00_Mat'!$A$4:$J$1135,3,FALSE))</f>
        <v>u</v>
      </c>
      <c r="D11" s="229">
        <v>12.0</v>
      </c>
      <c r="E11" s="204"/>
      <c r="F11" s="236">
        <v>0.2</v>
      </c>
      <c r="G11" s="221">
        <f t="shared" si="1"/>
        <v>15</v>
      </c>
      <c r="H11" s="143">
        <f>IF($A11=0,"",VLOOKUP($A11,'00_Mat'!$A$4:$J$1135,5,FALSE))</f>
        <v>20442.5</v>
      </c>
      <c r="I11" s="143">
        <f t="shared" si="2"/>
        <v>306637.5</v>
      </c>
    </row>
    <row r="12" ht="14.25" customHeight="1">
      <c r="A12" s="3" t="s">
        <v>140</v>
      </c>
      <c r="B12" s="92" t="str">
        <f>IF($A12=0,"",VLOOKUP($A12,'00_Mat'!$A$4:$J$1135,2,FALSE))</f>
        <v>Hierros ADN 420 Φ 16</v>
      </c>
      <c r="C12" s="92" t="str">
        <f>IF($A12=0,"",VLOOKUP($A12,'00_Mat'!$A$4:$J$1135,3,FALSE))</f>
        <v>u</v>
      </c>
      <c r="D12" s="229">
        <v>40.0</v>
      </c>
      <c r="E12" s="204"/>
      <c r="F12" s="236">
        <v>0.2</v>
      </c>
      <c r="G12" s="221">
        <f t="shared" si="1"/>
        <v>48</v>
      </c>
      <c r="H12" s="143">
        <f>IF($A12=0,"",VLOOKUP($A12,'00_Mat'!$A$4:$J$1135,5,FALSE))</f>
        <v>36603.12</v>
      </c>
      <c r="I12" s="143">
        <f t="shared" si="2"/>
        <v>1756949.76</v>
      </c>
    </row>
    <row r="13" ht="14.25" customHeight="1">
      <c r="A13" s="20" t="s">
        <v>142</v>
      </c>
      <c r="B13" s="92" t="str">
        <f>IF($A13=0,"",VLOOKUP($A13,'00_Mat'!$A$4:$J$1135,2,FALSE))</f>
        <v>Hierros ADN 420 Φ 20</v>
      </c>
      <c r="C13" s="92" t="str">
        <f>IF($A13=0,"",VLOOKUP($A13,'00_Mat'!$A$4:$J$1135,3,FALSE))</f>
        <v>U</v>
      </c>
      <c r="D13" s="229"/>
      <c r="E13" s="204"/>
      <c r="F13" s="236">
        <v>0.15</v>
      </c>
      <c r="G13" s="221">
        <f t="shared" si="1"/>
        <v>0</v>
      </c>
      <c r="H13" s="143">
        <f>IF($A13=0,"",VLOOKUP($A13,'00_Mat'!$A$4:$J$1135,5,FALSE))</f>
        <v>55000</v>
      </c>
      <c r="I13" s="143">
        <f t="shared" si="2"/>
        <v>0</v>
      </c>
    </row>
    <row r="14" ht="14.25" customHeight="1">
      <c r="A14" s="3" t="s">
        <v>300</v>
      </c>
      <c r="B14" s="92" t="str">
        <f>IF($A14=0,"",VLOOKUP($A14,'00_Mat'!$A$4:$J$1135,2,FALSE))</f>
        <v>Fenolico 18mm Miraluz 125 GR con film</v>
      </c>
      <c r="C14" s="92" t="str">
        <f>IF($A14=0,"",VLOOKUP($A14,'00_Mat'!$A$4:$J$1135,3,FALSE))</f>
        <v>u</v>
      </c>
      <c r="D14" s="229"/>
      <c r="E14" s="204"/>
      <c r="F14" s="236">
        <v>0.25</v>
      </c>
      <c r="G14" s="221">
        <f t="shared" si="1"/>
        <v>0</v>
      </c>
      <c r="H14" s="143">
        <f>IF($A14=0,"",VLOOKUP($A14,'00_Mat'!$A$4:$J$1135,5,FALSE))</f>
        <v>55260</v>
      </c>
      <c r="I14" s="143">
        <f t="shared" si="2"/>
        <v>0</v>
      </c>
      <c r="J14" s="153" t="s">
        <v>1029</v>
      </c>
    </row>
    <row r="15" ht="14.25" customHeight="1">
      <c r="A15" s="3" t="s">
        <v>303</v>
      </c>
      <c r="B15" s="92" t="str">
        <f>IF($A15=0,"",VLOOKUP($A15,'00_Mat'!$A$4:$J$1135,2,FALSE))</f>
        <v>Fenolico 18mm Grandis 2 Buenas cal 3/3</v>
      </c>
      <c r="C15" s="92" t="str">
        <f>IF($A15=0,"",VLOOKUP($A15,'00_Mat'!$A$4:$J$1135,3,FALSE))</f>
        <v>u</v>
      </c>
      <c r="D15" s="229">
        <v>5.0</v>
      </c>
      <c r="E15" s="204"/>
      <c r="F15" s="236">
        <v>0.2</v>
      </c>
      <c r="G15" s="221">
        <f t="shared" si="1"/>
        <v>6</v>
      </c>
      <c r="H15" s="143">
        <f>IF($A15=0,"",VLOOKUP($A15,'00_Mat'!$A$4:$J$1135,5,FALSE))</f>
        <v>45454</v>
      </c>
      <c r="I15" s="143">
        <f t="shared" si="2"/>
        <v>272724</v>
      </c>
      <c r="J15" s="153" t="s">
        <v>1030</v>
      </c>
    </row>
    <row r="16" ht="14.25" customHeight="1">
      <c r="A16" s="3" t="s">
        <v>602</v>
      </c>
      <c r="B16" s="92" t="str">
        <f>IF($A16=0,"",VLOOKUP($A16,'00_Mat'!$A$4:$J$1135,2,FALSE))</f>
        <v>Bomba Pluma Traslado e Instalacion</v>
      </c>
      <c r="C16" s="92" t="str">
        <f>IF($A16=0,"",VLOOKUP($A16,'00_Mat'!$A$4:$J$1135,3,FALSE))</f>
        <v>u</v>
      </c>
      <c r="D16" s="229"/>
      <c r="E16" s="204"/>
      <c r="F16" s="206"/>
      <c r="G16" s="221">
        <f t="shared" si="1"/>
        <v>0</v>
      </c>
      <c r="H16" s="143">
        <f>IF($A16=0,"",VLOOKUP($A16,'00_Mat'!$A$4:$J$1135,5,FALSE))</f>
        <v>600000</v>
      </c>
      <c r="I16" s="143">
        <f t="shared" si="2"/>
        <v>0</v>
      </c>
      <c r="J16" s="153" t="s">
        <v>1031</v>
      </c>
    </row>
    <row r="17" ht="14.25" customHeight="1">
      <c r="A17" s="3" t="s">
        <v>604</v>
      </c>
      <c r="B17" s="92" t="str">
        <f>IF($A17=0,"",VLOOKUP($A17,'00_Mat'!$A$4:$J$1135,2,FALSE))</f>
        <v>Bomba Pluma m3 bombeable</v>
      </c>
      <c r="C17" s="92" t="str">
        <f>IF($A17=0,"",VLOOKUP($A17,'00_Mat'!$A$4:$J$1135,3,FALSE))</f>
        <v>m3</v>
      </c>
      <c r="D17" s="204"/>
      <c r="E17" s="204"/>
      <c r="F17" s="206">
        <v>0.1</v>
      </c>
      <c r="G17" s="221">
        <f t="shared" si="1"/>
        <v>0</v>
      </c>
      <c r="H17" s="143">
        <f>IF($A17=0,"",VLOOKUP($A17,'00_Mat'!$A$4:$J$1135,5,FALSE))</f>
        <v>6000</v>
      </c>
      <c r="I17" s="143">
        <f t="shared" si="2"/>
        <v>0</v>
      </c>
      <c r="J17" s="153" t="s">
        <v>1032</v>
      </c>
    </row>
    <row r="18" ht="14.25" customHeight="1">
      <c r="A18" s="204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04"/>
      <c r="E18" s="204"/>
      <c r="F18" s="206">
        <v>0.1</v>
      </c>
      <c r="G18" s="221">
        <f t="shared" si="1"/>
        <v>0</v>
      </c>
      <c r="H18" s="143" t="str">
        <f>IF($A18=0,"",VLOOKUP($A18,'00_Mat'!$A$4:$J$1135,5,FALSE))</f>
        <v/>
      </c>
      <c r="I18" s="143">
        <f t="shared" si="2"/>
        <v>0</v>
      </c>
    </row>
    <row r="19" ht="14.25" customHeight="1">
      <c r="F19" s="208"/>
      <c r="G19" s="3"/>
      <c r="H19" s="143"/>
      <c r="I19" s="143"/>
    </row>
    <row r="20" ht="14.25" customHeight="1">
      <c r="A20" s="222" t="s">
        <v>996</v>
      </c>
      <c r="B20" s="223"/>
      <c r="C20" s="223"/>
      <c r="D20" s="223"/>
      <c r="E20" s="223"/>
      <c r="F20" s="223"/>
      <c r="G20" s="211"/>
      <c r="H20" s="223"/>
      <c r="I20" s="224">
        <f>SUM(I7:I18)</f>
        <v>5812311.26</v>
      </c>
      <c r="J20" s="92"/>
      <c r="K20" s="92"/>
      <c r="L20" s="92"/>
    </row>
    <row r="21" ht="14.25" customHeight="1">
      <c r="A21" s="232" t="str">
        <f>$I$3</f>
        <v>m³</v>
      </c>
      <c r="B21" s="233"/>
      <c r="C21" s="233"/>
      <c r="D21" s="233"/>
      <c r="E21" s="233"/>
      <c r="F21" s="233"/>
      <c r="G21" s="21"/>
      <c r="H21" s="233"/>
      <c r="I21" s="205">
        <f>$H$3</f>
        <v>20</v>
      </c>
      <c r="J21" s="92"/>
      <c r="K21" s="92"/>
      <c r="L21" s="92"/>
    </row>
    <row r="22" ht="14.25" customHeight="1">
      <c r="A22" s="234" t="s">
        <v>997</v>
      </c>
      <c r="B22" s="232" t="str">
        <f>A21</f>
        <v>m³</v>
      </c>
      <c r="C22" s="233"/>
      <c r="D22" s="233"/>
      <c r="E22" s="233"/>
      <c r="F22" s="233"/>
      <c r="G22" s="21"/>
      <c r="H22" s="233"/>
      <c r="I22" s="235">
        <f>I20/I21</f>
        <v>290615.563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01" t="s">
        <v>998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02" t="s">
        <v>988</v>
      </c>
      <c r="B26" s="202" t="s">
        <v>989</v>
      </c>
      <c r="C26" s="202" t="s">
        <v>990</v>
      </c>
      <c r="D26" s="202" t="s">
        <v>991</v>
      </c>
      <c r="E26" s="202" t="s">
        <v>999</v>
      </c>
      <c r="F26" s="202" t="s">
        <v>992</v>
      </c>
      <c r="G26" s="4" t="s">
        <v>993</v>
      </c>
      <c r="H26" s="202" t="s">
        <v>994</v>
      </c>
      <c r="I26" s="202" t="s">
        <v>995</v>
      </c>
    </row>
    <row r="27" ht="14.25" customHeight="1">
      <c r="A27" s="61" t="s">
        <v>621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29">
        <v>1.0</v>
      </c>
      <c r="E27" s="229">
        <v>7.0</v>
      </c>
      <c r="F27" s="236">
        <v>0.25</v>
      </c>
      <c r="G27" s="217">
        <f t="shared" ref="G27:G32" si="3">ROUNDUP(((D27*E27)*(1+F27)),0)</f>
        <v>9</v>
      </c>
      <c r="H27" s="143">
        <f>IF($A27=0,"",VLOOKUP($A27,'00_MO'!$A$4:$D$7,4,FALSE))</f>
        <v>120000</v>
      </c>
      <c r="I27" s="143">
        <f t="shared" ref="I27:I32" si="4">G27*H27</f>
        <v>1080000</v>
      </c>
    </row>
    <row r="28" ht="14.25" customHeight="1">
      <c r="A28" s="61" t="s">
        <v>623</v>
      </c>
      <c r="B28" s="92" t="str">
        <f>IF($A28=0,"",VLOOKUP($A28,'00_MO'!$A$4:$D$7,2,FALSE))</f>
        <v>Puntero</v>
      </c>
      <c r="C28" s="92" t="str">
        <f>IF($A28=0,"",VLOOKUP($A28,'00_MO'!$A$4:$D$7,3,FALSE))</f>
        <v>u</v>
      </c>
      <c r="D28" s="229">
        <v>2.0</v>
      </c>
      <c r="E28" s="229">
        <v>7.0</v>
      </c>
      <c r="F28" s="236">
        <v>0.25</v>
      </c>
      <c r="G28" s="217">
        <f t="shared" si="3"/>
        <v>18</v>
      </c>
      <c r="H28" s="143">
        <f>IF($A28=0,"",VLOOKUP($A28,'00_MO'!$A$4:$D$7,4,FALSE))</f>
        <v>105000</v>
      </c>
      <c r="I28" s="143">
        <f t="shared" si="4"/>
        <v>1890000</v>
      </c>
    </row>
    <row r="29" ht="14.25" customHeight="1">
      <c r="A29" s="61" t="s">
        <v>625</v>
      </c>
      <c r="B29" s="92" t="str">
        <f>IF($A29=0,"",VLOOKUP($A29,'00_MO'!$A$4:$D$7,2,FALSE))</f>
        <v>Oficial</v>
      </c>
      <c r="C29" s="92" t="str">
        <f>IF($A29=0,"",VLOOKUP($A29,'00_MO'!$A$4:$D$7,3,FALSE))</f>
        <v>u</v>
      </c>
      <c r="D29" s="229">
        <v>3.0</v>
      </c>
      <c r="E29" s="229">
        <v>7.0</v>
      </c>
      <c r="F29" s="236">
        <v>0.25</v>
      </c>
      <c r="G29" s="217">
        <f t="shared" si="3"/>
        <v>27</v>
      </c>
      <c r="H29" s="143">
        <f>IF($A29=0,"",VLOOKUP($A29,'00_MO'!$A$4:$D$7,4,FALSE))</f>
        <v>90000</v>
      </c>
      <c r="I29" s="143">
        <f t="shared" si="4"/>
        <v>2430000</v>
      </c>
    </row>
    <row r="30" ht="14.25" customHeight="1">
      <c r="A30" s="61" t="s">
        <v>627</v>
      </c>
      <c r="B30" s="92" t="str">
        <f>IF($A30=0,"",VLOOKUP($A30,'00_MO'!$A$4:$D$7,2,FALSE))</f>
        <v>Ayudante</v>
      </c>
      <c r="C30" s="92" t="str">
        <f>IF($A30=0,"",VLOOKUP($A30,'00_MO'!$A$4:$D$7,3,FALSE))</f>
        <v>u</v>
      </c>
      <c r="D30" s="229">
        <v>3.0</v>
      </c>
      <c r="E30" s="229">
        <v>7.0</v>
      </c>
      <c r="F30" s="236">
        <v>0.25</v>
      </c>
      <c r="G30" s="217">
        <f t="shared" si="3"/>
        <v>27</v>
      </c>
      <c r="H30" s="143">
        <f>IF($A30=0,"",VLOOKUP($A30,'00_MO'!$A$4:$D$7,4,FALSE))</f>
        <v>60000</v>
      </c>
      <c r="I30" s="143">
        <f t="shared" si="4"/>
        <v>1620000</v>
      </c>
    </row>
    <row r="31" ht="14.25" customHeight="1">
      <c r="A31" s="204"/>
      <c r="B31" s="92" t="str">
        <f>IF($A31=0,"",VLOOKUP($A31,'00_MO'!$A$4:$D$7,2,FALSE))</f>
        <v/>
      </c>
      <c r="C31" s="92" t="str">
        <f>IF($A31=0,"",VLOOKUP($A31,'00_MO'!$A$4:$D$7,3,FALSE))</f>
        <v/>
      </c>
      <c r="D31" s="204"/>
      <c r="E31" s="229"/>
      <c r="F31" s="206"/>
      <c r="G31" s="217">
        <f t="shared" si="3"/>
        <v>0</v>
      </c>
      <c r="H31" s="143" t="str">
        <f>IF($A31=0,"",VLOOKUP($A31,'00_MO'!$A$4:$D$7,4,FALSE))</f>
        <v/>
      </c>
      <c r="I31" s="143">
        <f t="shared" si="4"/>
        <v>0</v>
      </c>
    </row>
    <row r="32" ht="14.25" customHeight="1">
      <c r="A32" s="204"/>
      <c r="B32" s="92" t="str">
        <f>IF($A32=0,"",VLOOKUP($A32,'00_MO'!$A$4:$D$7,2,FALSE))</f>
        <v/>
      </c>
      <c r="C32" s="92" t="str">
        <f>IF($A32=0,"",VLOOKUP($A32,'00_MO'!$A$4:$D$7,3,FALSE))</f>
        <v/>
      </c>
      <c r="D32" s="204"/>
      <c r="E32" s="204"/>
      <c r="F32" s="206"/>
      <c r="G32" s="217">
        <f t="shared" si="3"/>
        <v>0</v>
      </c>
      <c r="H32" s="143" t="str">
        <f>IF($A32=0,"",VLOOKUP($A32,'00_MO'!$A$4:$D$7,4,FALSE))</f>
        <v/>
      </c>
      <c r="I32" s="143">
        <f t="shared" si="4"/>
        <v>0</v>
      </c>
    </row>
    <row r="33" ht="14.25" customHeight="1">
      <c r="F33" s="208"/>
      <c r="G33" s="3"/>
      <c r="H33" s="143"/>
      <c r="I33" s="143"/>
    </row>
    <row r="34" ht="14.25" customHeight="1">
      <c r="A34" s="222" t="s">
        <v>987</v>
      </c>
      <c r="B34" s="223"/>
      <c r="C34" s="223"/>
      <c r="D34" s="223"/>
      <c r="E34" s="223"/>
      <c r="F34" s="223"/>
      <c r="G34" s="211"/>
      <c r="H34" s="223"/>
      <c r="I34" s="224">
        <f>SUM(I27:I32)</f>
        <v>7020000</v>
      </c>
    </row>
    <row r="35" ht="14.25" customHeight="1">
      <c r="A35" s="232" t="str">
        <f>$I$3</f>
        <v>m³</v>
      </c>
      <c r="B35" s="233"/>
      <c r="C35" s="233"/>
      <c r="D35" s="233"/>
      <c r="E35" s="233"/>
      <c r="F35" s="233"/>
      <c r="G35" s="21"/>
      <c r="H35" s="233"/>
      <c r="I35" s="205">
        <f>$H$3</f>
        <v>20</v>
      </c>
      <c r="J35" s="92"/>
      <c r="K35" s="92"/>
      <c r="L35" s="92"/>
    </row>
    <row r="36" ht="14.25" customHeight="1">
      <c r="A36" s="234" t="s">
        <v>997</v>
      </c>
      <c r="B36" s="232" t="str">
        <f>A35</f>
        <v>m³</v>
      </c>
      <c r="C36" s="233"/>
      <c r="D36" s="233"/>
      <c r="E36" s="233"/>
      <c r="F36" s="233"/>
      <c r="G36" s="21"/>
      <c r="H36" s="233"/>
      <c r="I36" s="235">
        <f>I34/I35</f>
        <v>351000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01" t="s">
        <v>1000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02" t="s">
        <v>988</v>
      </c>
      <c r="B40" s="202" t="s">
        <v>989</v>
      </c>
      <c r="C40" s="202" t="s">
        <v>990</v>
      </c>
      <c r="D40" s="202" t="s">
        <v>991</v>
      </c>
      <c r="E40" s="202" t="s">
        <v>999</v>
      </c>
      <c r="F40" s="202" t="s">
        <v>992</v>
      </c>
      <c r="G40" s="4" t="s">
        <v>993</v>
      </c>
      <c r="H40" s="202" t="s">
        <v>994</v>
      </c>
      <c r="I40" s="202" t="s">
        <v>995</v>
      </c>
    </row>
    <row r="41" ht="14.25" customHeight="1">
      <c r="A41" s="204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04"/>
      <c r="E41" s="204"/>
      <c r="F41" s="206"/>
      <c r="G41" s="217">
        <f t="shared" ref="G41:G46" si="5">ROUNDUP(((D41*E41)*(1+F41)),0)</f>
        <v>0</v>
      </c>
      <c r="H41" s="143" t="str">
        <f>IF($A41=0,"",VLOOKUP($A41,'00_Eq'!$A$4:$D$100,4,FALSE))</f>
        <v/>
      </c>
      <c r="I41" s="143">
        <f t="shared" ref="I41:I44" si="6">G41*H41</f>
        <v>0</v>
      </c>
    </row>
    <row r="42" ht="14.25" customHeight="1">
      <c r="A42" s="204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04"/>
      <c r="E42" s="204"/>
      <c r="F42" s="206"/>
      <c r="G42" s="217">
        <f t="shared" si="5"/>
        <v>0</v>
      </c>
      <c r="H42" s="143" t="str">
        <f>IF($A42=0,"",VLOOKUP($A42,'00_Eq'!$A$4:$D$100,4,FALSE))</f>
        <v/>
      </c>
      <c r="I42" s="143">
        <f t="shared" si="6"/>
        <v>0</v>
      </c>
    </row>
    <row r="43" ht="14.25" customHeight="1">
      <c r="A43" s="204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04"/>
      <c r="E43" s="204"/>
      <c r="F43" s="206"/>
      <c r="G43" s="217">
        <f t="shared" si="5"/>
        <v>0</v>
      </c>
      <c r="H43" s="143" t="str">
        <f>IF($A43=0,"",VLOOKUP($A43,'00_Eq'!$A$4:$D$100,4,FALSE))</f>
        <v/>
      </c>
      <c r="I43" s="143">
        <f t="shared" si="6"/>
        <v>0</v>
      </c>
    </row>
    <row r="44" ht="14.25" customHeight="1">
      <c r="A44" s="204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04"/>
      <c r="E44" s="204"/>
      <c r="F44" s="206"/>
      <c r="G44" s="217">
        <f t="shared" si="5"/>
        <v>0</v>
      </c>
      <c r="H44" s="143" t="str">
        <f>IF($A44=0,"",VLOOKUP($A44,'00_Eq'!$A$4:$D$100,4,FALSE))</f>
        <v/>
      </c>
      <c r="I44" s="143">
        <f t="shared" si="6"/>
        <v>0</v>
      </c>
    </row>
    <row r="45" ht="14.25" customHeight="1">
      <c r="A45" s="204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04"/>
      <c r="E45" s="204"/>
      <c r="F45" s="206"/>
      <c r="G45" s="217">
        <f t="shared" si="5"/>
        <v>0</v>
      </c>
      <c r="H45" s="143" t="str">
        <f>IF($A45=0,"",VLOOKUP($A45,'00_Eq'!$A$4:$D$100,4,FALSE))</f>
        <v/>
      </c>
      <c r="I45" s="143"/>
    </row>
    <row r="46" ht="14.25" customHeight="1">
      <c r="A46" s="204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04"/>
      <c r="E46" s="204"/>
      <c r="F46" s="206"/>
      <c r="G46" s="217">
        <f t="shared" si="5"/>
        <v>0</v>
      </c>
      <c r="H46" s="143" t="str">
        <f>IF($A46=0,"",VLOOKUP($A46,'00_Eq'!$A$4:$D$100,4,FALSE))</f>
        <v/>
      </c>
      <c r="I46" s="143"/>
    </row>
    <row r="47" ht="14.25" customHeight="1">
      <c r="F47" s="208"/>
      <c r="G47" s="3"/>
      <c r="H47" s="143"/>
      <c r="I47" s="143"/>
    </row>
    <row r="48" ht="14.25" customHeight="1">
      <c r="A48" s="222" t="s">
        <v>987</v>
      </c>
      <c r="B48" s="223"/>
      <c r="C48" s="223"/>
      <c r="D48" s="223"/>
      <c r="E48" s="223"/>
      <c r="F48" s="223"/>
      <c r="G48" s="211"/>
      <c r="H48" s="223"/>
      <c r="I48" s="224">
        <f>SUM(I41:I46)</f>
        <v>0</v>
      </c>
    </row>
    <row r="49" ht="14.25" customHeight="1">
      <c r="A49" s="232" t="str">
        <f>$I$3</f>
        <v>m³</v>
      </c>
      <c r="B49" s="233"/>
      <c r="C49" s="233"/>
      <c r="D49" s="233"/>
      <c r="E49" s="233"/>
      <c r="F49" s="233"/>
      <c r="G49" s="21"/>
      <c r="H49" s="233"/>
      <c r="I49" s="205">
        <f>$H$3</f>
        <v>20</v>
      </c>
      <c r="J49" s="92"/>
      <c r="K49" s="92"/>
      <c r="L49" s="92"/>
    </row>
    <row r="50" ht="14.25" customHeight="1">
      <c r="A50" s="234" t="s">
        <v>997</v>
      </c>
      <c r="B50" s="232" t="str">
        <f>A49</f>
        <v>m³</v>
      </c>
      <c r="C50" s="233"/>
      <c r="D50" s="233"/>
      <c r="E50" s="233"/>
      <c r="F50" s="233"/>
      <c r="G50" s="21"/>
      <c r="H50" s="233"/>
      <c r="I50" s="235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01" t="s">
        <v>1010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02" t="s">
        <v>988</v>
      </c>
      <c r="B54" s="202" t="s">
        <v>989</v>
      </c>
      <c r="C54" s="202" t="s">
        <v>990</v>
      </c>
      <c r="D54" s="202" t="s">
        <v>991</v>
      </c>
      <c r="E54" s="202"/>
      <c r="F54" s="202" t="s">
        <v>992</v>
      </c>
      <c r="G54" s="4" t="s">
        <v>993</v>
      </c>
      <c r="H54" s="202" t="s">
        <v>994</v>
      </c>
      <c r="I54" s="202" t="s">
        <v>995</v>
      </c>
    </row>
    <row r="55" ht="14.25" customHeight="1">
      <c r="A55" s="3"/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30"/>
      <c r="E55" s="204"/>
      <c r="F55" s="236">
        <v>0.1</v>
      </c>
      <c r="G55" s="221">
        <f t="shared" ref="G55:G60" si="7">ROUNDUP((D55+(D55*F55)),0)</f>
        <v>0</v>
      </c>
      <c r="H55" s="143" t="str">
        <f>IF($A55=0,"",VLOOKUP($A55,'00_Mat'!$A$4:$J$1135,5,FALSE))</f>
        <v/>
      </c>
      <c r="I55" s="143">
        <f t="shared" ref="I55:I60" si="8">G55*H55</f>
        <v>0</v>
      </c>
      <c r="J55" s="237"/>
    </row>
    <row r="56" ht="14.25" customHeight="1">
      <c r="A56" s="3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0"/>
      <c r="E56" s="204"/>
      <c r="F56" s="236">
        <v>0.1</v>
      </c>
      <c r="G56" s="221">
        <f t="shared" si="7"/>
        <v>0</v>
      </c>
      <c r="H56" s="143" t="str">
        <f>IF($A56=0,"",VLOOKUP($A56,'00_Mat'!$A$4:$J$1135,5,FALSE))</f>
        <v/>
      </c>
      <c r="I56" s="143">
        <f t="shared" si="8"/>
        <v>0</v>
      </c>
      <c r="J56" s="237"/>
    </row>
    <row r="57" ht="14.25" customHeight="1">
      <c r="A57" s="20" t="s">
        <v>75</v>
      </c>
      <c r="B57" s="92" t="str">
        <f>IF($A57=0,"",VLOOKUP($A57,'00_Mat'!$A$4:$J$1135,2,FALSE))</f>
        <v>Clavos 2" punta paris (k)</v>
      </c>
      <c r="C57" s="92" t="str">
        <f>IF($A57=0,"",VLOOKUP($A57,'00_Mat'!$A$4:$J$1135,3,FALSE))</f>
        <v>k</v>
      </c>
      <c r="D57" s="230">
        <v>10.0</v>
      </c>
      <c r="E57" s="204"/>
      <c r="F57" s="236">
        <v>0.1</v>
      </c>
      <c r="G57" s="221">
        <f t="shared" si="7"/>
        <v>11</v>
      </c>
      <c r="H57" s="143">
        <f>IF($A57=0,"",VLOOKUP($A57,'00_Mat'!$A$4:$J$1135,5,FALSE))</f>
        <v>4500</v>
      </c>
      <c r="I57" s="143">
        <f t="shared" si="8"/>
        <v>49500</v>
      </c>
      <c r="J57" s="153" t="s">
        <v>1013</v>
      </c>
      <c r="L57" s="153" t="s">
        <v>1011</v>
      </c>
      <c r="M57" s="153" t="s">
        <v>1012</v>
      </c>
    </row>
    <row r="58" ht="14.25" customHeight="1">
      <c r="A58" s="20" t="s">
        <v>81</v>
      </c>
      <c r="B58" s="92" t="str">
        <f>IF($A58=0,"",VLOOKUP($A58,'00_Mat'!$A$4:$J$1135,2,FALSE))</f>
        <v>Alambre Fardo (50 k)</v>
      </c>
      <c r="C58" s="92" t="str">
        <f>IF($A58=0,"",VLOOKUP($A58,'00_Mat'!$A$4:$J$1135,3,FALSE))</f>
        <v>k</v>
      </c>
      <c r="D58" s="230">
        <v>1.0</v>
      </c>
      <c r="E58" s="204"/>
      <c r="F58" s="236"/>
      <c r="G58" s="221">
        <f t="shared" si="7"/>
        <v>1</v>
      </c>
      <c r="H58" s="143">
        <f>IF($A58=0,"",VLOOKUP($A58,'00_Mat'!$A$4:$J$1135,5,FALSE))</f>
        <v>220000</v>
      </c>
      <c r="I58" s="143">
        <f t="shared" si="8"/>
        <v>220000</v>
      </c>
      <c r="J58" s="153" t="s">
        <v>1033</v>
      </c>
    </row>
    <row r="59" ht="14.25" customHeight="1">
      <c r="C59" s="92" t="str">
        <f>IF($A58=0,"",VLOOKUP($A58,'00_Mat'!$A$4:$J$1135,3,FALSE))</f>
        <v>k</v>
      </c>
      <c r="D59" s="230"/>
      <c r="E59" s="204"/>
      <c r="F59" s="236">
        <v>0.1</v>
      </c>
      <c r="G59" s="221">
        <f t="shared" si="7"/>
        <v>0</v>
      </c>
      <c r="H59" s="143" t="str">
        <f>IF($A59=0,"",VLOOKUP($A59,'00_Mat'!$A$4:$J$1135,5,FALSE))</f>
        <v/>
      </c>
      <c r="I59" s="143">
        <f t="shared" si="8"/>
        <v>0</v>
      </c>
    </row>
    <row r="60" ht="14.25" customHeight="1">
      <c r="A60" s="204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05"/>
      <c r="E60" s="204"/>
      <c r="F60" s="206"/>
      <c r="G60" s="221">
        <f t="shared" si="7"/>
        <v>0</v>
      </c>
      <c r="H60" s="143" t="str">
        <f>IF($A60=0,"",VLOOKUP($A60,'00_Mat'!$A$4:$J$1135,5,FALSE))</f>
        <v/>
      </c>
      <c r="I60" s="143">
        <f t="shared" si="8"/>
        <v>0</v>
      </c>
    </row>
    <row r="61" ht="14.25" customHeight="1">
      <c r="F61" s="208"/>
      <c r="G61" s="3"/>
      <c r="H61" s="143"/>
      <c r="I61" s="143"/>
    </row>
    <row r="62" ht="14.25" customHeight="1">
      <c r="A62" s="222" t="s">
        <v>987</v>
      </c>
      <c r="B62" s="223"/>
      <c r="C62" s="223"/>
      <c r="D62" s="223"/>
      <c r="E62" s="223"/>
      <c r="F62" s="223"/>
      <c r="G62" s="211"/>
      <c r="H62" s="223"/>
      <c r="I62" s="224">
        <f>SUM(I55:I60)</f>
        <v>269500</v>
      </c>
    </row>
    <row r="63" ht="14.25" customHeight="1">
      <c r="A63" s="232" t="str">
        <f>$I$3</f>
        <v>m³</v>
      </c>
      <c r="B63" s="233"/>
      <c r="C63" s="233"/>
      <c r="D63" s="233"/>
      <c r="E63" s="233"/>
      <c r="F63" s="233"/>
      <c r="G63" s="21"/>
      <c r="H63" s="233"/>
      <c r="I63" s="205">
        <f>$H$3</f>
        <v>20</v>
      </c>
      <c r="J63" s="92"/>
      <c r="K63" s="92"/>
      <c r="L63" s="92"/>
    </row>
    <row r="64" ht="14.25" customHeight="1">
      <c r="A64" s="234" t="s">
        <v>997</v>
      </c>
      <c r="B64" s="232" t="str">
        <f>A63</f>
        <v>m³</v>
      </c>
      <c r="C64" s="233"/>
      <c r="D64" s="233"/>
      <c r="E64" s="233"/>
      <c r="F64" s="233"/>
      <c r="G64" s="21"/>
      <c r="H64" s="233"/>
      <c r="I64" s="235">
        <f>I62/I63</f>
        <v>13475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01" t="s">
        <v>1025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02" t="s">
        <v>988</v>
      </c>
      <c r="B68" s="202" t="s">
        <v>989</v>
      </c>
      <c r="C68" s="202" t="s">
        <v>990</v>
      </c>
      <c r="D68" s="202" t="s">
        <v>991</v>
      </c>
      <c r="E68" s="202" t="s">
        <v>999</v>
      </c>
      <c r="F68" s="202" t="s">
        <v>992</v>
      </c>
      <c r="G68" s="4" t="s">
        <v>993</v>
      </c>
      <c r="H68" s="202" t="s">
        <v>994</v>
      </c>
      <c r="I68" s="202" t="s">
        <v>995</v>
      </c>
    </row>
    <row r="69" ht="14.25" customHeight="1">
      <c r="A69" s="204"/>
      <c r="B69" s="92" t="str">
        <f>IF($A69=0,"",VLOOKUP($A69,'00_Sub'!$A$4:$D$1007,2,FALSE))</f>
        <v/>
      </c>
      <c r="C69" s="92" t="str">
        <f>IF($A69=0,"",VLOOKUP($A69,'00_Sub'!$A$4:$D$1007,3,FALSE))</f>
        <v/>
      </c>
      <c r="D69" s="204"/>
      <c r="E69" s="204"/>
      <c r="F69" s="206"/>
      <c r="G69" s="221">
        <f t="shared" ref="G69:G74" si="9">ROUNDUP((D69+(D69*F69)),0)</f>
        <v>0</v>
      </c>
      <c r="H69" s="143" t="str">
        <f>IF($A69=0,"",VLOOKUP($A69,'00_Sub'!$A$4:$D$1007,4,FALSE))</f>
        <v/>
      </c>
      <c r="I69" s="143"/>
    </row>
    <row r="70" ht="14.25" customHeight="1">
      <c r="A70" s="204"/>
      <c r="B70" s="92" t="str">
        <f>IF($A70=0,"",VLOOKUP($A70,'00_Sub'!$A$4:$D$1007,2,FALSE))</f>
        <v/>
      </c>
      <c r="C70" s="92" t="str">
        <f>IF($A70=0,"",VLOOKUP($A70,'00_Sub'!$A$4:$D$1007,3,FALSE))</f>
        <v/>
      </c>
      <c r="D70" s="204"/>
      <c r="E70" s="204"/>
      <c r="F70" s="206"/>
      <c r="G70" s="221">
        <f t="shared" si="9"/>
        <v>0</v>
      </c>
      <c r="H70" s="143" t="str">
        <f>IF($A70=0,"",VLOOKUP($A70,'00_Sub'!$A$4:$D$1007,4,FALSE))</f>
        <v/>
      </c>
      <c r="I70" s="143"/>
    </row>
    <row r="71" ht="14.25" customHeight="1">
      <c r="A71" s="204"/>
      <c r="B71" s="92" t="str">
        <f>IF($A71=0,"",VLOOKUP($A71,'00_Sub'!$A$4:$D$1007,2,FALSE))</f>
        <v/>
      </c>
      <c r="C71" s="92" t="str">
        <f>IF($A71=0,"",VLOOKUP($A71,'00_Sub'!$A$4:$D$1007,3,FALSE))</f>
        <v/>
      </c>
      <c r="D71" s="204"/>
      <c r="E71" s="204"/>
      <c r="F71" s="206"/>
      <c r="G71" s="221">
        <f t="shared" si="9"/>
        <v>0</v>
      </c>
      <c r="H71" s="143" t="str">
        <f>IF($A71=0,"",VLOOKUP($A71,'00_Sub'!$A$4:$D$1007,4,FALSE))</f>
        <v/>
      </c>
      <c r="I71" s="143"/>
    </row>
    <row r="72" ht="14.25" customHeight="1">
      <c r="A72" s="204"/>
      <c r="B72" s="92" t="str">
        <f>IF($A72=0,"",VLOOKUP($A72,'00_Sub'!$A$4:$D$1007,2,FALSE))</f>
        <v/>
      </c>
      <c r="C72" s="92" t="str">
        <f>IF($A72=0,"",VLOOKUP($A72,'00_Sub'!$A$4:$D$1007,3,FALSE))</f>
        <v/>
      </c>
      <c r="D72" s="204"/>
      <c r="E72" s="204"/>
      <c r="F72" s="206"/>
      <c r="G72" s="221">
        <f t="shared" si="9"/>
        <v>0</v>
      </c>
      <c r="H72" s="143" t="str">
        <f>IF($A72=0,"",VLOOKUP($A72,'00_Sub'!$A$4:$D$1007,4,FALSE))</f>
        <v/>
      </c>
      <c r="I72" s="143"/>
    </row>
    <row r="73" ht="14.25" customHeight="1">
      <c r="A73" s="204"/>
      <c r="B73" s="92" t="str">
        <f>IF($A73=0,"",VLOOKUP($A73,'00_Sub'!$A$4:$D$1007,2,FALSE))</f>
        <v/>
      </c>
      <c r="C73" s="92" t="str">
        <f>IF($A73=0,"",VLOOKUP($A73,'00_Sub'!$A$4:$D$1007,3,FALSE))</f>
        <v/>
      </c>
      <c r="D73" s="204"/>
      <c r="E73" s="204"/>
      <c r="F73" s="206"/>
      <c r="G73" s="221">
        <f t="shared" si="9"/>
        <v>0</v>
      </c>
      <c r="H73" s="143" t="str">
        <f>IF($A73=0,"",VLOOKUP($A73,'00_Sub'!$A$4:$D$1007,4,FALSE))</f>
        <v/>
      </c>
      <c r="I73" s="143"/>
    </row>
    <row r="74" ht="14.25" customHeight="1">
      <c r="A74" s="204"/>
      <c r="B74" s="92" t="str">
        <f>IF($A74=0,"",VLOOKUP($A74,'00_Sub'!$A$4:$D$1007,2,FALSE))</f>
        <v/>
      </c>
      <c r="C74" s="92" t="str">
        <f>IF($A74=0,"",VLOOKUP($A74,'00_Sub'!$A$4:$D$1007,3,FALSE))</f>
        <v/>
      </c>
      <c r="D74" s="204"/>
      <c r="E74" s="204"/>
      <c r="F74" s="206"/>
      <c r="G74" s="221">
        <f t="shared" si="9"/>
        <v>0</v>
      </c>
      <c r="H74" s="143" t="str">
        <f>IF($A74=0,"",VLOOKUP($A74,'00_Sub'!$A$4:$D$1007,4,FALSE))</f>
        <v/>
      </c>
      <c r="I74" s="143"/>
    </row>
    <row r="75" ht="14.25" customHeight="1">
      <c r="F75" s="208"/>
      <c r="G75" s="3"/>
      <c r="H75" s="143"/>
      <c r="I75" s="143"/>
    </row>
    <row r="76" ht="14.25" customHeight="1">
      <c r="A76" s="222" t="s">
        <v>987</v>
      </c>
      <c r="B76" s="223"/>
      <c r="C76" s="223"/>
      <c r="D76" s="223"/>
      <c r="E76" s="223"/>
      <c r="F76" s="223"/>
      <c r="G76" s="211"/>
      <c r="H76" s="223"/>
      <c r="I76" s="224">
        <f>SUM(I69:I74)</f>
        <v>0</v>
      </c>
    </row>
    <row r="77" ht="14.25" customHeight="1">
      <c r="A77" s="232" t="str">
        <f>$I$3</f>
        <v>m³</v>
      </c>
      <c r="B77" s="233"/>
      <c r="C77" s="233"/>
      <c r="D77" s="233"/>
      <c r="E77" s="233"/>
      <c r="F77" s="233"/>
      <c r="G77" s="21"/>
      <c r="H77" s="233"/>
      <c r="I77" s="205">
        <f>$H$3</f>
        <v>20</v>
      </c>
      <c r="J77" s="92"/>
      <c r="K77" s="92"/>
      <c r="L77" s="92"/>
    </row>
    <row r="78" ht="14.25" customHeight="1">
      <c r="A78" s="234" t="s">
        <v>997</v>
      </c>
      <c r="B78" s="232" t="str">
        <f>A77</f>
        <v>m³</v>
      </c>
      <c r="C78" s="233"/>
      <c r="D78" s="233"/>
      <c r="E78" s="233"/>
      <c r="F78" s="233"/>
      <c r="G78" s="21"/>
      <c r="H78" s="233"/>
      <c r="I78" s="235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18"/>
      <c r="B82" s="219"/>
      <c r="C82" s="219"/>
      <c r="D82" s="219"/>
      <c r="E82" s="219"/>
      <c r="F82" s="219"/>
      <c r="G82" s="3"/>
      <c r="H82" s="219"/>
      <c r="I82" s="219"/>
    </row>
    <row r="83" ht="14.25" customHeight="1">
      <c r="A83" s="218"/>
      <c r="B83" s="219"/>
      <c r="C83" s="219"/>
      <c r="D83" s="219"/>
      <c r="E83" s="219"/>
      <c r="F83" s="219"/>
      <c r="G83" s="3"/>
      <c r="H83" s="219"/>
      <c r="I83" s="219"/>
    </row>
    <row r="84" ht="14.25" customHeight="1">
      <c r="G84" s="3"/>
      <c r="H84" s="208"/>
      <c r="I84" s="143"/>
    </row>
    <row r="85" ht="14.25" customHeight="1">
      <c r="G85" s="3"/>
      <c r="H85" s="208"/>
      <c r="I85" s="143"/>
    </row>
    <row r="86" ht="14.25" customHeight="1">
      <c r="A86" s="218"/>
      <c r="B86" s="219"/>
      <c r="C86" s="219"/>
      <c r="D86" s="219"/>
      <c r="E86" s="219"/>
      <c r="F86" s="219"/>
      <c r="G86" s="3"/>
      <c r="H86" s="219"/>
      <c r="I86" s="225"/>
    </row>
    <row r="87" ht="14.25" customHeight="1">
      <c r="G87" s="3"/>
      <c r="H87" s="208"/>
      <c r="I87" s="143"/>
    </row>
    <row r="88" ht="14.25" customHeight="1">
      <c r="G88" s="3"/>
      <c r="H88" s="208"/>
      <c r="I88" s="143"/>
    </row>
    <row r="89" ht="14.25" customHeight="1">
      <c r="G89" s="3"/>
      <c r="H89" s="208"/>
      <c r="I89" s="143"/>
    </row>
    <row r="90" ht="14.25" customHeight="1">
      <c r="A90" s="218"/>
      <c r="B90" s="219"/>
      <c r="C90" s="219"/>
      <c r="D90" s="219"/>
      <c r="E90" s="219"/>
      <c r="F90" s="219"/>
      <c r="G90" s="3"/>
      <c r="H90" s="219"/>
      <c r="I90" s="225"/>
    </row>
    <row r="91" ht="14.25" customHeight="1">
      <c r="G91" s="3"/>
      <c r="H91" s="208"/>
      <c r="I91" s="143"/>
    </row>
    <row r="92" ht="14.25" customHeight="1">
      <c r="G92" s="3"/>
      <c r="H92" s="208"/>
      <c r="I92" s="143"/>
    </row>
    <row r="93" ht="14.25" customHeight="1">
      <c r="A93" s="218"/>
      <c r="B93" s="219"/>
      <c r="C93" s="219"/>
      <c r="D93" s="219"/>
      <c r="E93" s="219"/>
      <c r="F93" s="219"/>
      <c r="G93" s="3"/>
      <c r="H93" s="219"/>
      <c r="I93" s="225"/>
    </row>
    <row r="94" ht="14.25" customHeight="1">
      <c r="G94" s="3"/>
      <c r="H94" s="208"/>
      <c r="I94" s="143"/>
    </row>
    <row r="95" ht="14.25" customHeight="1">
      <c r="G95" s="3"/>
      <c r="H95" s="208"/>
      <c r="I95" s="143"/>
    </row>
    <row r="96" ht="14.25" customHeight="1">
      <c r="A96" s="218"/>
      <c r="B96" s="219"/>
      <c r="C96" s="219"/>
      <c r="D96" s="219"/>
      <c r="E96" s="219"/>
      <c r="F96" s="219"/>
      <c r="G96" s="3"/>
      <c r="H96" s="219"/>
      <c r="I96" s="225"/>
    </row>
    <row r="97" ht="14.25" customHeight="1">
      <c r="A97" s="218"/>
      <c r="B97" s="219"/>
      <c r="C97" s="219"/>
      <c r="D97" s="219"/>
      <c r="E97" s="219"/>
      <c r="F97" s="219"/>
      <c r="G97" s="3"/>
      <c r="H97" s="247"/>
      <c r="I97" s="225"/>
    </row>
    <row r="98" ht="14.25" customHeight="1">
      <c r="A98" s="218"/>
      <c r="B98" s="219"/>
      <c r="C98" s="219"/>
      <c r="D98" s="219"/>
      <c r="E98" s="219"/>
      <c r="F98" s="219"/>
      <c r="G98" s="3"/>
      <c r="H98" s="219"/>
      <c r="I98" s="22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1" width="8.71"/>
    <col customWidth="1" min="12" max="12" width="10.14"/>
    <col customWidth="1" min="13" max="13" width="30.29"/>
  </cols>
  <sheetData>
    <row r="1" ht="33.75" customHeight="1">
      <c r="A1" s="91" t="str">
        <f>'01_C&amp;P'!A1</f>
        <v>EDIFICIO LAS HERAS</v>
      </c>
      <c r="B1" s="91"/>
      <c r="C1" s="91"/>
      <c r="G1" s="3"/>
    </row>
    <row r="2" ht="14.25" customHeight="1">
      <c r="G2" s="3"/>
    </row>
    <row r="3" ht="23.25" customHeight="1">
      <c r="A3" s="195" t="str">
        <f>'01_C&amp;P'!A24</f>
        <v>0.14</v>
      </c>
      <c r="B3" s="196" t="str">
        <f>IF($A3=0,"",VLOOKUP($A3,'01_C&amp;P'!$A$9:$D$192,2,FALSE))</f>
        <v>TENSORES</v>
      </c>
      <c r="C3" s="197"/>
      <c r="D3" s="197"/>
      <c r="E3" s="197"/>
      <c r="F3" s="197"/>
      <c r="G3" s="198"/>
      <c r="H3" s="199">
        <f>IF($A3=0,"",VLOOKUP($A3,'01_C&amp;P'!$A$9:$D$192,4,FALSE))</f>
        <v>5.4</v>
      </c>
      <c r="I3" s="200" t="str">
        <f>IF($A3=0,"",VLOOKUP($A3,'01_C&amp;P'!$A$9:$D$192,3,FALSE))</f>
        <v>m³</v>
      </c>
      <c r="M3" s="246"/>
    </row>
    <row r="4" ht="14.25" customHeight="1">
      <c r="G4" s="3"/>
    </row>
    <row r="5" ht="14.25" customHeight="1">
      <c r="A5" s="201" t="s">
        <v>0</v>
      </c>
      <c r="B5" s="94"/>
      <c r="C5" s="94"/>
      <c r="D5" s="94"/>
      <c r="E5" s="94"/>
      <c r="F5" s="94"/>
      <c r="G5" s="2"/>
      <c r="H5" s="94"/>
      <c r="I5" s="94"/>
    </row>
    <row r="6" ht="14.25" customHeight="1">
      <c r="A6" s="202" t="s">
        <v>988</v>
      </c>
      <c r="B6" s="202" t="s">
        <v>989</v>
      </c>
      <c r="C6" s="202" t="s">
        <v>990</v>
      </c>
      <c r="D6" s="203" t="s">
        <v>991</v>
      </c>
      <c r="E6" s="197"/>
      <c r="F6" s="202" t="s">
        <v>992</v>
      </c>
      <c r="G6" s="4" t="s">
        <v>993</v>
      </c>
      <c r="H6" s="202" t="s">
        <v>994</v>
      </c>
      <c r="I6" s="202" t="s">
        <v>995</v>
      </c>
    </row>
    <row r="7" ht="14.25" customHeight="1">
      <c r="A7" s="229" t="s">
        <v>560</v>
      </c>
      <c r="B7" s="92" t="str">
        <f>IF($A7=0,"",VLOOKUP($A7,'00_Mat'!$A$4:$J$1135,2,FALSE))</f>
        <v>Hormigon H30</v>
      </c>
      <c r="C7" s="92" t="str">
        <f>IF($A7=0,"",VLOOKUP($A7,'00_Mat'!$A$4:$J$1135,3,FALSE))</f>
        <v>m3</v>
      </c>
      <c r="D7" s="230">
        <f>H3</f>
        <v>5.4</v>
      </c>
      <c r="E7" s="204"/>
      <c r="F7" s="206">
        <v>0.1</v>
      </c>
      <c r="G7" s="221">
        <f t="shared" ref="G7:G18" si="1">ROUNDUP((D7+(D7*F7)),0)</f>
        <v>6</v>
      </c>
      <c r="H7" s="143">
        <f>IF($A7=0,"",VLOOKUP($A7,'00_Mat'!$A$4:$J$1135,5,FALSE))</f>
        <v>158000</v>
      </c>
      <c r="I7" s="143">
        <f t="shared" ref="I7:I18" si="2">G7*H7</f>
        <v>948000</v>
      </c>
      <c r="J7" s="231" t="s">
        <v>548</v>
      </c>
    </row>
    <row r="8" ht="14.25" customHeight="1">
      <c r="A8" s="3" t="s">
        <v>132</v>
      </c>
      <c r="B8" s="92" t="str">
        <f>IF($A8=0,"",VLOOKUP($A8,'00_Mat'!$A$4:$J$1135,2,FALSE))</f>
        <v>Hierros ADN 420 Φ 6 </v>
      </c>
      <c r="C8" s="92" t="str">
        <f>IF($A8=0,"",VLOOKUP($A8,'00_Mat'!$A$4:$J$1135,3,FALSE))</f>
        <v>u</v>
      </c>
      <c r="D8" s="230">
        <v>35.0</v>
      </c>
      <c r="E8" s="204"/>
      <c r="F8" s="236">
        <v>0.15</v>
      </c>
      <c r="G8" s="221">
        <f t="shared" si="1"/>
        <v>41</v>
      </c>
      <c r="H8" s="143">
        <f>IF($A8=0,"",VLOOKUP($A8,'00_Mat'!$A$4:$J$1135,5,FALSE))</f>
        <v>5250</v>
      </c>
      <c r="I8" s="143">
        <f t="shared" si="2"/>
        <v>215250</v>
      </c>
      <c r="J8" s="153" t="s">
        <v>1028</v>
      </c>
    </row>
    <row r="9" ht="14.25" customHeight="1">
      <c r="A9" s="3" t="s">
        <v>134</v>
      </c>
      <c r="B9" s="92" t="str">
        <f>IF($A9=0,"",VLOOKUP($A9,'00_Mat'!$A$4:$J$1135,2,FALSE))</f>
        <v>Hierros ADN 420 Φ 8</v>
      </c>
      <c r="C9" s="92" t="str">
        <f>IF($A9=0,"",VLOOKUP($A9,'00_Mat'!$A$4:$J$1135,3,FALSE))</f>
        <v>u</v>
      </c>
      <c r="D9" s="229"/>
      <c r="E9" s="204"/>
      <c r="F9" s="236">
        <v>0.15</v>
      </c>
      <c r="G9" s="221">
        <f t="shared" si="1"/>
        <v>0</v>
      </c>
      <c r="H9" s="143">
        <f>IF($A9=0,"",VLOOKUP($A9,'00_Mat'!$A$4:$J$1135,5,FALSE))</f>
        <v>9050</v>
      </c>
      <c r="I9" s="143">
        <f t="shared" si="2"/>
        <v>0</v>
      </c>
    </row>
    <row r="10" ht="14.25" customHeight="1">
      <c r="A10" s="3" t="s">
        <v>136</v>
      </c>
      <c r="B10" s="92" t="str">
        <f>IF($A10=0,"",VLOOKUP($A10,'00_Mat'!$A$4:$J$1135,2,FALSE))</f>
        <v>Hierros ADN 420Φ 10</v>
      </c>
      <c r="C10" s="92" t="str">
        <f>IF($A10=0,"",VLOOKUP($A10,'00_Mat'!$A$4:$J$1135,3,FALSE))</f>
        <v>u</v>
      </c>
      <c r="D10" s="229">
        <v>23.0</v>
      </c>
      <c r="E10" s="204"/>
      <c r="F10" s="236">
        <v>0.15</v>
      </c>
      <c r="G10" s="221">
        <f t="shared" si="1"/>
        <v>27</v>
      </c>
      <c r="H10" s="143">
        <f>IF($A10=0,"",VLOOKUP($A10,'00_Mat'!$A$4:$J$1135,5,FALSE))</f>
        <v>11237</v>
      </c>
      <c r="I10" s="143">
        <f t="shared" si="2"/>
        <v>303399</v>
      </c>
    </row>
    <row r="11" ht="14.25" customHeight="1">
      <c r="A11" s="3" t="s">
        <v>138</v>
      </c>
      <c r="B11" s="92" t="str">
        <f>IF($A11=0,"",VLOOKUP($A11,'00_Mat'!$A$4:$J$1135,2,FALSE))</f>
        <v>Hierros ADN 420 Φ 12</v>
      </c>
      <c r="C11" s="92" t="str">
        <f>IF($A11=0,"",VLOOKUP($A11,'00_Mat'!$A$4:$J$1135,3,FALSE))</f>
        <v>u</v>
      </c>
      <c r="D11" s="229"/>
      <c r="E11" s="204"/>
      <c r="F11" s="236">
        <v>0.2</v>
      </c>
      <c r="G11" s="221">
        <f t="shared" si="1"/>
        <v>0</v>
      </c>
      <c r="H11" s="143">
        <f>IF($A11=0,"",VLOOKUP($A11,'00_Mat'!$A$4:$J$1135,5,FALSE))</f>
        <v>20442.5</v>
      </c>
      <c r="I11" s="143">
        <f t="shared" si="2"/>
        <v>0</v>
      </c>
    </row>
    <row r="12" ht="14.25" customHeight="1">
      <c r="A12" s="3" t="s">
        <v>140</v>
      </c>
      <c r="B12" s="92" t="str">
        <f>IF($A12=0,"",VLOOKUP($A12,'00_Mat'!$A$4:$J$1135,2,FALSE))</f>
        <v>Hierros ADN 420 Φ 16</v>
      </c>
      <c r="C12" s="92" t="str">
        <f>IF($A12=0,"",VLOOKUP($A12,'00_Mat'!$A$4:$J$1135,3,FALSE))</f>
        <v>u</v>
      </c>
      <c r="D12" s="229"/>
      <c r="E12" s="204"/>
      <c r="F12" s="236">
        <v>0.2</v>
      </c>
      <c r="G12" s="221">
        <f t="shared" si="1"/>
        <v>0</v>
      </c>
      <c r="H12" s="143">
        <f>IF($A12=0,"",VLOOKUP($A12,'00_Mat'!$A$4:$J$1135,5,FALSE))</f>
        <v>36603.12</v>
      </c>
      <c r="I12" s="143">
        <f t="shared" si="2"/>
        <v>0</v>
      </c>
    </row>
    <row r="13" ht="14.25" customHeight="1">
      <c r="A13" s="20" t="s">
        <v>142</v>
      </c>
      <c r="B13" s="92" t="str">
        <f>IF($A13=0,"",VLOOKUP($A13,'00_Mat'!$A$4:$J$1135,2,FALSE))</f>
        <v>Hierros ADN 420 Φ 20</v>
      </c>
      <c r="C13" s="92" t="str">
        <f>IF($A13=0,"",VLOOKUP($A13,'00_Mat'!$A$4:$J$1135,3,FALSE))</f>
        <v>U</v>
      </c>
      <c r="D13" s="229"/>
      <c r="E13" s="204"/>
      <c r="F13" s="236">
        <v>0.15</v>
      </c>
      <c r="G13" s="221">
        <f t="shared" si="1"/>
        <v>0</v>
      </c>
      <c r="H13" s="143">
        <f>IF($A13=0,"",VLOOKUP($A13,'00_Mat'!$A$4:$J$1135,5,FALSE))</f>
        <v>55000</v>
      </c>
      <c r="I13" s="143">
        <f t="shared" si="2"/>
        <v>0</v>
      </c>
    </row>
    <row r="14" ht="14.25" customHeight="1">
      <c r="A14" s="3" t="s">
        <v>300</v>
      </c>
      <c r="B14" s="92" t="str">
        <f>IF($A14=0,"",VLOOKUP($A14,'00_Mat'!$A$4:$J$1135,2,FALSE))</f>
        <v>Fenolico 18mm Miraluz 125 GR con film</v>
      </c>
      <c r="C14" s="92" t="str">
        <f>IF($A14=0,"",VLOOKUP($A14,'00_Mat'!$A$4:$J$1135,3,FALSE))</f>
        <v>u</v>
      </c>
      <c r="D14" s="229"/>
      <c r="E14" s="204"/>
      <c r="F14" s="236">
        <v>0.25</v>
      </c>
      <c r="G14" s="221">
        <f t="shared" si="1"/>
        <v>0</v>
      </c>
      <c r="H14" s="143">
        <f>IF($A14=0,"",VLOOKUP($A14,'00_Mat'!$A$4:$J$1135,5,FALSE))</f>
        <v>55260</v>
      </c>
      <c r="I14" s="143">
        <f t="shared" si="2"/>
        <v>0</v>
      </c>
      <c r="J14" s="153" t="s">
        <v>1029</v>
      </c>
    </row>
    <row r="15" ht="14.25" customHeight="1">
      <c r="A15" s="3" t="s">
        <v>303</v>
      </c>
      <c r="B15" s="92" t="str">
        <f>IF($A15=0,"",VLOOKUP($A15,'00_Mat'!$A$4:$J$1135,2,FALSE))</f>
        <v>Fenolico 18mm Grandis 2 Buenas cal 3/3</v>
      </c>
      <c r="C15" s="92" t="str">
        <f>IF($A15=0,"",VLOOKUP($A15,'00_Mat'!$A$4:$J$1135,3,FALSE))</f>
        <v>u</v>
      </c>
      <c r="D15" s="248"/>
      <c r="E15" s="204"/>
      <c r="F15" s="236">
        <v>0.2</v>
      </c>
      <c r="G15" s="221">
        <f t="shared" si="1"/>
        <v>0</v>
      </c>
      <c r="H15" s="143">
        <f>IF($A15=0,"",VLOOKUP($A15,'00_Mat'!$A$4:$J$1135,5,FALSE))</f>
        <v>45454</v>
      </c>
      <c r="I15" s="143">
        <f t="shared" si="2"/>
        <v>0</v>
      </c>
      <c r="J15" s="153" t="s">
        <v>1030</v>
      </c>
    </row>
    <row r="16" ht="14.25" customHeight="1">
      <c r="A16" s="3" t="s">
        <v>602</v>
      </c>
      <c r="B16" s="92" t="str">
        <f>IF($A16=0,"",VLOOKUP($A16,'00_Mat'!$A$4:$J$1135,2,FALSE))</f>
        <v>Bomba Pluma Traslado e Instalacion</v>
      </c>
      <c r="C16" s="92" t="str">
        <f>IF($A16=0,"",VLOOKUP($A16,'00_Mat'!$A$4:$J$1135,3,FALSE))</f>
        <v>u</v>
      </c>
      <c r="D16" s="229">
        <v>1.0</v>
      </c>
      <c r="E16" s="204"/>
      <c r="F16" s="206"/>
      <c r="G16" s="221">
        <f t="shared" si="1"/>
        <v>1</v>
      </c>
      <c r="H16" s="143">
        <f>IF($A16=0,"",VLOOKUP($A16,'00_Mat'!$A$4:$J$1135,5,FALSE))</f>
        <v>600000</v>
      </c>
      <c r="I16" s="143">
        <f t="shared" si="2"/>
        <v>600000</v>
      </c>
      <c r="J16" s="153" t="s">
        <v>1031</v>
      </c>
    </row>
    <row r="17" ht="14.25" customHeight="1">
      <c r="A17" s="3" t="s">
        <v>604</v>
      </c>
      <c r="B17" s="92" t="str">
        <f>IF($A17=0,"",VLOOKUP($A17,'00_Mat'!$A$4:$J$1135,2,FALSE))</f>
        <v>Bomba Pluma m3 bombeable</v>
      </c>
      <c r="C17" s="92" t="str">
        <f>IF($A17=0,"",VLOOKUP($A17,'00_Mat'!$A$4:$J$1135,3,FALSE))</f>
        <v>m3</v>
      </c>
      <c r="D17" s="205">
        <f>D7</f>
        <v>5.4</v>
      </c>
      <c r="E17" s="204"/>
      <c r="F17" s="206">
        <v>0.1</v>
      </c>
      <c r="G17" s="221">
        <f t="shared" si="1"/>
        <v>6</v>
      </c>
      <c r="H17" s="143">
        <f>IF($A17=0,"",VLOOKUP($A17,'00_Mat'!$A$4:$J$1135,5,FALSE))</f>
        <v>6000</v>
      </c>
      <c r="I17" s="143">
        <f t="shared" si="2"/>
        <v>36000</v>
      </c>
      <c r="J17" s="153" t="s">
        <v>1032</v>
      </c>
    </row>
    <row r="18" ht="14.25" customHeight="1">
      <c r="A18" s="204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04"/>
      <c r="E18" s="204"/>
      <c r="F18" s="206">
        <v>0.1</v>
      </c>
      <c r="G18" s="221">
        <f t="shared" si="1"/>
        <v>0</v>
      </c>
      <c r="H18" s="143" t="str">
        <f>IF($A18=0,"",VLOOKUP($A18,'00_Mat'!$A$4:$J$1135,5,FALSE))</f>
        <v/>
      </c>
      <c r="I18" s="143">
        <f t="shared" si="2"/>
        <v>0</v>
      </c>
    </row>
    <row r="19" ht="14.25" customHeight="1">
      <c r="F19" s="208"/>
      <c r="G19" s="3"/>
      <c r="H19" s="143"/>
      <c r="I19" s="143"/>
    </row>
    <row r="20" ht="14.25" customHeight="1">
      <c r="A20" s="222" t="s">
        <v>996</v>
      </c>
      <c r="B20" s="223"/>
      <c r="C20" s="223"/>
      <c r="D20" s="223"/>
      <c r="E20" s="223"/>
      <c r="F20" s="223"/>
      <c r="G20" s="211"/>
      <c r="H20" s="223"/>
      <c r="I20" s="224">
        <f>SUM(I7:I18)</f>
        <v>2102649</v>
      </c>
      <c r="J20" s="92"/>
      <c r="K20" s="92"/>
      <c r="L20" s="92"/>
    </row>
    <row r="21" ht="14.25" customHeight="1">
      <c r="A21" s="232" t="str">
        <f>$I$3</f>
        <v>m³</v>
      </c>
      <c r="B21" s="233"/>
      <c r="C21" s="233"/>
      <c r="D21" s="233"/>
      <c r="E21" s="233"/>
      <c r="F21" s="233"/>
      <c r="G21" s="21"/>
      <c r="H21" s="233"/>
      <c r="I21" s="205">
        <f>$H$3</f>
        <v>5.4</v>
      </c>
      <c r="J21" s="92"/>
      <c r="K21" s="92"/>
      <c r="L21" s="92"/>
    </row>
    <row r="22" ht="14.25" customHeight="1">
      <c r="A22" s="234" t="s">
        <v>997</v>
      </c>
      <c r="B22" s="232" t="str">
        <f>A21</f>
        <v>m³</v>
      </c>
      <c r="C22" s="233"/>
      <c r="D22" s="233"/>
      <c r="E22" s="233"/>
      <c r="F22" s="233"/>
      <c r="G22" s="21"/>
      <c r="H22" s="233"/>
      <c r="I22" s="235">
        <f>I20/I21</f>
        <v>389379.4444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01" t="s">
        <v>998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02" t="s">
        <v>988</v>
      </c>
      <c r="B26" s="202" t="s">
        <v>989</v>
      </c>
      <c r="C26" s="202" t="s">
        <v>990</v>
      </c>
      <c r="D26" s="202" t="s">
        <v>991</v>
      </c>
      <c r="E26" s="202" t="s">
        <v>999</v>
      </c>
      <c r="F26" s="202" t="s">
        <v>992</v>
      </c>
      <c r="G26" s="4" t="s">
        <v>993</v>
      </c>
      <c r="H26" s="202" t="s">
        <v>994</v>
      </c>
      <c r="I26" s="202" t="s">
        <v>995</v>
      </c>
    </row>
    <row r="27" ht="14.25" customHeight="1">
      <c r="A27" s="61" t="s">
        <v>621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29">
        <v>1.0</v>
      </c>
      <c r="E27" s="229">
        <v>2.0</v>
      </c>
      <c r="F27" s="236">
        <v>0.25</v>
      </c>
      <c r="G27" s="217">
        <f t="shared" ref="G27:G32" si="3">ROUNDUP(((D27*E27)*(1+F27)),0)</f>
        <v>3</v>
      </c>
      <c r="H27" s="143">
        <f>IF($A27=0,"",VLOOKUP($A27,'00_MO'!$A$4:$D$7,4,FALSE))</f>
        <v>120000</v>
      </c>
      <c r="I27" s="143">
        <f t="shared" ref="I27:I32" si="4">G27*H27</f>
        <v>360000</v>
      </c>
      <c r="M27" s="154">
        <f>(H27)+(H28*2)+(3*H29)+(H30*3)</f>
        <v>780000</v>
      </c>
    </row>
    <row r="28" ht="14.25" customHeight="1">
      <c r="A28" s="61" t="s">
        <v>623</v>
      </c>
      <c r="B28" s="92" t="str">
        <f>IF($A28=0,"",VLOOKUP($A28,'00_MO'!$A$4:$D$7,2,FALSE))</f>
        <v>Puntero</v>
      </c>
      <c r="C28" s="92" t="str">
        <f>IF($A28=0,"",VLOOKUP($A28,'00_MO'!$A$4:$D$7,3,FALSE))</f>
        <v>u</v>
      </c>
      <c r="D28" s="229">
        <v>2.0</v>
      </c>
      <c r="E28" s="229">
        <v>2.0</v>
      </c>
      <c r="F28" s="236">
        <v>0.25</v>
      </c>
      <c r="G28" s="217">
        <f t="shared" si="3"/>
        <v>5</v>
      </c>
      <c r="H28" s="143">
        <f>IF($A28=0,"",VLOOKUP($A28,'00_MO'!$A$4:$D$7,4,FALSE))</f>
        <v>105000</v>
      </c>
      <c r="I28" s="143">
        <f t="shared" si="4"/>
        <v>525000</v>
      </c>
    </row>
    <row r="29" ht="14.25" customHeight="1">
      <c r="A29" s="61" t="s">
        <v>625</v>
      </c>
      <c r="B29" s="92" t="str">
        <f>IF($A29=0,"",VLOOKUP($A29,'00_MO'!$A$4:$D$7,2,FALSE))</f>
        <v>Oficial</v>
      </c>
      <c r="C29" s="92" t="str">
        <f>IF($A29=0,"",VLOOKUP($A29,'00_MO'!$A$4:$D$7,3,FALSE))</f>
        <v>u</v>
      </c>
      <c r="D29" s="229">
        <v>3.0</v>
      </c>
      <c r="E29" s="229">
        <v>2.0</v>
      </c>
      <c r="F29" s="236">
        <v>0.25</v>
      </c>
      <c r="G29" s="217">
        <f t="shared" si="3"/>
        <v>8</v>
      </c>
      <c r="H29" s="143">
        <f>IF($A29=0,"",VLOOKUP($A29,'00_MO'!$A$4:$D$7,4,FALSE))</f>
        <v>90000</v>
      </c>
      <c r="I29" s="143">
        <f t="shared" si="4"/>
        <v>720000</v>
      </c>
    </row>
    <row r="30" ht="14.25" customHeight="1">
      <c r="A30" s="61" t="s">
        <v>627</v>
      </c>
      <c r="B30" s="92" t="str">
        <f>IF($A30=0,"",VLOOKUP($A30,'00_MO'!$A$4:$D$7,2,FALSE))</f>
        <v>Ayudante</v>
      </c>
      <c r="C30" s="92" t="str">
        <f>IF($A30=0,"",VLOOKUP($A30,'00_MO'!$A$4:$D$7,3,FALSE))</f>
        <v>u</v>
      </c>
      <c r="D30" s="229">
        <v>3.0</v>
      </c>
      <c r="E30" s="229">
        <v>2.0</v>
      </c>
      <c r="F30" s="236">
        <v>0.25</v>
      </c>
      <c r="G30" s="217">
        <f t="shared" si="3"/>
        <v>8</v>
      </c>
      <c r="H30" s="143">
        <f>IF($A30=0,"",VLOOKUP($A30,'00_MO'!$A$4:$D$7,4,FALSE))</f>
        <v>60000</v>
      </c>
      <c r="I30" s="143">
        <f t="shared" si="4"/>
        <v>480000</v>
      </c>
    </row>
    <row r="31" ht="14.25" customHeight="1">
      <c r="A31" s="204"/>
      <c r="B31" s="92" t="str">
        <f>IF($A31=0,"",VLOOKUP($A31,'00_MO'!$A$4:$D$7,2,FALSE))</f>
        <v/>
      </c>
      <c r="C31" s="92" t="str">
        <f>IF($A31=0,"",VLOOKUP($A31,'00_MO'!$A$4:$D$7,3,FALSE))</f>
        <v/>
      </c>
      <c r="D31" s="204"/>
      <c r="E31" s="229"/>
      <c r="F31" s="206"/>
      <c r="G31" s="217">
        <f t="shared" si="3"/>
        <v>0</v>
      </c>
      <c r="H31" s="143" t="str">
        <f>IF($A31=0,"",VLOOKUP($A31,'00_MO'!$A$4:$D$7,4,FALSE))</f>
        <v/>
      </c>
      <c r="I31" s="143">
        <f t="shared" si="4"/>
        <v>0</v>
      </c>
    </row>
    <row r="32" ht="14.25" customHeight="1">
      <c r="A32" s="204"/>
      <c r="B32" s="92" t="str">
        <f>IF($A32=0,"",VLOOKUP($A32,'00_MO'!$A$4:$D$7,2,FALSE))</f>
        <v/>
      </c>
      <c r="C32" s="92" t="str">
        <f>IF($A32=0,"",VLOOKUP($A32,'00_MO'!$A$4:$D$7,3,FALSE))</f>
        <v/>
      </c>
      <c r="D32" s="204"/>
      <c r="E32" s="204"/>
      <c r="F32" s="206"/>
      <c r="G32" s="217">
        <f t="shared" si="3"/>
        <v>0</v>
      </c>
      <c r="H32" s="143" t="str">
        <f>IF($A32=0,"",VLOOKUP($A32,'00_MO'!$A$4:$D$7,4,FALSE))</f>
        <v/>
      </c>
      <c r="I32" s="143">
        <f t="shared" si="4"/>
        <v>0</v>
      </c>
    </row>
    <row r="33" ht="14.25" customHeight="1">
      <c r="F33" s="208"/>
      <c r="G33" s="3"/>
      <c r="H33" s="143"/>
      <c r="I33" s="143"/>
    </row>
    <row r="34" ht="14.25" customHeight="1">
      <c r="A34" s="222" t="s">
        <v>987</v>
      </c>
      <c r="B34" s="223"/>
      <c r="C34" s="223"/>
      <c r="D34" s="223"/>
      <c r="E34" s="223"/>
      <c r="F34" s="223"/>
      <c r="G34" s="211"/>
      <c r="H34" s="223"/>
      <c r="I34" s="224">
        <f>SUM(I27:I32)</f>
        <v>2085000</v>
      </c>
    </row>
    <row r="35" ht="14.25" customHeight="1">
      <c r="A35" s="232" t="str">
        <f>$I$3</f>
        <v>m³</v>
      </c>
      <c r="B35" s="233"/>
      <c r="C35" s="233"/>
      <c r="D35" s="233"/>
      <c r="E35" s="233"/>
      <c r="F35" s="233"/>
      <c r="G35" s="21"/>
      <c r="H35" s="233"/>
      <c r="I35" s="205">
        <f>$H$3</f>
        <v>5.4</v>
      </c>
      <c r="J35" s="92"/>
      <c r="K35" s="92"/>
      <c r="L35" s="92"/>
    </row>
    <row r="36" ht="14.25" customHeight="1">
      <c r="A36" s="234" t="s">
        <v>997</v>
      </c>
      <c r="B36" s="232" t="str">
        <f>A35</f>
        <v>m³</v>
      </c>
      <c r="C36" s="233"/>
      <c r="D36" s="233"/>
      <c r="E36" s="233"/>
      <c r="F36" s="233"/>
      <c r="G36" s="21"/>
      <c r="H36" s="233"/>
      <c r="I36" s="235">
        <f>I34/I35</f>
        <v>386111.1111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01" t="s">
        <v>1000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02" t="s">
        <v>988</v>
      </c>
      <c r="B40" s="202" t="s">
        <v>989</v>
      </c>
      <c r="C40" s="202" t="s">
        <v>990</v>
      </c>
      <c r="D40" s="202" t="s">
        <v>991</v>
      </c>
      <c r="E40" s="202" t="s">
        <v>999</v>
      </c>
      <c r="F40" s="202" t="s">
        <v>992</v>
      </c>
      <c r="G40" s="4" t="s">
        <v>993</v>
      </c>
      <c r="H40" s="202" t="s">
        <v>994</v>
      </c>
      <c r="I40" s="202" t="s">
        <v>995</v>
      </c>
    </row>
    <row r="41" ht="14.25" customHeight="1">
      <c r="A41" s="204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04"/>
      <c r="E41" s="204"/>
      <c r="F41" s="206"/>
      <c r="G41" s="217">
        <f t="shared" ref="G41:G46" si="5">ROUNDUP(((D41*E41)*(1+F41)),0)</f>
        <v>0</v>
      </c>
      <c r="H41" s="143" t="str">
        <f>IF($A41=0,"",VLOOKUP($A41,'00_Eq'!$A$4:$D$100,4,FALSE))</f>
        <v/>
      </c>
      <c r="I41" s="143">
        <f t="shared" ref="I41:I44" si="6">G41*H41</f>
        <v>0</v>
      </c>
    </row>
    <row r="42" ht="14.25" customHeight="1">
      <c r="A42" s="204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04"/>
      <c r="E42" s="204"/>
      <c r="F42" s="206"/>
      <c r="G42" s="217">
        <f t="shared" si="5"/>
        <v>0</v>
      </c>
      <c r="H42" s="143" t="str">
        <f>IF($A42=0,"",VLOOKUP($A42,'00_Eq'!$A$4:$D$100,4,FALSE))</f>
        <v/>
      </c>
      <c r="I42" s="143">
        <f t="shared" si="6"/>
        <v>0</v>
      </c>
    </row>
    <row r="43" ht="14.25" customHeight="1">
      <c r="A43" s="204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04"/>
      <c r="E43" s="204"/>
      <c r="F43" s="206"/>
      <c r="G43" s="217">
        <f t="shared" si="5"/>
        <v>0</v>
      </c>
      <c r="H43" s="143" t="str">
        <f>IF($A43=0,"",VLOOKUP($A43,'00_Eq'!$A$4:$D$100,4,FALSE))</f>
        <v/>
      </c>
      <c r="I43" s="143">
        <f t="shared" si="6"/>
        <v>0</v>
      </c>
    </row>
    <row r="44" ht="14.25" customHeight="1">
      <c r="A44" s="204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04"/>
      <c r="E44" s="204"/>
      <c r="F44" s="206"/>
      <c r="G44" s="217">
        <f t="shared" si="5"/>
        <v>0</v>
      </c>
      <c r="H44" s="143" t="str">
        <f>IF($A44=0,"",VLOOKUP($A44,'00_Eq'!$A$4:$D$100,4,FALSE))</f>
        <v/>
      </c>
      <c r="I44" s="143">
        <f t="shared" si="6"/>
        <v>0</v>
      </c>
    </row>
    <row r="45" ht="14.25" customHeight="1">
      <c r="A45" s="204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04"/>
      <c r="E45" s="204"/>
      <c r="F45" s="206"/>
      <c r="G45" s="217">
        <f t="shared" si="5"/>
        <v>0</v>
      </c>
      <c r="H45" s="143" t="str">
        <f>IF($A45=0,"",VLOOKUP($A45,'00_Eq'!$A$4:$D$100,4,FALSE))</f>
        <v/>
      </c>
      <c r="I45" s="143"/>
    </row>
    <row r="46" ht="14.25" customHeight="1">
      <c r="A46" s="204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04"/>
      <c r="E46" s="204"/>
      <c r="F46" s="206"/>
      <c r="G46" s="217">
        <f t="shared" si="5"/>
        <v>0</v>
      </c>
      <c r="H46" s="143" t="str">
        <f>IF($A46=0,"",VLOOKUP($A46,'00_Eq'!$A$4:$D$100,4,FALSE))</f>
        <v/>
      </c>
      <c r="I46" s="143"/>
    </row>
    <row r="47" ht="14.25" customHeight="1">
      <c r="F47" s="208"/>
      <c r="G47" s="3"/>
      <c r="H47" s="143"/>
      <c r="I47" s="143"/>
    </row>
    <row r="48" ht="14.25" customHeight="1">
      <c r="A48" s="222" t="s">
        <v>987</v>
      </c>
      <c r="B48" s="223"/>
      <c r="C48" s="223"/>
      <c r="D48" s="223"/>
      <c r="E48" s="223"/>
      <c r="F48" s="223"/>
      <c r="G48" s="211"/>
      <c r="H48" s="223"/>
      <c r="I48" s="224">
        <f>SUM(I41:I46)</f>
        <v>0</v>
      </c>
    </row>
    <row r="49" ht="14.25" customHeight="1">
      <c r="A49" s="232" t="str">
        <f>$I$3</f>
        <v>m³</v>
      </c>
      <c r="B49" s="233"/>
      <c r="C49" s="233"/>
      <c r="D49" s="233"/>
      <c r="E49" s="233"/>
      <c r="F49" s="233"/>
      <c r="G49" s="21"/>
      <c r="H49" s="233"/>
      <c r="I49" s="205">
        <f>$H$3</f>
        <v>5.4</v>
      </c>
      <c r="J49" s="92"/>
      <c r="K49" s="92"/>
      <c r="L49" s="92"/>
    </row>
    <row r="50" ht="14.25" customHeight="1">
      <c r="A50" s="234" t="s">
        <v>997</v>
      </c>
      <c r="B50" s="232" t="str">
        <f>A49</f>
        <v>m³</v>
      </c>
      <c r="C50" s="233"/>
      <c r="D50" s="233"/>
      <c r="E50" s="233"/>
      <c r="F50" s="233"/>
      <c r="G50" s="21"/>
      <c r="H50" s="233"/>
      <c r="I50" s="235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01" t="s">
        <v>1010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02" t="s">
        <v>988</v>
      </c>
      <c r="B54" s="202" t="s">
        <v>989</v>
      </c>
      <c r="C54" s="202" t="s">
        <v>990</v>
      </c>
      <c r="D54" s="202" t="s">
        <v>991</v>
      </c>
      <c r="E54" s="202"/>
      <c r="F54" s="202" t="s">
        <v>992</v>
      </c>
      <c r="G54" s="4" t="s">
        <v>993</v>
      </c>
      <c r="H54" s="202" t="s">
        <v>994</v>
      </c>
      <c r="I54" s="202" t="s">
        <v>995</v>
      </c>
    </row>
    <row r="55" ht="14.25" customHeight="1">
      <c r="A55" s="3"/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30"/>
      <c r="E55" s="204"/>
      <c r="F55" s="236">
        <v>0.1</v>
      </c>
      <c r="G55" s="221">
        <f t="shared" ref="G55:G60" si="7">ROUNDUP((D55+(D55*F55)),0)</f>
        <v>0</v>
      </c>
      <c r="H55" s="143" t="str">
        <f>IF($A55=0,"",VLOOKUP($A55,'00_Mat'!$A$4:$J$1135,5,FALSE))</f>
        <v/>
      </c>
      <c r="I55" s="143">
        <f t="shared" ref="I55:I60" si="8">G55*H55</f>
        <v>0</v>
      </c>
      <c r="J55" s="237"/>
    </row>
    <row r="56" ht="14.25" customHeight="1">
      <c r="A56" s="3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0"/>
      <c r="E56" s="204"/>
      <c r="F56" s="236">
        <v>0.1</v>
      </c>
      <c r="G56" s="221">
        <f t="shared" si="7"/>
        <v>0</v>
      </c>
      <c r="H56" s="143" t="str">
        <f>IF($A56=0,"",VLOOKUP($A56,'00_Mat'!$A$4:$J$1135,5,FALSE))</f>
        <v/>
      </c>
      <c r="I56" s="143">
        <f t="shared" si="8"/>
        <v>0</v>
      </c>
      <c r="J56" s="237"/>
    </row>
    <row r="57" ht="14.25" customHeight="1">
      <c r="A57" s="3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0">
        <v>20.0</v>
      </c>
      <c r="E57" s="204"/>
      <c r="F57" s="236">
        <v>0.1</v>
      </c>
      <c r="G57" s="221">
        <f t="shared" si="7"/>
        <v>22</v>
      </c>
      <c r="H57" s="143" t="str">
        <f>IF($A57=0,"",VLOOKUP($A57,'00_Mat'!$A$4:$J$1135,5,FALSE))</f>
        <v/>
      </c>
      <c r="I57" s="143">
        <f t="shared" si="8"/>
        <v>0</v>
      </c>
      <c r="J57" s="153" t="s">
        <v>1013</v>
      </c>
      <c r="L57" s="153" t="s">
        <v>1011</v>
      </c>
      <c r="M57" s="153" t="s">
        <v>1012</v>
      </c>
    </row>
    <row r="58" ht="14.25" customHeight="1">
      <c r="A58" s="20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0">
        <v>1.0</v>
      </c>
      <c r="E58" s="204"/>
      <c r="F58" s="236">
        <v>0.0</v>
      </c>
      <c r="G58" s="221">
        <f t="shared" si="7"/>
        <v>1</v>
      </c>
      <c r="H58" s="143" t="str">
        <f>IF($A58=0,"",VLOOKUP($A58,'00_Mat'!$A$4:$J$1135,5,FALSE))</f>
        <v/>
      </c>
      <c r="I58" s="143">
        <f t="shared" si="8"/>
        <v>0</v>
      </c>
      <c r="J58" s="153" t="s">
        <v>1033</v>
      </c>
    </row>
    <row r="59" ht="14.25" customHeight="1">
      <c r="C59" s="92" t="str">
        <f>IF($A58=0,"",VLOOKUP($A58,'00_Mat'!$A$4:$J$1135,3,FALSE))</f>
        <v/>
      </c>
      <c r="D59" s="230"/>
      <c r="E59" s="204"/>
      <c r="F59" s="236">
        <v>0.1</v>
      </c>
      <c r="G59" s="221">
        <f t="shared" si="7"/>
        <v>0</v>
      </c>
      <c r="H59" s="143" t="str">
        <f>IF($A59=0,"",VLOOKUP($A59,'00_Mat'!$A$4:$J$1135,5,FALSE))</f>
        <v/>
      </c>
      <c r="I59" s="143">
        <f t="shared" si="8"/>
        <v>0</v>
      </c>
    </row>
    <row r="60" ht="14.25" customHeight="1">
      <c r="A60" s="204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05"/>
      <c r="E60" s="204"/>
      <c r="F60" s="206"/>
      <c r="G60" s="221">
        <f t="shared" si="7"/>
        <v>0</v>
      </c>
      <c r="H60" s="143" t="str">
        <f>IF($A60=0,"",VLOOKUP($A60,'00_Mat'!$A$4:$J$1135,5,FALSE))</f>
        <v/>
      </c>
      <c r="I60" s="143">
        <f t="shared" si="8"/>
        <v>0</v>
      </c>
    </row>
    <row r="61" ht="14.25" customHeight="1">
      <c r="F61" s="208"/>
      <c r="G61" s="3"/>
      <c r="H61" s="143"/>
      <c r="I61" s="143"/>
    </row>
    <row r="62" ht="14.25" customHeight="1">
      <c r="A62" s="222" t="s">
        <v>987</v>
      </c>
      <c r="B62" s="223"/>
      <c r="C62" s="223"/>
      <c r="D62" s="223"/>
      <c r="E62" s="223"/>
      <c r="F62" s="223"/>
      <c r="G62" s="211"/>
      <c r="H62" s="223"/>
      <c r="I62" s="224">
        <f>SUM(I55:I60)</f>
        <v>0</v>
      </c>
    </row>
    <row r="63" ht="14.25" customHeight="1">
      <c r="A63" s="232" t="str">
        <f>$I$3</f>
        <v>m³</v>
      </c>
      <c r="B63" s="233"/>
      <c r="C63" s="233"/>
      <c r="D63" s="233"/>
      <c r="E63" s="233"/>
      <c r="F63" s="233"/>
      <c r="G63" s="21"/>
      <c r="H63" s="233"/>
      <c r="I63" s="205">
        <f>$H$3</f>
        <v>5.4</v>
      </c>
      <c r="J63" s="92"/>
      <c r="K63" s="92"/>
      <c r="L63" s="92"/>
    </row>
    <row r="64" ht="14.25" customHeight="1">
      <c r="A64" s="234" t="s">
        <v>997</v>
      </c>
      <c r="B64" s="232" t="str">
        <f>A63</f>
        <v>m³</v>
      </c>
      <c r="C64" s="233"/>
      <c r="D64" s="233"/>
      <c r="E64" s="233"/>
      <c r="F64" s="233"/>
      <c r="G64" s="21"/>
      <c r="H64" s="233"/>
      <c r="I64" s="235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01" t="s">
        <v>1025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02" t="s">
        <v>988</v>
      </c>
      <c r="B68" s="202" t="s">
        <v>989</v>
      </c>
      <c r="C68" s="202" t="s">
        <v>990</v>
      </c>
      <c r="D68" s="202" t="s">
        <v>991</v>
      </c>
      <c r="E68" s="202" t="s">
        <v>999</v>
      </c>
      <c r="F68" s="202" t="s">
        <v>992</v>
      </c>
      <c r="G68" s="4" t="s">
        <v>993</v>
      </c>
      <c r="H68" s="202" t="s">
        <v>994</v>
      </c>
      <c r="I68" s="202" t="s">
        <v>995</v>
      </c>
    </row>
    <row r="69" ht="14.25" customHeight="1">
      <c r="A69" s="204"/>
      <c r="B69" s="92" t="str">
        <f>IF($A69=0,"",VLOOKUP($A69,'00_Sub'!$A$4:$D$1007,2,FALSE))</f>
        <v/>
      </c>
      <c r="C69" s="92" t="str">
        <f>IF($A69=0,"",VLOOKUP($A69,'00_Sub'!$A$4:$D$1007,3,FALSE))</f>
        <v/>
      </c>
      <c r="D69" s="204"/>
      <c r="E69" s="204"/>
      <c r="F69" s="206"/>
      <c r="G69" s="221">
        <f t="shared" ref="G69:G74" si="9">ROUNDUP((D69+(D69*F69)),0)</f>
        <v>0</v>
      </c>
      <c r="H69" s="143" t="str">
        <f>IF($A69=0,"",VLOOKUP($A69,'00_Sub'!$A$4:$D$1007,4,FALSE))</f>
        <v/>
      </c>
      <c r="I69" s="143"/>
    </row>
    <row r="70" ht="14.25" customHeight="1">
      <c r="A70" s="204"/>
      <c r="B70" s="92" t="str">
        <f>IF($A70=0,"",VLOOKUP($A70,'00_Sub'!$A$4:$D$1007,2,FALSE))</f>
        <v/>
      </c>
      <c r="C70" s="92" t="str">
        <f>IF($A70=0,"",VLOOKUP($A70,'00_Sub'!$A$4:$D$1007,3,FALSE))</f>
        <v/>
      </c>
      <c r="D70" s="204"/>
      <c r="E70" s="204"/>
      <c r="F70" s="206"/>
      <c r="G70" s="221">
        <f t="shared" si="9"/>
        <v>0</v>
      </c>
      <c r="H70" s="143" t="str">
        <f>IF($A70=0,"",VLOOKUP($A70,'00_Sub'!$A$4:$D$1007,4,FALSE))</f>
        <v/>
      </c>
      <c r="I70" s="143"/>
    </row>
    <row r="71" ht="14.25" customHeight="1">
      <c r="A71" s="204"/>
      <c r="B71" s="92" t="str">
        <f>IF($A71=0,"",VLOOKUP($A71,'00_Sub'!$A$4:$D$1007,2,FALSE))</f>
        <v/>
      </c>
      <c r="C71" s="92" t="str">
        <f>IF($A71=0,"",VLOOKUP($A71,'00_Sub'!$A$4:$D$1007,3,FALSE))</f>
        <v/>
      </c>
      <c r="D71" s="204"/>
      <c r="E71" s="204"/>
      <c r="F71" s="206"/>
      <c r="G71" s="221">
        <f t="shared" si="9"/>
        <v>0</v>
      </c>
      <c r="H71" s="143" t="str">
        <f>IF($A71=0,"",VLOOKUP($A71,'00_Sub'!$A$4:$D$1007,4,FALSE))</f>
        <v/>
      </c>
      <c r="I71" s="143"/>
    </row>
    <row r="72" ht="14.25" customHeight="1">
      <c r="A72" s="204"/>
      <c r="B72" s="92" t="str">
        <f>IF($A72=0,"",VLOOKUP($A72,'00_Sub'!$A$4:$D$1007,2,FALSE))</f>
        <v/>
      </c>
      <c r="C72" s="92" t="str">
        <f>IF($A72=0,"",VLOOKUP($A72,'00_Sub'!$A$4:$D$1007,3,FALSE))</f>
        <v/>
      </c>
      <c r="D72" s="204"/>
      <c r="E72" s="204"/>
      <c r="F72" s="206"/>
      <c r="G72" s="221">
        <f t="shared" si="9"/>
        <v>0</v>
      </c>
      <c r="H72" s="143" t="str">
        <f>IF($A72=0,"",VLOOKUP($A72,'00_Sub'!$A$4:$D$1007,4,FALSE))</f>
        <v/>
      </c>
      <c r="I72" s="143"/>
    </row>
    <row r="73" ht="14.25" customHeight="1">
      <c r="A73" s="204"/>
      <c r="B73" s="92" t="str">
        <f>IF($A73=0,"",VLOOKUP($A73,'00_Sub'!$A$4:$D$1007,2,FALSE))</f>
        <v/>
      </c>
      <c r="C73" s="92" t="str">
        <f>IF($A73=0,"",VLOOKUP($A73,'00_Sub'!$A$4:$D$1007,3,FALSE))</f>
        <v/>
      </c>
      <c r="D73" s="204"/>
      <c r="E73" s="204"/>
      <c r="F73" s="206"/>
      <c r="G73" s="221">
        <f t="shared" si="9"/>
        <v>0</v>
      </c>
      <c r="H73" s="143" t="str">
        <f>IF($A73=0,"",VLOOKUP($A73,'00_Sub'!$A$4:$D$1007,4,FALSE))</f>
        <v/>
      </c>
      <c r="I73" s="143"/>
    </row>
    <row r="74" ht="14.25" customHeight="1">
      <c r="A74" s="204"/>
      <c r="B74" s="92" t="str">
        <f>IF($A74=0,"",VLOOKUP($A74,'00_Sub'!$A$4:$D$1007,2,FALSE))</f>
        <v/>
      </c>
      <c r="C74" s="92" t="str">
        <f>IF($A74=0,"",VLOOKUP($A74,'00_Sub'!$A$4:$D$1007,3,FALSE))</f>
        <v/>
      </c>
      <c r="D74" s="204"/>
      <c r="E74" s="204"/>
      <c r="F74" s="206"/>
      <c r="G74" s="221">
        <f t="shared" si="9"/>
        <v>0</v>
      </c>
      <c r="H74" s="143" t="str">
        <f>IF($A74=0,"",VLOOKUP($A74,'00_Sub'!$A$4:$D$1007,4,FALSE))</f>
        <v/>
      </c>
      <c r="I74" s="143"/>
    </row>
    <row r="75" ht="14.25" customHeight="1">
      <c r="F75" s="208"/>
      <c r="G75" s="3"/>
      <c r="H75" s="143"/>
      <c r="I75" s="143"/>
    </row>
    <row r="76" ht="14.25" customHeight="1">
      <c r="A76" s="222" t="s">
        <v>987</v>
      </c>
      <c r="B76" s="223"/>
      <c r="C76" s="223"/>
      <c r="D76" s="223"/>
      <c r="E76" s="223"/>
      <c r="F76" s="223"/>
      <c r="G76" s="211"/>
      <c r="H76" s="223"/>
      <c r="I76" s="224">
        <f>SUM(I69:I74)</f>
        <v>0</v>
      </c>
    </row>
    <row r="77" ht="14.25" customHeight="1">
      <c r="A77" s="232" t="str">
        <f>$I$3</f>
        <v>m³</v>
      </c>
      <c r="B77" s="233"/>
      <c r="C77" s="233"/>
      <c r="D77" s="233"/>
      <c r="E77" s="233"/>
      <c r="F77" s="233"/>
      <c r="G77" s="21"/>
      <c r="H77" s="233"/>
      <c r="I77" s="205">
        <f>$H$3</f>
        <v>5.4</v>
      </c>
      <c r="J77" s="92"/>
      <c r="K77" s="92"/>
      <c r="L77" s="92"/>
    </row>
    <row r="78" ht="14.25" customHeight="1">
      <c r="A78" s="234" t="s">
        <v>997</v>
      </c>
      <c r="B78" s="232" t="str">
        <f>A77</f>
        <v>m³</v>
      </c>
      <c r="C78" s="233"/>
      <c r="D78" s="233"/>
      <c r="E78" s="233"/>
      <c r="F78" s="233"/>
      <c r="G78" s="21"/>
      <c r="H78" s="233"/>
      <c r="I78" s="235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18"/>
      <c r="B82" s="219"/>
      <c r="C82" s="219"/>
      <c r="D82" s="219"/>
      <c r="E82" s="219"/>
      <c r="F82" s="219"/>
      <c r="G82" s="3"/>
      <c r="H82" s="219"/>
      <c r="I82" s="219"/>
    </row>
    <row r="83" ht="14.25" customHeight="1">
      <c r="A83" s="218"/>
      <c r="B83" s="219"/>
      <c r="C83" s="219"/>
      <c r="D83" s="219"/>
      <c r="E83" s="219"/>
      <c r="F83" s="219"/>
      <c r="G83" s="3"/>
      <c r="H83" s="219"/>
      <c r="I83" s="219"/>
    </row>
    <row r="84" ht="14.25" customHeight="1">
      <c r="G84" s="3"/>
      <c r="H84" s="208"/>
      <c r="I84" s="143"/>
    </row>
    <row r="85" ht="14.25" customHeight="1">
      <c r="G85" s="3"/>
      <c r="H85" s="208"/>
      <c r="I85" s="143"/>
    </row>
    <row r="86" ht="14.25" customHeight="1">
      <c r="A86" s="218"/>
      <c r="B86" s="219"/>
      <c r="C86" s="219"/>
      <c r="D86" s="219"/>
      <c r="E86" s="219"/>
      <c r="F86" s="219"/>
      <c r="G86" s="3"/>
      <c r="H86" s="219"/>
      <c r="I86" s="225"/>
    </row>
    <row r="87" ht="14.25" customHeight="1">
      <c r="G87" s="3"/>
      <c r="H87" s="208"/>
      <c r="I87" s="143"/>
    </row>
    <row r="88" ht="14.25" customHeight="1">
      <c r="G88" s="3"/>
      <c r="H88" s="208"/>
      <c r="I88" s="143"/>
    </row>
    <row r="89" ht="14.25" customHeight="1">
      <c r="G89" s="3"/>
      <c r="H89" s="208"/>
      <c r="I89" s="143"/>
    </row>
    <row r="90" ht="14.25" customHeight="1">
      <c r="A90" s="218"/>
      <c r="B90" s="219"/>
      <c r="C90" s="219"/>
      <c r="D90" s="219"/>
      <c r="E90" s="219"/>
      <c r="F90" s="219"/>
      <c r="G90" s="3"/>
      <c r="H90" s="219"/>
      <c r="I90" s="225"/>
    </row>
    <row r="91" ht="14.25" customHeight="1">
      <c r="G91" s="3"/>
      <c r="H91" s="208"/>
      <c r="I91" s="143"/>
    </row>
    <row r="92" ht="14.25" customHeight="1">
      <c r="G92" s="3"/>
      <c r="H92" s="208"/>
      <c r="I92" s="143"/>
    </row>
    <row r="93" ht="14.25" customHeight="1">
      <c r="A93" s="218"/>
      <c r="B93" s="219"/>
      <c r="C93" s="219"/>
      <c r="D93" s="219"/>
      <c r="E93" s="219"/>
      <c r="F93" s="219"/>
      <c r="G93" s="3"/>
      <c r="H93" s="219"/>
      <c r="I93" s="225"/>
    </row>
    <row r="94" ht="14.25" customHeight="1">
      <c r="G94" s="3"/>
      <c r="H94" s="208"/>
      <c r="I94" s="143"/>
    </row>
    <row r="95" ht="14.25" customHeight="1">
      <c r="G95" s="3"/>
      <c r="H95" s="208"/>
      <c r="I95" s="143"/>
    </row>
    <row r="96" ht="14.25" customHeight="1">
      <c r="A96" s="218"/>
      <c r="B96" s="219"/>
      <c r="C96" s="219"/>
      <c r="D96" s="219"/>
      <c r="E96" s="219"/>
      <c r="F96" s="219"/>
      <c r="G96" s="3"/>
      <c r="H96" s="219"/>
      <c r="I96" s="225"/>
    </row>
    <row r="97" ht="14.25" customHeight="1">
      <c r="A97" s="218"/>
      <c r="B97" s="219"/>
      <c r="C97" s="219"/>
      <c r="D97" s="219"/>
      <c r="E97" s="219"/>
      <c r="F97" s="219"/>
      <c r="G97" s="3"/>
      <c r="H97" s="247"/>
      <c r="I97" s="225"/>
    </row>
    <row r="98" ht="14.25" customHeight="1">
      <c r="A98" s="218"/>
      <c r="B98" s="219"/>
      <c r="C98" s="219"/>
      <c r="D98" s="219"/>
      <c r="E98" s="219"/>
      <c r="F98" s="219"/>
      <c r="G98" s="3"/>
      <c r="H98" s="219"/>
      <c r="I98" s="22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1" width="8.71"/>
    <col customWidth="1" min="12" max="12" width="10.14"/>
    <col customWidth="1" min="13" max="13" width="30.29"/>
  </cols>
  <sheetData>
    <row r="1" ht="33.75" customHeight="1">
      <c r="A1" s="91" t="str">
        <f>'01_C&amp;P'!A1</f>
        <v>EDIFICIO LAS HERAS</v>
      </c>
      <c r="B1" s="91"/>
      <c r="C1" s="91"/>
      <c r="G1" s="3"/>
    </row>
    <row r="2" ht="14.25" customHeight="1">
      <c r="G2" s="3"/>
    </row>
    <row r="3" ht="23.25" customHeight="1">
      <c r="A3" s="195" t="str">
        <f>'01_C&amp;P'!A25</f>
        <v>0.15</v>
      </c>
      <c r="B3" s="196" t="str">
        <f>IF($A3=0,"",VLOOKUP($A3,'01_C&amp;P'!$A$9:$D$192,2,FALSE))</f>
        <v>TABIQUES DE SUBMURACION</v>
      </c>
      <c r="C3" s="197"/>
      <c r="D3" s="197"/>
      <c r="E3" s="197"/>
      <c r="F3" s="197"/>
      <c r="G3" s="198"/>
      <c r="H3" s="199">
        <f>IF($A3=0,"",VLOOKUP($A3,'01_C&amp;P'!$A$9:$D$192,4,FALSE))</f>
        <v>42.75</v>
      </c>
      <c r="I3" s="200" t="str">
        <f>IF($A3=0,"",VLOOKUP($A3,'01_C&amp;P'!$A$9:$D$192,3,FALSE))</f>
        <v>m³</v>
      </c>
      <c r="M3" s="246"/>
    </row>
    <row r="4" ht="14.25" customHeight="1">
      <c r="G4" s="3"/>
    </row>
    <row r="5" ht="14.25" customHeight="1">
      <c r="A5" s="201" t="s">
        <v>0</v>
      </c>
      <c r="B5" s="94"/>
      <c r="C5" s="94"/>
      <c r="D5" s="94"/>
      <c r="E5" s="94"/>
      <c r="F5" s="94"/>
      <c r="G5" s="2"/>
      <c r="H5" s="94"/>
      <c r="I5" s="94"/>
    </row>
    <row r="6" ht="14.25" customHeight="1">
      <c r="A6" s="202" t="s">
        <v>988</v>
      </c>
      <c r="B6" s="202" t="s">
        <v>989</v>
      </c>
      <c r="C6" s="202" t="s">
        <v>990</v>
      </c>
      <c r="D6" s="203" t="s">
        <v>991</v>
      </c>
      <c r="E6" s="197"/>
      <c r="F6" s="202" t="s">
        <v>992</v>
      </c>
      <c r="G6" s="4" t="s">
        <v>993</v>
      </c>
      <c r="H6" s="202" t="s">
        <v>994</v>
      </c>
      <c r="I6" s="202" t="s">
        <v>995</v>
      </c>
    </row>
    <row r="7" ht="14.25" customHeight="1">
      <c r="A7" s="3" t="s">
        <v>586</v>
      </c>
      <c r="B7" s="92" t="str">
        <f>IF($A7=0,"",VLOOKUP($A7,'00_Mat'!$A$4:$J$1135,2,FALSE))</f>
        <v>Hormigon H30 Gunitado</v>
      </c>
      <c r="C7" s="92" t="str">
        <f>IF($A7=0,"",VLOOKUP($A7,'00_Mat'!$A$4:$J$1135,3,FALSE))</f>
        <v>m3</v>
      </c>
      <c r="D7" s="230">
        <f>H3</f>
        <v>42.75</v>
      </c>
      <c r="E7" s="204"/>
      <c r="F7" s="206">
        <v>0.1</v>
      </c>
      <c r="G7" s="221">
        <f t="shared" ref="G7:G18" si="1">ROUNDUP((D7+(D7*F7)),0)</f>
        <v>48</v>
      </c>
      <c r="H7" s="143">
        <f>IF($A7=0,"",VLOOKUP($A7,'00_Mat'!$A$4:$J$1135,5,FALSE))</f>
        <v>175000</v>
      </c>
      <c r="I7" s="143">
        <f t="shared" ref="I7:I18" si="2">G7*H7</f>
        <v>8400000</v>
      </c>
      <c r="J7" s="231" t="s">
        <v>548</v>
      </c>
    </row>
    <row r="8" ht="14.25" customHeight="1">
      <c r="A8" s="3" t="s">
        <v>132</v>
      </c>
      <c r="B8" s="92" t="str">
        <f>IF($A8=0,"",VLOOKUP($A8,'00_Mat'!$A$4:$J$1135,2,FALSE))</f>
        <v>Hierros ADN 420 Φ 6 </v>
      </c>
      <c r="C8" s="92" t="str">
        <f>IF($A8=0,"",VLOOKUP($A8,'00_Mat'!$A$4:$J$1135,3,FALSE))</f>
        <v>u</v>
      </c>
      <c r="D8" s="230"/>
      <c r="E8" s="204"/>
      <c r="F8" s="236">
        <v>0.15</v>
      </c>
      <c r="G8" s="221">
        <f t="shared" si="1"/>
        <v>0</v>
      </c>
      <c r="H8" s="143">
        <f>IF($A8=0,"",VLOOKUP($A8,'00_Mat'!$A$4:$J$1135,5,FALSE))</f>
        <v>5250</v>
      </c>
      <c r="I8" s="143">
        <f t="shared" si="2"/>
        <v>0</v>
      </c>
      <c r="J8" s="153" t="s">
        <v>1028</v>
      </c>
    </row>
    <row r="9" ht="14.25" customHeight="1">
      <c r="A9" s="3" t="s">
        <v>134</v>
      </c>
      <c r="B9" s="92" t="str">
        <f>IF($A9=0,"",VLOOKUP($A9,'00_Mat'!$A$4:$J$1135,2,FALSE))</f>
        <v>Hierros ADN 420 Φ 8</v>
      </c>
      <c r="C9" s="92" t="str">
        <f>IF($A9=0,"",VLOOKUP($A9,'00_Mat'!$A$4:$J$1135,3,FALSE))</f>
        <v>u</v>
      </c>
      <c r="D9" s="229">
        <v>255.0</v>
      </c>
      <c r="E9" s="204"/>
      <c r="F9" s="236">
        <v>0.15</v>
      </c>
      <c r="G9" s="221">
        <f t="shared" si="1"/>
        <v>294</v>
      </c>
      <c r="H9" s="143">
        <f>IF($A9=0,"",VLOOKUP($A9,'00_Mat'!$A$4:$J$1135,5,FALSE))</f>
        <v>9050</v>
      </c>
      <c r="I9" s="143">
        <f t="shared" si="2"/>
        <v>2660700</v>
      </c>
    </row>
    <row r="10" ht="14.25" customHeight="1">
      <c r="A10" s="3" t="s">
        <v>136</v>
      </c>
      <c r="B10" s="92" t="str">
        <f>IF($A10=0,"",VLOOKUP($A10,'00_Mat'!$A$4:$J$1135,2,FALSE))</f>
        <v>Hierros ADN 420Φ 10</v>
      </c>
      <c r="C10" s="92" t="str">
        <f>IF($A10=0,"",VLOOKUP($A10,'00_Mat'!$A$4:$J$1135,3,FALSE))</f>
        <v>u</v>
      </c>
      <c r="D10" s="229"/>
      <c r="E10" s="204"/>
      <c r="F10" s="236">
        <v>0.15</v>
      </c>
      <c r="G10" s="221">
        <f t="shared" si="1"/>
        <v>0</v>
      </c>
      <c r="H10" s="143">
        <f>IF($A10=0,"",VLOOKUP($A10,'00_Mat'!$A$4:$J$1135,5,FALSE))</f>
        <v>11237</v>
      </c>
      <c r="I10" s="143">
        <f t="shared" si="2"/>
        <v>0</v>
      </c>
    </row>
    <row r="11" ht="14.25" customHeight="1">
      <c r="A11" s="3" t="s">
        <v>138</v>
      </c>
      <c r="B11" s="92" t="str">
        <f>IF($A11=0,"",VLOOKUP($A11,'00_Mat'!$A$4:$J$1135,2,FALSE))</f>
        <v>Hierros ADN 420 Φ 12</v>
      </c>
      <c r="C11" s="92" t="str">
        <f>IF($A11=0,"",VLOOKUP($A11,'00_Mat'!$A$4:$J$1135,3,FALSE))</f>
        <v>u</v>
      </c>
      <c r="D11" s="229">
        <v>320.0</v>
      </c>
      <c r="E11" s="204"/>
      <c r="F11" s="236">
        <v>0.2</v>
      </c>
      <c r="G11" s="221">
        <f t="shared" si="1"/>
        <v>384</v>
      </c>
      <c r="H11" s="143">
        <f>IF($A11=0,"",VLOOKUP($A11,'00_Mat'!$A$4:$J$1135,5,FALSE))</f>
        <v>20442.5</v>
      </c>
      <c r="I11" s="143">
        <f t="shared" si="2"/>
        <v>7849920</v>
      </c>
    </row>
    <row r="12" ht="14.25" customHeight="1">
      <c r="A12" s="3" t="s">
        <v>140</v>
      </c>
      <c r="B12" s="92" t="str">
        <f>IF($A12=0,"",VLOOKUP($A12,'00_Mat'!$A$4:$J$1135,2,FALSE))</f>
        <v>Hierros ADN 420 Φ 16</v>
      </c>
      <c r="C12" s="92" t="str">
        <f>IF($A12=0,"",VLOOKUP($A12,'00_Mat'!$A$4:$J$1135,3,FALSE))</f>
        <v>u</v>
      </c>
      <c r="D12" s="229"/>
      <c r="E12" s="204"/>
      <c r="F12" s="236">
        <v>0.2</v>
      </c>
      <c r="G12" s="221">
        <f t="shared" si="1"/>
        <v>0</v>
      </c>
      <c r="H12" s="143">
        <f>IF($A12=0,"",VLOOKUP($A12,'00_Mat'!$A$4:$J$1135,5,FALSE))</f>
        <v>36603.12</v>
      </c>
      <c r="I12" s="143">
        <f t="shared" si="2"/>
        <v>0</v>
      </c>
    </row>
    <row r="13" ht="14.25" customHeight="1">
      <c r="A13" s="20" t="s">
        <v>142</v>
      </c>
      <c r="B13" s="92" t="str">
        <f>IF($A13=0,"",VLOOKUP($A13,'00_Mat'!$A$4:$J$1135,2,FALSE))</f>
        <v>Hierros ADN 420 Φ 20</v>
      </c>
      <c r="C13" s="92" t="str">
        <f>IF($A13=0,"",VLOOKUP($A13,'00_Mat'!$A$4:$J$1135,3,FALSE))</f>
        <v>U</v>
      </c>
      <c r="D13" s="229"/>
      <c r="E13" s="204"/>
      <c r="F13" s="236">
        <v>0.15</v>
      </c>
      <c r="G13" s="221">
        <f t="shared" si="1"/>
        <v>0</v>
      </c>
      <c r="H13" s="143">
        <f>IF($A13=0,"",VLOOKUP($A13,'00_Mat'!$A$4:$J$1135,5,FALSE))</f>
        <v>55000</v>
      </c>
      <c r="I13" s="143">
        <f t="shared" si="2"/>
        <v>0</v>
      </c>
    </row>
    <row r="14" ht="14.25" customHeight="1">
      <c r="A14" s="3" t="s">
        <v>300</v>
      </c>
      <c r="B14" s="92" t="str">
        <f>IF($A14=0,"",VLOOKUP($A14,'00_Mat'!$A$4:$J$1135,2,FALSE))</f>
        <v>Fenolico 18mm Miraluz 125 GR con film</v>
      </c>
      <c r="C14" s="92" t="str">
        <f>IF($A14=0,"",VLOOKUP($A14,'00_Mat'!$A$4:$J$1135,3,FALSE))</f>
        <v>u</v>
      </c>
      <c r="D14" s="229"/>
      <c r="E14" s="204"/>
      <c r="F14" s="236">
        <v>0.25</v>
      </c>
      <c r="G14" s="221">
        <f t="shared" si="1"/>
        <v>0</v>
      </c>
      <c r="H14" s="143">
        <f>IF($A14=0,"",VLOOKUP($A14,'00_Mat'!$A$4:$J$1135,5,FALSE))</f>
        <v>55260</v>
      </c>
      <c r="I14" s="143">
        <f t="shared" si="2"/>
        <v>0</v>
      </c>
      <c r="J14" s="153" t="s">
        <v>1029</v>
      </c>
    </row>
    <row r="15" ht="14.25" customHeight="1">
      <c r="A15" s="3" t="s">
        <v>303</v>
      </c>
      <c r="B15" s="92"/>
      <c r="C15" s="92"/>
      <c r="D15" s="229"/>
      <c r="E15" s="204"/>
      <c r="F15" s="236">
        <v>0.2</v>
      </c>
      <c r="G15" s="221">
        <f t="shared" si="1"/>
        <v>0</v>
      </c>
      <c r="H15" s="143">
        <f>IF($A15=0,"",VLOOKUP($A15,'00_Mat'!$A$4:$J$1135,5,FALSE))</f>
        <v>45454</v>
      </c>
      <c r="I15" s="143">
        <f t="shared" si="2"/>
        <v>0</v>
      </c>
      <c r="J15" s="153" t="s">
        <v>1030</v>
      </c>
    </row>
    <row r="16" ht="14.25" customHeight="1">
      <c r="A16" s="3"/>
      <c r="B16" s="175"/>
      <c r="C16" s="92"/>
      <c r="D16" s="229"/>
      <c r="E16" s="204"/>
      <c r="F16" s="236">
        <v>0.0</v>
      </c>
      <c r="G16" s="221">
        <f t="shared" si="1"/>
        <v>0</v>
      </c>
      <c r="H16" s="231"/>
      <c r="I16" s="143">
        <f t="shared" si="2"/>
        <v>0</v>
      </c>
    </row>
    <row r="17" ht="14.25" customHeight="1">
      <c r="A17" s="3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04"/>
      <c r="E17" s="204"/>
      <c r="F17" s="206">
        <v>0.1</v>
      </c>
      <c r="G17" s="221">
        <f t="shared" si="1"/>
        <v>0</v>
      </c>
      <c r="H17" s="143" t="str">
        <f>IF($A17=0,"",VLOOKUP($A17,'00_Mat'!$A$4:$J$1135,5,FALSE))</f>
        <v/>
      </c>
      <c r="I17" s="143">
        <f t="shared" si="2"/>
        <v>0</v>
      </c>
    </row>
    <row r="18" ht="14.25" customHeight="1">
      <c r="A18" s="204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04"/>
      <c r="E18" s="204"/>
      <c r="F18" s="206">
        <v>0.1</v>
      </c>
      <c r="G18" s="221">
        <f t="shared" si="1"/>
        <v>0</v>
      </c>
      <c r="H18" s="143" t="str">
        <f>IF($A18=0,"",VLOOKUP($A18,'00_Mat'!$A$4:$J$1135,5,FALSE))</f>
        <v/>
      </c>
      <c r="I18" s="143">
        <f t="shared" si="2"/>
        <v>0</v>
      </c>
    </row>
    <row r="19" ht="14.25" customHeight="1">
      <c r="F19" s="208"/>
      <c r="G19" s="3"/>
      <c r="H19" s="143"/>
      <c r="I19" s="143"/>
    </row>
    <row r="20" ht="14.25" customHeight="1">
      <c r="A20" s="222" t="s">
        <v>996</v>
      </c>
      <c r="B20" s="223"/>
      <c r="C20" s="223"/>
      <c r="D20" s="223"/>
      <c r="E20" s="223"/>
      <c r="F20" s="223"/>
      <c r="G20" s="211"/>
      <c r="H20" s="223"/>
      <c r="I20" s="224">
        <f>SUM(I7:I18)</f>
        <v>18910620</v>
      </c>
      <c r="J20" s="92"/>
      <c r="K20" s="92"/>
      <c r="L20" s="92"/>
    </row>
    <row r="21" ht="14.25" customHeight="1">
      <c r="A21" s="232" t="str">
        <f>$I$3</f>
        <v>m³</v>
      </c>
      <c r="B21" s="233"/>
      <c r="C21" s="233"/>
      <c r="D21" s="233"/>
      <c r="E21" s="233"/>
      <c r="F21" s="233"/>
      <c r="G21" s="21"/>
      <c r="H21" s="233"/>
      <c r="I21" s="205">
        <f>$H$3</f>
        <v>42.75</v>
      </c>
      <c r="J21" s="92"/>
      <c r="K21" s="92"/>
      <c r="L21" s="92"/>
    </row>
    <row r="22" ht="14.25" customHeight="1">
      <c r="A22" s="234" t="s">
        <v>997</v>
      </c>
      <c r="B22" s="232" t="str">
        <f>A21</f>
        <v>m³</v>
      </c>
      <c r="C22" s="233"/>
      <c r="D22" s="233"/>
      <c r="E22" s="233"/>
      <c r="F22" s="233"/>
      <c r="G22" s="21"/>
      <c r="H22" s="233"/>
      <c r="I22" s="235">
        <f>I20/I21</f>
        <v>442353.6842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01" t="s">
        <v>998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02" t="s">
        <v>988</v>
      </c>
      <c r="B26" s="202" t="s">
        <v>989</v>
      </c>
      <c r="C26" s="202" t="s">
        <v>990</v>
      </c>
      <c r="D26" s="202" t="s">
        <v>991</v>
      </c>
      <c r="E26" s="202" t="s">
        <v>999</v>
      </c>
      <c r="F26" s="202" t="s">
        <v>992</v>
      </c>
      <c r="G26" s="4" t="s">
        <v>993</v>
      </c>
      <c r="H26" s="202" t="s">
        <v>994</v>
      </c>
      <c r="I26" s="202" t="s">
        <v>995</v>
      </c>
    </row>
    <row r="27" ht="14.25" customHeight="1">
      <c r="A27" s="61" t="s">
        <v>621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29">
        <v>1.0</v>
      </c>
      <c r="E27" s="229">
        <v>14.0</v>
      </c>
      <c r="F27" s="236">
        <v>0.25</v>
      </c>
      <c r="G27" s="217">
        <f t="shared" ref="G27:G32" si="3">ROUNDUP(((D27*E27)*(1+F27)),0)</f>
        <v>18</v>
      </c>
      <c r="H27" s="143">
        <f>IF($A27=0,"",VLOOKUP($A27,'00_MO'!$A$4:$D$7,4,FALSE))</f>
        <v>120000</v>
      </c>
      <c r="I27" s="143">
        <f t="shared" ref="I27:I32" si="4">G27*H27</f>
        <v>2160000</v>
      </c>
    </row>
    <row r="28" ht="14.25" customHeight="1">
      <c r="A28" s="61" t="s">
        <v>623</v>
      </c>
      <c r="B28" s="92" t="str">
        <f>IF($A28=0,"",VLOOKUP($A28,'00_MO'!$A$4:$D$7,2,FALSE))</f>
        <v>Puntero</v>
      </c>
      <c r="C28" s="92" t="str">
        <f>IF($A28=0,"",VLOOKUP($A28,'00_MO'!$A$4:$D$7,3,FALSE))</f>
        <v>u</v>
      </c>
      <c r="D28" s="229">
        <v>2.0</v>
      </c>
      <c r="E28" s="229">
        <v>14.0</v>
      </c>
      <c r="F28" s="236">
        <v>0.25</v>
      </c>
      <c r="G28" s="217">
        <f t="shared" si="3"/>
        <v>35</v>
      </c>
      <c r="H28" s="143">
        <f>IF($A28=0,"",VLOOKUP($A28,'00_MO'!$A$4:$D$7,4,FALSE))</f>
        <v>105000</v>
      </c>
      <c r="I28" s="143">
        <f t="shared" si="4"/>
        <v>3675000</v>
      </c>
    </row>
    <row r="29" ht="14.25" customHeight="1">
      <c r="A29" s="61" t="s">
        <v>625</v>
      </c>
      <c r="B29" s="92" t="str">
        <f>IF($A29=0,"",VLOOKUP($A29,'00_MO'!$A$4:$D$7,2,FALSE))</f>
        <v>Oficial</v>
      </c>
      <c r="C29" s="92" t="str">
        <f>IF($A29=0,"",VLOOKUP($A29,'00_MO'!$A$4:$D$7,3,FALSE))</f>
        <v>u</v>
      </c>
      <c r="D29" s="229">
        <v>3.0</v>
      </c>
      <c r="E29" s="229">
        <v>14.0</v>
      </c>
      <c r="F29" s="236">
        <v>0.25</v>
      </c>
      <c r="G29" s="217">
        <f t="shared" si="3"/>
        <v>53</v>
      </c>
      <c r="H29" s="143">
        <f>IF($A29=0,"",VLOOKUP($A29,'00_MO'!$A$4:$D$7,4,FALSE))</f>
        <v>90000</v>
      </c>
      <c r="I29" s="143">
        <f t="shared" si="4"/>
        <v>4770000</v>
      </c>
    </row>
    <row r="30" ht="14.25" customHeight="1">
      <c r="A30" s="61" t="s">
        <v>627</v>
      </c>
      <c r="B30" s="92" t="str">
        <f>IF($A30=0,"",VLOOKUP($A30,'00_MO'!$A$4:$D$7,2,FALSE))</f>
        <v>Ayudante</v>
      </c>
      <c r="C30" s="92" t="str">
        <f>IF($A30=0,"",VLOOKUP($A30,'00_MO'!$A$4:$D$7,3,FALSE))</f>
        <v>u</v>
      </c>
      <c r="D30" s="229">
        <v>3.0</v>
      </c>
      <c r="E30" s="229">
        <v>14.0</v>
      </c>
      <c r="F30" s="236">
        <v>0.25</v>
      </c>
      <c r="G30" s="217">
        <f t="shared" si="3"/>
        <v>53</v>
      </c>
      <c r="H30" s="143">
        <f>IF($A30=0,"",VLOOKUP($A30,'00_MO'!$A$4:$D$7,4,FALSE))</f>
        <v>60000</v>
      </c>
      <c r="I30" s="143">
        <f t="shared" si="4"/>
        <v>3180000</v>
      </c>
    </row>
    <row r="31" ht="14.25" customHeight="1">
      <c r="A31" s="204"/>
      <c r="B31" s="175" t="s">
        <v>1035</v>
      </c>
      <c r="C31" s="92" t="str">
        <f>IF($A31=0,"",VLOOKUP($A31,'00_Mat'!$A$4:$J$1135,3,FALSE))</f>
        <v/>
      </c>
      <c r="D31" s="229">
        <v>2.0</v>
      </c>
      <c r="E31" s="229">
        <v>1.0</v>
      </c>
      <c r="F31" s="206"/>
      <c r="G31" s="217">
        <f t="shared" si="3"/>
        <v>2</v>
      </c>
      <c r="H31" s="231">
        <v>1000000.0</v>
      </c>
      <c r="I31" s="143">
        <f t="shared" si="4"/>
        <v>2000000</v>
      </c>
      <c r="K31" s="153" t="s">
        <v>1036</v>
      </c>
    </row>
    <row r="32" ht="14.25" customHeight="1">
      <c r="A32" s="204"/>
      <c r="B32" s="92" t="str">
        <f>IF($A32=0,"",VLOOKUP($A32,'00_MO'!$A$4:$D$7,2,FALSE))</f>
        <v/>
      </c>
      <c r="C32" s="92" t="str">
        <f>IF($A32=0,"",VLOOKUP($A32,'00_MO'!$A$4:$D$7,3,FALSE))</f>
        <v/>
      </c>
      <c r="D32" s="204"/>
      <c r="E32" s="204"/>
      <c r="F32" s="206"/>
      <c r="G32" s="217">
        <f t="shared" si="3"/>
        <v>0</v>
      </c>
      <c r="H32" s="143" t="str">
        <f>IF($A32=0,"",VLOOKUP($A32,'00_MO'!$A$4:$D$7,4,FALSE))</f>
        <v/>
      </c>
      <c r="I32" s="143">
        <f t="shared" si="4"/>
        <v>0</v>
      </c>
    </row>
    <row r="33" ht="14.25" customHeight="1">
      <c r="F33" s="208"/>
      <c r="G33" s="3"/>
      <c r="H33" s="143"/>
      <c r="I33" s="143"/>
    </row>
    <row r="34" ht="14.25" customHeight="1">
      <c r="A34" s="222" t="s">
        <v>987</v>
      </c>
      <c r="B34" s="223"/>
      <c r="C34" s="223"/>
      <c r="D34" s="223"/>
      <c r="E34" s="223"/>
      <c r="F34" s="223"/>
      <c r="G34" s="211"/>
      <c r="H34" s="223"/>
      <c r="I34" s="224">
        <f>SUM(I27:I32)</f>
        <v>15785000</v>
      </c>
    </row>
    <row r="35" ht="14.25" customHeight="1">
      <c r="A35" s="232" t="str">
        <f>$I$3</f>
        <v>m³</v>
      </c>
      <c r="B35" s="233"/>
      <c r="C35" s="233"/>
      <c r="D35" s="233"/>
      <c r="E35" s="233"/>
      <c r="F35" s="233"/>
      <c r="G35" s="21"/>
      <c r="H35" s="233"/>
      <c r="I35" s="205">
        <f>$H$3</f>
        <v>42.75</v>
      </c>
      <c r="J35" s="92"/>
      <c r="K35" s="92"/>
      <c r="L35" s="92"/>
    </row>
    <row r="36" ht="14.25" customHeight="1">
      <c r="A36" s="234" t="s">
        <v>997</v>
      </c>
      <c r="B36" s="232" t="str">
        <f>A35</f>
        <v>m³</v>
      </c>
      <c r="C36" s="233"/>
      <c r="D36" s="233"/>
      <c r="E36" s="233"/>
      <c r="F36" s="233"/>
      <c r="G36" s="21"/>
      <c r="H36" s="233"/>
      <c r="I36" s="235">
        <f>I34/I35</f>
        <v>369239.7661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01" t="s">
        <v>1000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02" t="s">
        <v>988</v>
      </c>
      <c r="B40" s="202" t="s">
        <v>989</v>
      </c>
      <c r="C40" s="202" t="s">
        <v>990</v>
      </c>
      <c r="D40" s="202" t="s">
        <v>991</v>
      </c>
      <c r="E40" s="202" t="s">
        <v>999</v>
      </c>
      <c r="F40" s="202" t="s">
        <v>992</v>
      </c>
      <c r="G40" s="4" t="s">
        <v>993</v>
      </c>
      <c r="H40" s="202" t="s">
        <v>994</v>
      </c>
      <c r="I40" s="202" t="s">
        <v>995</v>
      </c>
    </row>
    <row r="41" ht="14.25" customHeight="1">
      <c r="A41" s="204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04"/>
      <c r="E41" s="204"/>
      <c r="F41" s="206"/>
      <c r="G41" s="217">
        <f t="shared" ref="G41:G46" si="5">ROUNDUP(((D41*E41)*(1+F41)),0)</f>
        <v>0</v>
      </c>
      <c r="H41" s="143" t="str">
        <f>IF($A41=0,"",VLOOKUP($A41,'00_Eq'!$A$4:$D$100,4,FALSE))</f>
        <v/>
      </c>
      <c r="I41" s="143">
        <f t="shared" ref="I41:I44" si="6">G41*H41</f>
        <v>0</v>
      </c>
    </row>
    <row r="42" ht="14.25" customHeight="1">
      <c r="A42" s="204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04"/>
      <c r="E42" s="204"/>
      <c r="F42" s="206"/>
      <c r="G42" s="217">
        <f t="shared" si="5"/>
        <v>0</v>
      </c>
      <c r="H42" s="143" t="str">
        <f>IF($A42=0,"",VLOOKUP($A42,'00_Eq'!$A$4:$D$100,4,FALSE))</f>
        <v/>
      </c>
      <c r="I42" s="143">
        <f t="shared" si="6"/>
        <v>0</v>
      </c>
    </row>
    <row r="43" ht="14.25" customHeight="1">
      <c r="A43" s="204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04"/>
      <c r="E43" s="204"/>
      <c r="F43" s="206"/>
      <c r="G43" s="217">
        <f t="shared" si="5"/>
        <v>0</v>
      </c>
      <c r="H43" s="143" t="str">
        <f>IF($A43=0,"",VLOOKUP($A43,'00_Eq'!$A$4:$D$100,4,FALSE))</f>
        <v/>
      </c>
      <c r="I43" s="143">
        <f t="shared" si="6"/>
        <v>0</v>
      </c>
    </row>
    <row r="44" ht="14.25" customHeight="1">
      <c r="A44" s="204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04"/>
      <c r="E44" s="204"/>
      <c r="F44" s="206"/>
      <c r="G44" s="217">
        <f t="shared" si="5"/>
        <v>0</v>
      </c>
      <c r="H44" s="143" t="str">
        <f>IF($A44=0,"",VLOOKUP($A44,'00_Eq'!$A$4:$D$100,4,FALSE))</f>
        <v/>
      </c>
      <c r="I44" s="143">
        <f t="shared" si="6"/>
        <v>0</v>
      </c>
    </row>
    <row r="45" ht="14.25" customHeight="1">
      <c r="A45" s="204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04"/>
      <c r="E45" s="204"/>
      <c r="F45" s="206"/>
      <c r="G45" s="217">
        <f t="shared" si="5"/>
        <v>0</v>
      </c>
      <c r="H45" s="143" t="str">
        <f>IF($A45=0,"",VLOOKUP($A45,'00_Eq'!$A$4:$D$100,4,FALSE))</f>
        <v/>
      </c>
      <c r="I45" s="143"/>
    </row>
    <row r="46" ht="14.25" customHeight="1">
      <c r="A46" s="204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04"/>
      <c r="E46" s="204"/>
      <c r="F46" s="206"/>
      <c r="G46" s="217">
        <f t="shared" si="5"/>
        <v>0</v>
      </c>
      <c r="H46" s="143" t="str">
        <f>IF($A46=0,"",VLOOKUP($A46,'00_Eq'!$A$4:$D$100,4,FALSE))</f>
        <v/>
      </c>
      <c r="I46" s="143"/>
    </row>
    <row r="47" ht="14.25" customHeight="1">
      <c r="F47" s="208"/>
      <c r="G47" s="3"/>
      <c r="H47" s="143"/>
      <c r="I47" s="143"/>
    </row>
    <row r="48" ht="14.25" customHeight="1">
      <c r="A48" s="222" t="s">
        <v>987</v>
      </c>
      <c r="B48" s="223"/>
      <c r="C48" s="223"/>
      <c r="D48" s="223"/>
      <c r="E48" s="223"/>
      <c r="F48" s="223"/>
      <c r="G48" s="211"/>
      <c r="H48" s="223"/>
      <c r="I48" s="224">
        <f>SUM(I41:I46)</f>
        <v>0</v>
      </c>
    </row>
    <row r="49" ht="14.25" customHeight="1">
      <c r="A49" s="232" t="str">
        <f>$I$3</f>
        <v>m³</v>
      </c>
      <c r="B49" s="233"/>
      <c r="C49" s="233"/>
      <c r="D49" s="233"/>
      <c r="E49" s="233"/>
      <c r="F49" s="233"/>
      <c r="G49" s="21"/>
      <c r="H49" s="233"/>
      <c r="I49" s="205">
        <f>$H$3</f>
        <v>42.75</v>
      </c>
      <c r="J49" s="92"/>
      <c r="K49" s="92"/>
      <c r="L49" s="92"/>
    </row>
    <row r="50" ht="14.25" customHeight="1">
      <c r="A50" s="234" t="s">
        <v>997</v>
      </c>
      <c r="B50" s="232" t="str">
        <f>A49</f>
        <v>m³</v>
      </c>
      <c r="C50" s="233"/>
      <c r="D50" s="233"/>
      <c r="E50" s="233"/>
      <c r="F50" s="233"/>
      <c r="G50" s="21"/>
      <c r="H50" s="233"/>
      <c r="I50" s="235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01" t="s">
        <v>1010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02" t="s">
        <v>988</v>
      </c>
      <c r="B54" s="202" t="s">
        <v>989</v>
      </c>
      <c r="C54" s="202" t="s">
        <v>990</v>
      </c>
      <c r="D54" s="202" t="s">
        <v>991</v>
      </c>
      <c r="E54" s="202"/>
      <c r="F54" s="202" t="s">
        <v>992</v>
      </c>
      <c r="G54" s="4" t="s">
        <v>993</v>
      </c>
      <c r="H54" s="202" t="s">
        <v>994</v>
      </c>
      <c r="I54" s="202" t="s">
        <v>995</v>
      </c>
    </row>
    <row r="55" ht="14.25" customHeight="1">
      <c r="A55" s="3"/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30"/>
      <c r="E55" s="204"/>
      <c r="F55" s="236">
        <v>0.1</v>
      </c>
      <c r="G55" s="221">
        <f t="shared" ref="G55:G60" si="7">ROUNDUP((D55+(D55*F55)),0)</f>
        <v>0</v>
      </c>
      <c r="H55" s="143" t="str">
        <f>IF($A55=0,"",VLOOKUP($A55,'00_Mat'!$A$4:$J$1135,5,FALSE))</f>
        <v/>
      </c>
      <c r="I55" s="143">
        <f t="shared" ref="I55:I60" si="8">G55*H55</f>
        <v>0</v>
      </c>
      <c r="J55" s="237"/>
    </row>
    <row r="56" ht="14.25" customHeight="1">
      <c r="A56" s="3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0"/>
      <c r="E56" s="204"/>
      <c r="F56" s="236">
        <v>0.1</v>
      </c>
      <c r="G56" s="221">
        <f t="shared" si="7"/>
        <v>0</v>
      </c>
      <c r="H56" s="143" t="str">
        <f>IF($A56=0,"",VLOOKUP($A56,'00_Mat'!$A$4:$J$1135,5,FALSE))</f>
        <v/>
      </c>
      <c r="I56" s="143">
        <f t="shared" si="8"/>
        <v>0</v>
      </c>
      <c r="J56" s="237"/>
    </row>
    <row r="57" ht="14.25" customHeight="1">
      <c r="A57" s="3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0">
        <v>20.0</v>
      </c>
      <c r="E57" s="204"/>
      <c r="F57" s="236">
        <v>0.1</v>
      </c>
      <c r="G57" s="221">
        <f t="shared" si="7"/>
        <v>22</v>
      </c>
      <c r="H57" s="143" t="str">
        <f>IF($A57=0,"",VLOOKUP($A57,'00_Mat'!$A$4:$J$1135,5,FALSE))</f>
        <v/>
      </c>
      <c r="I57" s="143">
        <f t="shared" si="8"/>
        <v>0</v>
      </c>
      <c r="J57" s="153" t="s">
        <v>1013</v>
      </c>
    </row>
    <row r="58" ht="14.25" customHeight="1">
      <c r="A58" s="20" t="s">
        <v>81</v>
      </c>
      <c r="B58" s="92" t="str">
        <f>IF($A58=0,"",VLOOKUP($A58,'00_Mat'!$A$4:$J$1135,2,FALSE))</f>
        <v>Alambre Fardo (50 k)</v>
      </c>
      <c r="C58" s="92" t="str">
        <f>IF($A58=0,"",VLOOKUP($A58,'00_Mat'!$A$4:$J$1135,3,FALSE))</f>
        <v>k</v>
      </c>
      <c r="D58" s="230">
        <v>1.0</v>
      </c>
      <c r="E58" s="204"/>
      <c r="F58" s="236">
        <v>0.0</v>
      </c>
      <c r="G58" s="221">
        <f t="shared" si="7"/>
        <v>1</v>
      </c>
      <c r="H58" s="143">
        <f>IF($A58=0,"",VLOOKUP($A58,'00_Mat'!$A$4:$J$1135,5,FALSE))</f>
        <v>220000</v>
      </c>
      <c r="I58" s="143">
        <f t="shared" si="8"/>
        <v>220000</v>
      </c>
      <c r="J58" s="153" t="s">
        <v>1033</v>
      </c>
    </row>
    <row r="59" ht="14.25" customHeight="1">
      <c r="C59" s="92" t="str">
        <f>IF($A58=0,"",VLOOKUP($A58,'00_Mat'!$A$4:$J$1135,3,FALSE))</f>
        <v>k</v>
      </c>
      <c r="D59" s="230"/>
      <c r="E59" s="204"/>
      <c r="F59" s="236">
        <v>0.1</v>
      </c>
      <c r="G59" s="221">
        <f t="shared" si="7"/>
        <v>0</v>
      </c>
      <c r="H59" s="143" t="str">
        <f>IF($A59=0,"",VLOOKUP($A59,'00_Mat'!$A$4:$J$1135,5,FALSE))</f>
        <v/>
      </c>
      <c r="I59" s="143">
        <f t="shared" si="8"/>
        <v>0</v>
      </c>
    </row>
    <row r="60" ht="14.25" customHeight="1">
      <c r="A60" s="204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05"/>
      <c r="E60" s="204"/>
      <c r="F60" s="206"/>
      <c r="G60" s="221">
        <f t="shared" si="7"/>
        <v>0</v>
      </c>
      <c r="H60" s="143" t="str">
        <f>IF($A60=0,"",VLOOKUP($A60,'00_Mat'!$A$4:$J$1135,5,FALSE))</f>
        <v/>
      </c>
      <c r="I60" s="143">
        <f t="shared" si="8"/>
        <v>0</v>
      </c>
    </row>
    <row r="61" ht="14.25" customHeight="1">
      <c r="F61" s="208"/>
      <c r="G61" s="3"/>
      <c r="H61" s="143"/>
      <c r="I61" s="143"/>
    </row>
    <row r="62" ht="14.25" customHeight="1">
      <c r="A62" s="222" t="s">
        <v>987</v>
      </c>
      <c r="B62" s="223"/>
      <c r="C62" s="223"/>
      <c r="D62" s="223"/>
      <c r="E62" s="223"/>
      <c r="F62" s="223"/>
      <c r="G62" s="211"/>
      <c r="H62" s="223"/>
      <c r="I62" s="224">
        <f>SUM(I55:I60)</f>
        <v>220000</v>
      </c>
    </row>
    <row r="63" ht="14.25" customHeight="1">
      <c r="A63" s="232" t="str">
        <f>$I$3</f>
        <v>m³</v>
      </c>
      <c r="B63" s="233"/>
      <c r="C63" s="233"/>
      <c r="D63" s="233"/>
      <c r="E63" s="233"/>
      <c r="F63" s="233"/>
      <c r="G63" s="21"/>
      <c r="H63" s="233"/>
      <c r="I63" s="205">
        <f>$H$3</f>
        <v>42.75</v>
      </c>
      <c r="J63" s="92"/>
      <c r="K63" s="92"/>
      <c r="L63" s="92"/>
    </row>
    <row r="64" ht="14.25" customHeight="1">
      <c r="A64" s="234" t="s">
        <v>997</v>
      </c>
      <c r="B64" s="232" t="str">
        <f>A63</f>
        <v>m³</v>
      </c>
      <c r="C64" s="233"/>
      <c r="D64" s="233"/>
      <c r="E64" s="233"/>
      <c r="F64" s="233"/>
      <c r="G64" s="21"/>
      <c r="H64" s="233"/>
      <c r="I64" s="235">
        <f>I62/I63</f>
        <v>5146.19883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01" t="s">
        <v>1025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02" t="s">
        <v>988</v>
      </c>
      <c r="B68" s="202" t="s">
        <v>989</v>
      </c>
      <c r="C68" s="202" t="s">
        <v>990</v>
      </c>
      <c r="D68" s="202" t="s">
        <v>991</v>
      </c>
      <c r="E68" s="202" t="s">
        <v>999</v>
      </c>
      <c r="F68" s="202" t="s">
        <v>992</v>
      </c>
      <c r="G68" s="4" t="s">
        <v>993</v>
      </c>
      <c r="H68" s="202" t="s">
        <v>994</v>
      </c>
      <c r="I68" s="202" t="s">
        <v>995</v>
      </c>
    </row>
    <row r="69" ht="14.25" customHeight="1">
      <c r="A69" s="204"/>
      <c r="B69" s="92" t="str">
        <f>IF($A69=0,"",VLOOKUP($A69,'00_Sub'!$A$4:$D$1007,2,FALSE))</f>
        <v/>
      </c>
      <c r="C69" s="92" t="str">
        <f>IF($A69=0,"",VLOOKUP($A69,'00_Sub'!$A$4:$D$1007,3,FALSE))</f>
        <v/>
      </c>
      <c r="D69" s="204"/>
      <c r="E69" s="204"/>
      <c r="F69" s="206"/>
      <c r="G69" s="221">
        <f t="shared" ref="G69:G74" si="9">ROUNDUP((D69+(D69*F69)),0)</f>
        <v>0</v>
      </c>
      <c r="H69" s="143" t="str">
        <f>IF($A69=0,"",VLOOKUP($A69,'00_Sub'!$A$4:$D$1007,4,FALSE))</f>
        <v/>
      </c>
      <c r="I69" s="143"/>
    </row>
    <row r="70" ht="14.25" customHeight="1">
      <c r="A70" s="204"/>
      <c r="B70" s="92" t="str">
        <f>IF($A70=0,"",VLOOKUP($A70,'00_Sub'!$A$4:$D$1007,2,FALSE))</f>
        <v/>
      </c>
      <c r="C70" s="92" t="str">
        <f>IF($A70=0,"",VLOOKUP($A70,'00_Sub'!$A$4:$D$1007,3,FALSE))</f>
        <v/>
      </c>
      <c r="D70" s="204"/>
      <c r="E70" s="204"/>
      <c r="F70" s="206"/>
      <c r="G70" s="221">
        <f t="shared" si="9"/>
        <v>0</v>
      </c>
      <c r="H70" s="143" t="str">
        <f>IF($A70=0,"",VLOOKUP($A70,'00_Sub'!$A$4:$D$1007,4,FALSE))</f>
        <v/>
      </c>
      <c r="I70" s="143"/>
    </row>
    <row r="71" ht="14.25" customHeight="1">
      <c r="A71" s="204"/>
      <c r="B71" s="92" t="str">
        <f>IF($A71=0,"",VLOOKUP($A71,'00_Sub'!$A$4:$D$1007,2,FALSE))</f>
        <v/>
      </c>
      <c r="C71" s="92" t="str">
        <f>IF($A71=0,"",VLOOKUP($A71,'00_Sub'!$A$4:$D$1007,3,FALSE))</f>
        <v/>
      </c>
      <c r="D71" s="204"/>
      <c r="E71" s="204"/>
      <c r="F71" s="206"/>
      <c r="G71" s="221">
        <f t="shared" si="9"/>
        <v>0</v>
      </c>
      <c r="H71" s="143" t="str">
        <f>IF($A71=0,"",VLOOKUP($A71,'00_Sub'!$A$4:$D$1007,4,FALSE))</f>
        <v/>
      </c>
      <c r="I71" s="143"/>
    </row>
    <row r="72" ht="14.25" customHeight="1">
      <c r="A72" s="204"/>
      <c r="B72" s="92" t="str">
        <f>IF($A72=0,"",VLOOKUP($A72,'00_Sub'!$A$4:$D$1007,2,FALSE))</f>
        <v/>
      </c>
      <c r="C72" s="92" t="str">
        <f>IF($A72=0,"",VLOOKUP($A72,'00_Sub'!$A$4:$D$1007,3,FALSE))</f>
        <v/>
      </c>
      <c r="D72" s="204"/>
      <c r="E72" s="204"/>
      <c r="F72" s="206"/>
      <c r="G72" s="221">
        <f t="shared" si="9"/>
        <v>0</v>
      </c>
      <c r="H72" s="143" t="str">
        <f>IF($A72=0,"",VLOOKUP($A72,'00_Sub'!$A$4:$D$1007,4,FALSE))</f>
        <v/>
      </c>
      <c r="I72" s="143"/>
    </row>
    <row r="73" ht="14.25" customHeight="1">
      <c r="A73" s="204"/>
      <c r="B73" s="92" t="str">
        <f>IF($A73=0,"",VLOOKUP($A73,'00_Sub'!$A$4:$D$1007,2,FALSE))</f>
        <v/>
      </c>
      <c r="C73" s="92" t="str">
        <f>IF($A73=0,"",VLOOKUP($A73,'00_Sub'!$A$4:$D$1007,3,FALSE))</f>
        <v/>
      </c>
      <c r="D73" s="204"/>
      <c r="E73" s="204"/>
      <c r="F73" s="206"/>
      <c r="G73" s="221">
        <f t="shared" si="9"/>
        <v>0</v>
      </c>
      <c r="H73" s="143" t="str">
        <f>IF($A73=0,"",VLOOKUP($A73,'00_Sub'!$A$4:$D$1007,4,FALSE))</f>
        <v/>
      </c>
      <c r="I73" s="143"/>
    </row>
    <row r="74" ht="14.25" customHeight="1">
      <c r="A74" s="204"/>
      <c r="B74" s="92" t="str">
        <f>IF($A74=0,"",VLOOKUP($A74,'00_Sub'!$A$4:$D$1007,2,FALSE))</f>
        <v/>
      </c>
      <c r="C74" s="92" t="str">
        <f>IF($A74=0,"",VLOOKUP($A74,'00_Sub'!$A$4:$D$1007,3,FALSE))</f>
        <v/>
      </c>
      <c r="D74" s="204"/>
      <c r="E74" s="204"/>
      <c r="F74" s="206"/>
      <c r="G74" s="221">
        <f t="shared" si="9"/>
        <v>0</v>
      </c>
      <c r="H74" s="143" t="str">
        <f>IF($A74=0,"",VLOOKUP($A74,'00_Sub'!$A$4:$D$1007,4,FALSE))</f>
        <v/>
      </c>
      <c r="I74" s="143"/>
    </row>
    <row r="75" ht="14.25" customHeight="1">
      <c r="F75" s="208"/>
      <c r="G75" s="3"/>
      <c r="H75" s="143"/>
      <c r="I75" s="143"/>
    </row>
    <row r="76" ht="14.25" customHeight="1">
      <c r="A76" s="222" t="s">
        <v>987</v>
      </c>
      <c r="B76" s="223"/>
      <c r="C76" s="223"/>
      <c r="D76" s="223"/>
      <c r="E76" s="223"/>
      <c r="F76" s="223"/>
      <c r="G76" s="211"/>
      <c r="H76" s="223"/>
      <c r="I76" s="224">
        <f>SUM(I69:I74)</f>
        <v>0</v>
      </c>
    </row>
    <row r="77" ht="14.25" customHeight="1">
      <c r="A77" s="232" t="str">
        <f>$I$3</f>
        <v>m³</v>
      </c>
      <c r="B77" s="233"/>
      <c r="C77" s="233"/>
      <c r="D77" s="233"/>
      <c r="E77" s="233"/>
      <c r="F77" s="233"/>
      <c r="G77" s="21"/>
      <c r="H77" s="233"/>
      <c r="I77" s="205">
        <f>$H$3</f>
        <v>42.75</v>
      </c>
      <c r="J77" s="92"/>
      <c r="K77" s="92"/>
      <c r="L77" s="92"/>
    </row>
    <row r="78" ht="14.25" customHeight="1">
      <c r="A78" s="234" t="s">
        <v>997</v>
      </c>
      <c r="B78" s="232" t="str">
        <f>A77</f>
        <v>m³</v>
      </c>
      <c r="C78" s="233"/>
      <c r="D78" s="233"/>
      <c r="E78" s="233"/>
      <c r="F78" s="233"/>
      <c r="G78" s="21"/>
      <c r="H78" s="233"/>
      <c r="I78" s="235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18"/>
      <c r="B82" s="219"/>
      <c r="C82" s="219"/>
      <c r="D82" s="219"/>
      <c r="E82" s="219"/>
      <c r="F82" s="219"/>
      <c r="G82" s="3"/>
      <c r="H82" s="219"/>
      <c r="I82" s="219"/>
    </row>
    <row r="83" ht="14.25" customHeight="1">
      <c r="A83" s="218"/>
      <c r="B83" s="219"/>
      <c r="C83" s="219"/>
      <c r="D83" s="219"/>
      <c r="E83" s="219"/>
      <c r="F83" s="219"/>
      <c r="G83" s="3"/>
      <c r="H83" s="219"/>
      <c r="I83" s="219"/>
    </row>
    <row r="84" ht="14.25" customHeight="1">
      <c r="G84" s="3"/>
      <c r="H84" s="208"/>
      <c r="I84" s="143"/>
    </row>
    <row r="85" ht="14.25" customHeight="1">
      <c r="G85" s="3"/>
      <c r="H85" s="208"/>
      <c r="I85" s="143"/>
    </row>
    <row r="86" ht="14.25" customHeight="1">
      <c r="A86" s="218"/>
      <c r="B86" s="219"/>
      <c r="C86" s="219"/>
      <c r="D86" s="219"/>
      <c r="E86" s="219"/>
      <c r="F86" s="219"/>
      <c r="G86" s="3"/>
      <c r="H86" s="219"/>
      <c r="I86" s="225"/>
    </row>
    <row r="87" ht="14.25" customHeight="1">
      <c r="G87" s="3"/>
      <c r="H87" s="208"/>
      <c r="I87" s="143"/>
    </row>
    <row r="88" ht="14.25" customHeight="1">
      <c r="G88" s="3"/>
      <c r="H88" s="208"/>
      <c r="I88" s="143"/>
    </row>
    <row r="89" ht="14.25" customHeight="1">
      <c r="G89" s="3"/>
      <c r="H89" s="208"/>
      <c r="I89" s="143"/>
    </row>
    <row r="90" ht="14.25" customHeight="1">
      <c r="A90" s="218"/>
      <c r="B90" s="219"/>
      <c r="C90" s="219"/>
      <c r="D90" s="219"/>
      <c r="E90" s="219"/>
      <c r="F90" s="219"/>
      <c r="G90" s="3"/>
      <c r="H90" s="219"/>
      <c r="I90" s="225"/>
    </row>
    <row r="91" ht="14.25" customHeight="1">
      <c r="G91" s="3"/>
      <c r="H91" s="208"/>
      <c r="I91" s="143"/>
    </row>
    <row r="92" ht="14.25" customHeight="1">
      <c r="G92" s="3"/>
      <c r="H92" s="208"/>
      <c r="I92" s="143"/>
    </row>
    <row r="93" ht="14.25" customHeight="1">
      <c r="A93" s="218"/>
      <c r="B93" s="219"/>
      <c r="C93" s="219"/>
      <c r="D93" s="219"/>
      <c r="E93" s="219"/>
      <c r="F93" s="219"/>
      <c r="G93" s="3"/>
      <c r="H93" s="219"/>
      <c r="I93" s="225"/>
    </row>
    <row r="94" ht="14.25" customHeight="1">
      <c r="G94" s="3"/>
      <c r="H94" s="208"/>
      <c r="I94" s="143"/>
    </row>
    <row r="95" ht="14.25" customHeight="1">
      <c r="G95" s="3"/>
      <c r="H95" s="208"/>
      <c r="I95" s="143"/>
    </row>
    <row r="96" ht="14.25" customHeight="1">
      <c r="A96" s="218"/>
      <c r="B96" s="219"/>
      <c r="C96" s="219"/>
      <c r="D96" s="219"/>
      <c r="E96" s="219"/>
      <c r="F96" s="219"/>
      <c r="G96" s="3"/>
      <c r="H96" s="219"/>
      <c r="I96" s="225"/>
    </row>
    <row r="97" ht="14.25" customHeight="1">
      <c r="A97" s="218"/>
      <c r="B97" s="219"/>
      <c r="C97" s="219"/>
      <c r="D97" s="219"/>
      <c r="E97" s="219"/>
      <c r="F97" s="219"/>
      <c r="G97" s="3"/>
      <c r="H97" s="247"/>
      <c r="I97" s="225"/>
    </row>
    <row r="98" ht="14.25" customHeight="1">
      <c r="A98" s="218"/>
      <c r="B98" s="219"/>
      <c r="C98" s="219"/>
      <c r="D98" s="219"/>
      <c r="E98" s="219"/>
      <c r="F98" s="219"/>
      <c r="G98" s="3"/>
      <c r="H98" s="219"/>
      <c r="I98" s="22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1" width="8.71"/>
    <col customWidth="1" min="12" max="12" width="10.14"/>
    <col customWidth="1" min="13" max="13" width="30.29"/>
  </cols>
  <sheetData>
    <row r="1" ht="33.75" customHeight="1">
      <c r="A1" s="91" t="str">
        <f>'01_C&amp;P'!A1</f>
        <v>EDIFICIO LAS HERAS</v>
      </c>
      <c r="B1" s="91"/>
      <c r="C1" s="91"/>
      <c r="G1" s="3"/>
    </row>
    <row r="2" ht="14.25" customHeight="1">
      <c r="G2" s="3"/>
    </row>
    <row r="3" ht="23.25" customHeight="1">
      <c r="A3" s="195">
        <f>'01_C&amp;P'!A27</f>
        <v>36892</v>
      </c>
      <c r="B3" s="196" t="str">
        <f>IF($A3=0,"",VLOOKUP($A3,'01_C&amp;P'!$A$9:$D$192,2,FALSE))</f>
        <v>COLUMNAS Y TABIQUES</v>
      </c>
      <c r="C3" s="197"/>
      <c r="D3" s="197"/>
      <c r="E3" s="197"/>
      <c r="F3" s="197"/>
      <c r="G3" s="198"/>
      <c r="H3" s="199">
        <f>IF($A3=0,"",VLOOKUP($A3,'01_C&amp;P'!$A$9:$D$192,4,FALSE))</f>
        <v>23</v>
      </c>
      <c r="I3" s="200" t="str">
        <f>IF($A3=0,"",VLOOKUP($A3,'01_C&amp;P'!$A$9:$D$192,3,FALSE))</f>
        <v>m³</v>
      </c>
      <c r="M3" s="246" t="s">
        <v>1027</v>
      </c>
    </row>
    <row r="4" ht="14.25" customHeight="1">
      <c r="G4" s="3"/>
    </row>
    <row r="5" ht="14.25" customHeight="1">
      <c r="A5" s="201" t="s">
        <v>0</v>
      </c>
      <c r="B5" s="94"/>
      <c r="C5" s="94"/>
      <c r="D5" s="94"/>
      <c r="E5" s="94"/>
      <c r="F5" s="94"/>
      <c r="G5" s="2"/>
      <c r="H5" s="94"/>
      <c r="I5" s="94"/>
    </row>
    <row r="6" ht="14.25" customHeight="1">
      <c r="A6" s="202" t="s">
        <v>988</v>
      </c>
      <c r="B6" s="202" t="s">
        <v>989</v>
      </c>
      <c r="C6" s="202" t="s">
        <v>990</v>
      </c>
      <c r="D6" s="203" t="s">
        <v>991</v>
      </c>
      <c r="E6" s="197"/>
      <c r="F6" s="202" t="s">
        <v>992</v>
      </c>
      <c r="G6" s="4" t="s">
        <v>993</v>
      </c>
      <c r="H6" s="202" t="s">
        <v>994</v>
      </c>
      <c r="I6" s="202" t="s">
        <v>995</v>
      </c>
    </row>
    <row r="7" ht="14.25" customHeight="1">
      <c r="A7" s="229" t="s">
        <v>560</v>
      </c>
      <c r="B7" s="92" t="str">
        <f>IF($A7=0,"",VLOOKUP($A7,'00_Mat'!$A$4:$J$1135,2,FALSE))</f>
        <v>Hormigon H30</v>
      </c>
      <c r="C7" s="92" t="str">
        <f>IF($A7=0,"",VLOOKUP($A7,'00_Mat'!$A$4:$J$1135,3,FALSE))</f>
        <v>m3</v>
      </c>
      <c r="D7" s="230">
        <f>H3</f>
        <v>23</v>
      </c>
      <c r="E7" s="204"/>
      <c r="F7" s="206">
        <v>0.1</v>
      </c>
      <c r="G7" s="221">
        <f t="shared" ref="G7:G18" si="1">ROUNDUP((D7+(D7*F7)),0)</f>
        <v>26</v>
      </c>
      <c r="H7" s="143">
        <f>IF($A7=0,"",VLOOKUP($A7,'00_Mat'!$A$4:$J$1135,5,FALSE))</f>
        <v>158000</v>
      </c>
      <c r="I7" s="143">
        <f t="shared" ref="I7:I18" si="2">G7*H7</f>
        <v>4108000</v>
      </c>
      <c r="J7" s="231" t="s">
        <v>548</v>
      </c>
    </row>
    <row r="8" ht="14.25" customHeight="1">
      <c r="A8" s="3" t="s">
        <v>132</v>
      </c>
      <c r="B8" s="92" t="str">
        <f>IF($A8=0,"",VLOOKUP($A8,'00_Mat'!$A$4:$J$1135,2,FALSE))</f>
        <v>Hierros ADN 420 Φ 6 </v>
      </c>
      <c r="C8" s="92" t="str">
        <f>IF($A8=0,"",VLOOKUP($A8,'00_Mat'!$A$4:$J$1135,3,FALSE))</f>
        <v>u</v>
      </c>
      <c r="D8" s="230">
        <v>206.0</v>
      </c>
      <c r="E8" s="204"/>
      <c r="F8" s="206">
        <v>0.1</v>
      </c>
      <c r="G8" s="221">
        <f t="shared" si="1"/>
        <v>227</v>
      </c>
      <c r="H8" s="143">
        <f>IF($A8=0,"",VLOOKUP($A8,'00_Mat'!$A$4:$J$1135,5,FALSE))</f>
        <v>5250</v>
      </c>
      <c r="I8" s="143">
        <f t="shared" si="2"/>
        <v>1191750</v>
      </c>
      <c r="J8" s="153" t="s">
        <v>1028</v>
      </c>
    </row>
    <row r="9" ht="14.25" customHeight="1">
      <c r="A9" s="3" t="s">
        <v>134</v>
      </c>
      <c r="B9" s="92" t="str">
        <f>IF($A9=0,"",VLOOKUP($A9,'00_Mat'!$A$4:$J$1135,2,FALSE))</f>
        <v>Hierros ADN 420 Φ 8</v>
      </c>
      <c r="C9" s="92" t="str">
        <f>IF($A9=0,"",VLOOKUP($A9,'00_Mat'!$A$4:$J$1135,3,FALSE))</f>
        <v>u</v>
      </c>
      <c r="D9" s="229">
        <v>52.0</v>
      </c>
      <c r="E9" s="204"/>
      <c r="F9" s="206">
        <v>0.1</v>
      </c>
      <c r="G9" s="221">
        <f t="shared" si="1"/>
        <v>58</v>
      </c>
      <c r="H9" s="143">
        <f>IF($A9=0,"",VLOOKUP($A9,'00_Mat'!$A$4:$J$1135,5,FALSE))</f>
        <v>9050</v>
      </c>
      <c r="I9" s="143">
        <f t="shared" si="2"/>
        <v>524900</v>
      </c>
    </row>
    <row r="10" ht="14.25" customHeight="1">
      <c r="A10" s="3" t="s">
        <v>136</v>
      </c>
      <c r="B10" s="92" t="str">
        <f>IF($A10=0,"",VLOOKUP($A10,'00_Mat'!$A$4:$J$1135,2,FALSE))</f>
        <v>Hierros ADN 420Φ 10</v>
      </c>
      <c r="C10" s="92" t="str">
        <f>IF($A10=0,"",VLOOKUP($A10,'00_Mat'!$A$4:$J$1135,3,FALSE))</f>
        <v>u</v>
      </c>
      <c r="D10" s="229">
        <v>9.0</v>
      </c>
      <c r="E10" s="204"/>
      <c r="F10" s="206">
        <v>0.1</v>
      </c>
      <c r="G10" s="221">
        <f t="shared" si="1"/>
        <v>10</v>
      </c>
      <c r="H10" s="143">
        <f>IF($A10=0,"",VLOOKUP($A10,'00_Mat'!$A$4:$J$1135,5,FALSE))</f>
        <v>11237</v>
      </c>
      <c r="I10" s="143">
        <f t="shared" si="2"/>
        <v>112370</v>
      </c>
    </row>
    <row r="11" ht="14.25" customHeight="1">
      <c r="A11" s="3" t="s">
        <v>138</v>
      </c>
      <c r="B11" s="92" t="str">
        <f>IF($A11=0,"",VLOOKUP($A11,'00_Mat'!$A$4:$J$1135,2,FALSE))</f>
        <v>Hierros ADN 420 Φ 12</v>
      </c>
      <c r="C11" s="92" t="str">
        <f>IF($A11=0,"",VLOOKUP($A11,'00_Mat'!$A$4:$J$1135,3,FALSE))</f>
        <v>u</v>
      </c>
      <c r="D11" s="229">
        <v>54.0</v>
      </c>
      <c r="E11" s="204"/>
      <c r="F11" s="206">
        <v>0.1</v>
      </c>
      <c r="G11" s="221">
        <f t="shared" si="1"/>
        <v>60</v>
      </c>
      <c r="H11" s="143">
        <f>IF($A11=0,"",VLOOKUP($A11,'00_Mat'!$A$4:$J$1135,5,FALSE))</f>
        <v>20442.5</v>
      </c>
      <c r="I11" s="143">
        <f t="shared" si="2"/>
        <v>1226550</v>
      </c>
    </row>
    <row r="12" ht="14.25" customHeight="1">
      <c r="A12" s="3" t="s">
        <v>140</v>
      </c>
      <c r="B12" s="92" t="str">
        <f>IF($A12=0,"",VLOOKUP($A12,'00_Mat'!$A$4:$J$1135,2,FALSE))</f>
        <v>Hierros ADN 420 Φ 16</v>
      </c>
      <c r="C12" s="92" t="str">
        <f>IF($A12=0,"",VLOOKUP($A12,'00_Mat'!$A$4:$J$1135,3,FALSE))</f>
        <v>u</v>
      </c>
      <c r="D12" s="229">
        <v>37.0</v>
      </c>
      <c r="E12" s="204"/>
      <c r="F12" s="206">
        <v>0.1</v>
      </c>
      <c r="G12" s="221">
        <f t="shared" si="1"/>
        <v>41</v>
      </c>
      <c r="H12" s="143">
        <f>IF($A12=0,"",VLOOKUP($A12,'00_Mat'!$A$4:$J$1135,5,FALSE))</f>
        <v>36603.12</v>
      </c>
      <c r="I12" s="143">
        <f t="shared" si="2"/>
        <v>1500727.92</v>
      </c>
    </row>
    <row r="13" ht="14.25" customHeight="1">
      <c r="A13" s="20" t="s">
        <v>142</v>
      </c>
      <c r="B13" s="92" t="str">
        <f>IF($A13=0,"",VLOOKUP($A13,'00_Mat'!$A$4:$J$1135,2,FALSE))</f>
        <v>Hierros ADN 420 Φ 20</v>
      </c>
      <c r="C13" s="92" t="str">
        <f>IF($A13=0,"",VLOOKUP($A13,'00_Mat'!$A$4:$J$1135,3,FALSE))</f>
        <v>U</v>
      </c>
      <c r="D13" s="229">
        <v>9.0</v>
      </c>
      <c r="E13" s="204"/>
      <c r="F13" s="206">
        <v>0.1</v>
      </c>
      <c r="G13" s="221">
        <f t="shared" si="1"/>
        <v>10</v>
      </c>
      <c r="H13" s="143">
        <f>IF($A13=0,"",VLOOKUP($A13,'00_Mat'!$A$4:$J$1135,5,FALSE))</f>
        <v>55000</v>
      </c>
      <c r="I13" s="143">
        <f t="shared" si="2"/>
        <v>550000</v>
      </c>
    </row>
    <row r="14" ht="14.25" customHeight="1">
      <c r="A14" s="3" t="s">
        <v>300</v>
      </c>
      <c r="B14" s="92" t="str">
        <f>IF($A14=0,"",VLOOKUP($A14,'00_Mat'!$A$4:$J$1135,2,FALSE))</f>
        <v>Fenolico 18mm Miraluz 125 GR con film</v>
      </c>
      <c r="C14" s="92" t="str">
        <f>IF($A14=0,"",VLOOKUP($A14,'00_Mat'!$A$4:$J$1135,3,FALSE))</f>
        <v>u</v>
      </c>
      <c r="D14" s="229">
        <v>0.0</v>
      </c>
      <c r="E14" s="204"/>
      <c r="F14" s="236">
        <v>0.25</v>
      </c>
      <c r="G14" s="221">
        <f t="shared" si="1"/>
        <v>0</v>
      </c>
      <c r="H14" s="143">
        <f>IF($A14=0,"",VLOOKUP($A14,'00_Mat'!$A$4:$J$1135,5,FALSE))</f>
        <v>55260</v>
      </c>
      <c r="I14" s="143">
        <f t="shared" si="2"/>
        <v>0</v>
      </c>
      <c r="J14" s="153" t="s">
        <v>1029</v>
      </c>
    </row>
    <row r="15" ht="14.25" customHeight="1">
      <c r="A15" s="3" t="s">
        <v>303</v>
      </c>
      <c r="B15" s="92" t="str">
        <f>IF($A15=0,"",VLOOKUP($A15,'00_Mat'!$A$4:$J$1135,2,FALSE))</f>
        <v>Fenolico 18mm Grandis 2 Buenas cal 3/3</v>
      </c>
      <c r="C15" s="92" t="str">
        <f>IF($A15=0,"",VLOOKUP($A15,'00_Mat'!$A$4:$J$1135,3,FALSE))</f>
        <v>u</v>
      </c>
      <c r="D15" s="229">
        <f>92/2</f>
        <v>46</v>
      </c>
      <c r="E15" s="204"/>
      <c r="F15" s="236">
        <v>0.25</v>
      </c>
      <c r="G15" s="221">
        <f t="shared" si="1"/>
        <v>58</v>
      </c>
      <c r="H15" s="143">
        <f>IF($A15=0,"",VLOOKUP($A15,'00_Mat'!$A$4:$J$1135,5,FALSE))</f>
        <v>45454</v>
      </c>
      <c r="I15" s="143">
        <f t="shared" si="2"/>
        <v>2636332</v>
      </c>
      <c r="J15" s="153" t="s">
        <v>1030</v>
      </c>
    </row>
    <row r="16" ht="14.25" customHeight="1">
      <c r="A16" s="3" t="s">
        <v>602</v>
      </c>
      <c r="B16" s="92" t="str">
        <f>IF($A16=0,"",VLOOKUP($A16,'00_Mat'!$A$4:$J$1135,2,FALSE))</f>
        <v>Bomba Pluma Traslado e Instalacion</v>
      </c>
      <c r="C16" s="92" t="str">
        <f>IF($A16=0,"",VLOOKUP($A16,'00_Mat'!$A$4:$J$1135,3,FALSE))</f>
        <v>u</v>
      </c>
      <c r="D16" s="229">
        <v>1.0</v>
      </c>
      <c r="E16" s="204"/>
      <c r="F16" s="206"/>
      <c r="G16" s="221">
        <f t="shared" si="1"/>
        <v>1</v>
      </c>
      <c r="H16" s="143">
        <f>IF($A16=0,"",VLOOKUP($A16,'00_Mat'!$A$4:$J$1135,5,FALSE))</f>
        <v>600000</v>
      </c>
      <c r="I16" s="143">
        <f t="shared" si="2"/>
        <v>600000</v>
      </c>
      <c r="J16" s="153" t="s">
        <v>1031</v>
      </c>
    </row>
    <row r="17" ht="14.25" customHeight="1">
      <c r="A17" s="3" t="s">
        <v>604</v>
      </c>
      <c r="B17" s="92" t="str">
        <f>IF($A17=0,"",VLOOKUP($A17,'00_Mat'!$A$4:$J$1135,2,FALSE))</f>
        <v>Bomba Pluma m3 bombeable</v>
      </c>
      <c r="C17" s="92" t="str">
        <f>IF($A17=0,"",VLOOKUP($A17,'00_Mat'!$A$4:$J$1135,3,FALSE))</f>
        <v>m3</v>
      </c>
      <c r="D17" s="205">
        <f>D7</f>
        <v>23</v>
      </c>
      <c r="E17" s="204"/>
      <c r="F17" s="206">
        <v>0.1</v>
      </c>
      <c r="G17" s="221">
        <f t="shared" si="1"/>
        <v>26</v>
      </c>
      <c r="H17" s="143">
        <f>IF($A17=0,"",VLOOKUP($A17,'00_Mat'!$A$4:$J$1135,5,FALSE))</f>
        <v>6000</v>
      </c>
      <c r="I17" s="143">
        <f t="shared" si="2"/>
        <v>156000</v>
      </c>
      <c r="J17" s="153" t="s">
        <v>1032</v>
      </c>
    </row>
    <row r="18" ht="14.25" customHeight="1">
      <c r="A18" s="204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04"/>
      <c r="E18" s="204"/>
      <c r="F18" s="206">
        <v>0.1</v>
      </c>
      <c r="G18" s="221">
        <f t="shared" si="1"/>
        <v>0</v>
      </c>
      <c r="H18" s="143" t="str">
        <f>IF($A18=0,"",VLOOKUP($A18,'00_Mat'!$A$4:$J$1135,5,FALSE))</f>
        <v/>
      </c>
      <c r="I18" s="143">
        <f t="shared" si="2"/>
        <v>0</v>
      </c>
    </row>
    <row r="19" ht="14.25" customHeight="1">
      <c r="F19" s="208"/>
      <c r="G19" s="3"/>
      <c r="H19" s="143"/>
      <c r="I19" s="143"/>
    </row>
    <row r="20" ht="14.25" customHeight="1">
      <c r="A20" s="222" t="s">
        <v>996</v>
      </c>
      <c r="B20" s="223"/>
      <c r="C20" s="223"/>
      <c r="D20" s="223"/>
      <c r="E20" s="223"/>
      <c r="F20" s="223"/>
      <c r="G20" s="211"/>
      <c r="H20" s="223"/>
      <c r="I20" s="224">
        <f>SUM(I7:I18)</f>
        <v>12606629.92</v>
      </c>
      <c r="J20" s="92"/>
      <c r="K20" s="92"/>
      <c r="L20" s="92"/>
    </row>
    <row r="21" ht="14.25" customHeight="1">
      <c r="A21" s="232" t="str">
        <f>$I$3</f>
        <v>m³</v>
      </c>
      <c r="B21" s="233"/>
      <c r="C21" s="233"/>
      <c r="D21" s="233"/>
      <c r="E21" s="233"/>
      <c r="F21" s="233"/>
      <c r="G21" s="21"/>
      <c r="H21" s="233"/>
      <c r="I21" s="205">
        <f>$H$3</f>
        <v>23</v>
      </c>
      <c r="J21" s="92"/>
      <c r="K21" s="92"/>
      <c r="L21" s="92"/>
    </row>
    <row r="22" ht="14.25" customHeight="1">
      <c r="A22" s="234" t="s">
        <v>997</v>
      </c>
      <c r="B22" s="232" t="str">
        <f>A21</f>
        <v>m³</v>
      </c>
      <c r="C22" s="233"/>
      <c r="D22" s="233"/>
      <c r="E22" s="233"/>
      <c r="F22" s="233"/>
      <c r="G22" s="21"/>
      <c r="H22" s="233"/>
      <c r="I22" s="235">
        <f>I20/I21</f>
        <v>548114.3443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01" t="s">
        <v>998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02" t="s">
        <v>988</v>
      </c>
      <c r="B26" s="202" t="s">
        <v>989</v>
      </c>
      <c r="C26" s="202" t="s">
        <v>990</v>
      </c>
      <c r="D26" s="202" t="s">
        <v>991</v>
      </c>
      <c r="E26" s="202" t="s">
        <v>999</v>
      </c>
      <c r="F26" s="202" t="s">
        <v>992</v>
      </c>
      <c r="G26" s="4" t="s">
        <v>993</v>
      </c>
      <c r="H26" s="202" t="s">
        <v>994</v>
      </c>
      <c r="I26" s="202" t="s">
        <v>995</v>
      </c>
    </row>
    <row r="27" ht="14.25" customHeight="1">
      <c r="A27" s="61" t="s">
        <v>621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29">
        <v>1.0</v>
      </c>
      <c r="E27" s="229">
        <v>14.0</v>
      </c>
      <c r="F27" s="236">
        <v>0.25</v>
      </c>
      <c r="G27" s="217">
        <f t="shared" ref="G27:G32" si="3">ROUNDUP(((D27*E27)*(1+F27)),0)</f>
        <v>18</v>
      </c>
      <c r="H27" s="143">
        <f>IF($A27=0,"",VLOOKUP($A27,'00_MO'!$A$4:$D$7,4,FALSE))</f>
        <v>120000</v>
      </c>
      <c r="I27" s="143">
        <f t="shared" ref="I27:I32" si="4">G27*H27</f>
        <v>2160000</v>
      </c>
    </row>
    <row r="28" ht="14.25" customHeight="1">
      <c r="A28" s="61" t="s">
        <v>623</v>
      </c>
      <c r="B28" s="92" t="str">
        <f>IF($A28=0,"",VLOOKUP($A28,'00_MO'!$A$4:$D$7,2,FALSE))</f>
        <v>Puntero</v>
      </c>
      <c r="C28" s="92" t="str">
        <f>IF($A28=0,"",VLOOKUP($A28,'00_MO'!$A$4:$D$7,3,FALSE))</f>
        <v>u</v>
      </c>
      <c r="D28" s="229">
        <v>2.0</v>
      </c>
      <c r="E28" s="229">
        <v>14.0</v>
      </c>
      <c r="F28" s="236">
        <v>0.25</v>
      </c>
      <c r="G28" s="217">
        <f t="shared" si="3"/>
        <v>35</v>
      </c>
      <c r="H28" s="143">
        <f>IF($A28=0,"",VLOOKUP($A28,'00_MO'!$A$4:$D$7,4,FALSE))</f>
        <v>105000</v>
      </c>
      <c r="I28" s="143">
        <f t="shared" si="4"/>
        <v>3675000</v>
      </c>
    </row>
    <row r="29" ht="14.25" customHeight="1">
      <c r="A29" s="61" t="s">
        <v>625</v>
      </c>
      <c r="B29" s="92" t="str">
        <f>IF($A29=0,"",VLOOKUP($A29,'00_MO'!$A$4:$D$7,2,FALSE))</f>
        <v>Oficial</v>
      </c>
      <c r="C29" s="92" t="str">
        <f>IF($A29=0,"",VLOOKUP($A29,'00_MO'!$A$4:$D$7,3,FALSE))</f>
        <v>u</v>
      </c>
      <c r="D29" s="229">
        <v>3.0</v>
      </c>
      <c r="E29" s="229">
        <v>14.0</v>
      </c>
      <c r="F29" s="236">
        <v>0.25</v>
      </c>
      <c r="G29" s="217">
        <f t="shared" si="3"/>
        <v>53</v>
      </c>
      <c r="H29" s="143">
        <f>IF($A29=0,"",VLOOKUP($A29,'00_MO'!$A$4:$D$7,4,FALSE))</f>
        <v>90000</v>
      </c>
      <c r="I29" s="143">
        <f t="shared" si="4"/>
        <v>4770000</v>
      </c>
    </row>
    <row r="30" ht="14.25" customHeight="1">
      <c r="A30" s="61" t="s">
        <v>627</v>
      </c>
      <c r="B30" s="92" t="str">
        <f>IF($A30=0,"",VLOOKUP($A30,'00_MO'!$A$4:$D$7,2,FALSE))</f>
        <v>Ayudante</v>
      </c>
      <c r="C30" s="92" t="str">
        <f>IF($A30=0,"",VLOOKUP($A30,'00_MO'!$A$4:$D$7,3,FALSE))</f>
        <v>u</v>
      </c>
      <c r="D30" s="229">
        <v>3.0</v>
      </c>
      <c r="E30" s="229">
        <v>14.0</v>
      </c>
      <c r="F30" s="236">
        <v>0.25</v>
      </c>
      <c r="G30" s="217">
        <f t="shared" si="3"/>
        <v>53</v>
      </c>
      <c r="H30" s="143">
        <f>IF($A30=0,"",VLOOKUP($A30,'00_MO'!$A$4:$D$7,4,FALSE))</f>
        <v>60000</v>
      </c>
      <c r="I30" s="143">
        <f t="shared" si="4"/>
        <v>3180000</v>
      </c>
    </row>
    <row r="31" ht="14.25" customHeight="1">
      <c r="A31" s="204"/>
      <c r="B31" s="92" t="str">
        <f>IF($A31=0,"",VLOOKUP($A31,'00_MO'!$A$4:$D$7,2,FALSE))</f>
        <v/>
      </c>
      <c r="C31" s="92" t="str">
        <f>IF($A31=0,"",VLOOKUP($A31,'00_MO'!$A$4:$D$7,3,FALSE))</f>
        <v/>
      </c>
      <c r="D31" s="204"/>
      <c r="E31" s="229"/>
      <c r="F31" s="206"/>
      <c r="G31" s="217">
        <f t="shared" si="3"/>
        <v>0</v>
      </c>
      <c r="H31" s="143" t="str">
        <f>IF($A31=0,"",VLOOKUP($A31,'00_MO'!$A$4:$D$7,4,FALSE))</f>
        <v/>
      </c>
      <c r="I31" s="143">
        <f t="shared" si="4"/>
        <v>0</v>
      </c>
    </row>
    <row r="32" ht="14.25" customHeight="1">
      <c r="A32" s="204"/>
      <c r="B32" s="92" t="str">
        <f>IF($A32=0,"",VLOOKUP($A32,'00_MO'!$A$4:$D$7,2,FALSE))</f>
        <v/>
      </c>
      <c r="C32" s="92" t="str">
        <f>IF($A32=0,"",VLOOKUP($A32,'00_MO'!$A$4:$D$7,3,FALSE))</f>
        <v/>
      </c>
      <c r="D32" s="204"/>
      <c r="E32" s="204"/>
      <c r="F32" s="206"/>
      <c r="G32" s="217">
        <f t="shared" si="3"/>
        <v>0</v>
      </c>
      <c r="H32" s="143" t="str">
        <f>IF($A32=0,"",VLOOKUP($A32,'00_MO'!$A$4:$D$7,4,FALSE))</f>
        <v/>
      </c>
      <c r="I32" s="143">
        <f t="shared" si="4"/>
        <v>0</v>
      </c>
    </row>
    <row r="33" ht="14.25" customHeight="1">
      <c r="F33" s="208"/>
      <c r="G33" s="3"/>
      <c r="H33" s="143"/>
      <c r="I33" s="143"/>
    </row>
    <row r="34" ht="14.25" customHeight="1">
      <c r="A34" s="222" t="s">
        <v>987</v>
      </c>
      <c r="B34" s="223"/>
      <c r="C34" s="223"/>
      <c r="D34" s="223"/>
      <c r="E34" s="223"/>
      <c r="F34" s="223"/>
      <c r="G34" s="211"/>
      <c r="H34" s="223"/>
      <c r="I34" s="224">
        <f>SUM(I27:I32)</f>
        <v>13785000</v>
      </c>
    </row>
    <row r="35" ht="14.25" customHeight="1">
      <c r="A35" s="232" t="str">
        <f>$I$3</f>
        <v>m³</v>
      </c>
      <c r="B35" s="233"/>
      <c r="C35" s="233"/>
      <c r="D35" s="233"/>
      <c r="E35" s="233"/>
      <c r="F35" s="233"/>
      <c r="G35" s="21"/>
      <c r="H35" s="233"/>
      <c r="I35" s="205">
        <f>$H$3</f>
        <v>23</v>
      </c>
      <c r="J35" s="92"/>
      <c r="K35" s="92"/>
      <c r="L35" s="92"/>
    </row>
    <row r="36" ht="14.25" customHeight="1">
      <c r="A36" s="234" t="s">
        <v>997</v>
      </c>
      <c r="B36" s="232" t="str">
        <f>A35</f>
        <v>m³</v>
      </c>
      <c r="C36" s="233"/>
      <c r="D36" s="233"/>
      <c r="E36" s="233"/>
      <c r="F36" s="233"/>
      <c r="G36" s="21"/>
      <c r="H36" s="233"/>
      <c r="I36" s="235">
        <f>I34/I35</f>
        <v>599347.8261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01" t="s">
        <v>1000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02" t="s">
        <v>988</v>
      </c>
      <c r="B40" s="202" t="s">
        <v>989</v>
      </c>
      <c r="C40" s="202" t="s">
        <v>990</v>
      </c>
      <c r="D40" s="202" t="s">
        <v>991</v>
      </c>
      <c r="E40" s="202" t="s">
        <v>999</v>
      </c>
      <c r="F40" s="202" t="s">
        <v>992</v>
      </c>
      <c r="G40" s="4" t="s">
        <v>993</v>
      </c>
      <c r="H40" s="202" t="s">
        <v>994</v>
      </c>
      <c r="I40" s="202" t="s">
        <v>995</v>
      </c>
    </row>
    <row r="41" ht="14.25" customHeight="1">
      <c r="A41" s="204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04"/>
      <c r="E41" s="204"/>
      <c r="F41" s="206"/>
      <c r="G41" s="217">
        <f t="shared" ref="G41:G46" si="5">ROUNDUP(((D41*E41)*(1+F41)),0)</f>
        <v>0</v>
      </c>
      <c r="H41" s="143" t="str">
        <f>IF($A41=0,"",VLOOKUP($A41,'00_Eq'!$A$4:$D$100,4,FALSE))</f>
        <v/>
      </c>
      <c r="I41" s="143">
        <f t="shared" ref="I41:I44" si="6">G41*H41</f>
        <v>0</v>
      </c>
    </row>
    <row r="42" ht="14.25" customHeight="1">
      <c r="A42" s="204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04"/>
      <c r="E42" s="204"/>
      <c r="F42" s="206"/>
      <c r="G42" s="217">
        <f t="shared" si="5"/>
        <v>0</v>
      </c>
      <c r="H42" s="143" t="str">
        <f>IF($A42=0,"",VLOOKUP($A42,'00_Eq'!$A$4:$D$100,4,FALSE))</f>
        <v/>
      </c>
      <c r="I42" s="143">
        <f t="shared" si="6"/>
        <v>0</v>
      </c>
    </row>
    <row r="43" ht="14.25" customHeight="1">
      <c r="A43" s="204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04"/>
      <c r="E43" s="204"/>
      <c r="F43" s="206"/>
      <c r="G43" s="217">
        <f t="shared" si="5"/>
        <v>0</v>
      </c>
      <c r="H43" s="143" t="str">
        <f>IF($A43=0,"",VLOOKUP($A43,'00_Eq'!$A$4:$D$100,4,FALSE))</f>
        <v/>
      </c>
      <c r="I43" s="143">
        <f t="shared" si="6"/>
        <v>0</v>
      </c>
    </row>
    <row r="44" ht="14.25" customHeight="1">
      <c r="A44" s="204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04"/>
      <c r="E44" s="204"/>
      <c r="F44" s="206"/>
      <c r="G44" s="217">
        <f t="shared" si="5"/>
        <v>0</v>
      </c>
      <c r="H44" s="143" t="str">
        <f>IF($A44=0,"",VLOOKUP($A44,'00_Eq'!$A$4:$D$100,4,FALSE))</f>
        <v/>
      </c>
      <c r="I44" s="143">
        <f t="shared" si="6"/>
        <v>0</v>
      </c>
    </row>
    <row r="45" ht="14.25" customHeight="1">
      <c r="A45" s="204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04"/>
      <c r="E45" s="204"/>
      <c r="F45" s="206"/>
      <c r="G45" s="217">
        <f t="shared" si="5"/>
        <v>0</v>
      </c>
      <c r="H45" s="143" t="str">
        <f>IF($A45=0,"",VLOOKUP($A45,'00_Eq'!$A$4:$D$100,4,FALSE))</f>
        <v/>
      </c>
      <c r="I45" s="143"/>
    </row>
    <row r="46" ht="14.25" customHeight="1">
      <c r="A46" s="204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04"/>
      <c r="E46" s="204"/>
      <c r="F46" s="206"/>
      <c r="G46" s="217">
        <f t="shared" si="5"/>
        <v>0</v>
      </c>
      <c r="H46" s="143" t="str">
        <f>IF($A46=0,"",VLOOKUP($A46,'00_Eq'!$A$4:$D$100,4,FALSE))</f>
        <v/>
      </c>
      <c r="I46" s="143"/>
    </row>
    <row r="47" ht="14.25" customHeight="1">
      <c r="F47" s="208"/>
      <c r="G47" s="3"/>
      <c r="H47" s="143"/>
      <c r="I47" s="143"/>
    </row>
    <row r="48" ht="14.25" customHeight="1">
      <c r="A48" s="222" t="s">
        <v>987</v>
      </c>
      <c r="B48" s="223"/>
      <c r="C48" s="223"/>
      <c r="D48" s="223"/>
      <c r="E48" s="223"/>
      <c r="F48" s="223"/>
      <c r="G48" s="211"/>
      <c r="H48" s="223"/>
      <c r="I48" s="224">
        <f>SUM(I41:I46)</f>
        <v>0</v>
      </c>
    </row>
    <row r="49" ht="14.25" customHeight="1">
      <c r="A49" s="232" t="str">
        <f>$I$3</f>
        <v>m³</v>
      </c>
      <c r="B49" s="233"/>
      <c r="C49" s="233"/>
      <c r="D49" s="233"/>
      <c r="E49" s="233"/>
      <c r="F49" s="233"/>
      <c r="G49" s="21"/>
      <c r="H49" s="233"/>
      <c r="I49" s="205">
        <f>$H$3</f>
        <v>23</v>
      </c>
      <c r="J49" s="92"/>
      <c r="K49" s="92"/>
      <c r="L49" s="92"/>
    </row>
    <row r="50" ht="14.25" customHeight="1">
      <c r="A50" s="234" t="s">
        <v>997</v>
      </c>
      <c r="B50" s="232" t="str">
        <f>A49</f>
        <v>m³</v>
      </c>
      <c r="C50" s="233"/>
      <c r="D50" s="233"/>
      <c r="E50" s="233"/>
      <c r="F50" s="233"/>
      <c r="G50" s="21"/>
      <c r="H50" s="233"/>
      <c r="I50" s="235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01" t="s">
        <v>1010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02" t="s">
        <v>988</v>
      </c>
      <c r="B54" s="202" t="s">
        <v>989</v>
      </c>
      <c r="C54" s="202" t="s">
        <v>990</v>
      </c>
      <c r="D54" s="202" t="s">
        <v>991</v>
      </c>
      <c r="E54" s="202"/>
      <c r="F54" s="202" t="s">
        <v>992</v>
      </c>
      <c r="G54" s="4" t="s">
        <v>993</v>
      </c>
      <c r="H54" s="202" t="s">
        <v>994</v>
      </c>
      <c r="I54" s="202" t="s">
        <v>995</v>
      </c>
    </row>
    <row r="55" ht="14.25" customHeight="1">
      <c r="A55" s="3"/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30"/>
      <c r="E55" s="204"/>
      <c r="F55" s="236">
        <v>0.1</v>
      </c>
      <c r="G55" s="221">
        <f t="shared" ref="G55:G60" si="7">ROUNDUP((D55+(D55*F55)),0)</f>
        <v>0</v>
      </c>
      <c r="H55" s="143" t="str">
        <f>IF($A55=0,"",VLOOKUP($A55,'00_Mat'!$A$4:$J$1135,5,FALSE))</f>
        <v/>
      </c>
      <c r="I55" s="143">
        <f t="shared" ref="I55:I60" si="8">G55*H55</f>
        <v>0</v>
      </c>
      <c r="J55" s="237"/>
    </row>
    <row r="56" ht="14.25" customHeight="1">
      <c r="A56" s="3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0"/>
      <c r="E56" s="204"/>
      <c r="F56" s="236">
        <v>0.1</v>
      </c>
      <c r="G56" s="221">
        <f t="shared" si="7"/>
        <v>0</v>
      </c>
      <c r="H56" s="143" t="str">
        <f>IF($A56=0,"",VLOOKUP($A56,'00_Mat'!$A$4:$J$1135,5,FALSE))</f>
        <v/>
      </c>
      <c r="I56" s="143">
        <f t="shared" si="8"/>
        <v>0</v>
      </c>
      <c r="J56" s="237"/>
    </row>
    <row r="57" ht="14.25" customHeight="1">
      <c r="A57" s="3" t="s">
        <v>75</v>
      </c>
      <c r="B57" s="92" t="str">
        <f>IF($A57=0,"",VLOOKUP($A57,'00_Mat'!$A$4:$J$1135,2,FALSE))</f>
        <v>Clavos 2" punta paris (k)</v>
      </c>
      <c r="C57" s="92" t="str">
        <f>IF($A57=0,"",VLOOKUP($A57,'00_Mat'!$A$4:$J$1135,3,FALSE))</f>
        <v>k</v>
      </c>
      <c r="D57" s="230">
        <v>20.0</v>
      </c>
      <c r="E57" s="204"/>
      <c r="F57" s="236">
        <v>0.1</v>
      </c>
      <c r="G57" s="221">
        <f t="shared" si="7"/>
        <v>22</v>
      </c>
      <c r="H57" s="143">
        <f>IF($A57=0,"",VLOOKUP($A57,'00_Mat'!$A$4:$J$1135,5,FALSE))</f>
        <v>4500</v>
      </c>
      <c r="I57" s="143">
        <f t="shared" si="8"/>
        <v>99000</v>
      </c>
      <c r="J57" s="153" t="s">
        <v>1013</v>
      </c>
      <c r="L57" s="153" t="s">
        <v>1011</v>
      </c>
      <c r="M57" s="153" t="s">
        <v>1012</v>
      </c>
    </row>
    <row r="58" ht="14.25" customHeight="1">
      <c r="A58" s="20" t="s">
        <v>81</v>
      </c>
      <c r="B58" s="92" t="str">
        <f>IF($A58=0,"",VLOOKUP($A58,'00_Mat'!$A$4:$J$1135,2,FALSE))</f>
        <v>Alambre Fardo (50 k)</v>
      </c>
      <c r="C58" s="92" t="str">
        <f>IF($A58=0,"",VLOOKUP($A58,'00_Mat'!$A$4:$J$1135,3,FALSE))</f>
        <v>k</v>
      </c>
      <c r="D58" s="230">
        <v>1.0</v>
      </c>
      <c r="E58" s="204"/>
      <c r="F58" s="236">
        <v>0.0</v>
      </c>
      <c r="G58" s="221">
        <f t="shared" si="7"/>
        <v>1</v>
      </c>
      <c r="H58" s="143">
        <f>IF($A58=0,"",VLOOKUP($A58,'00_Mat'!$A$4:$J$1135,5,FALSE))</f>
        <v>220000</v>
      </c>
      <c r="I58" s="143">
        <f t="shared" si="8"/>
        <v>220000</v>
      </c>
      <c r="J58" s="153" t="s">
        <v>1033</v>
      </c>
    </row>
    <row r="59" ht="14.25" customHeight="1">
      <c r="C59" s="92" t="str">
        <f>IF($A58=0,"",VLOOKUP($A58,'00_Mat'!$A$4:$J$1135,3,FALSE))</f>
        <v>k</v>
      </c>
      <c r="D59" s="230"/>
      <c r="E59" s="204"/>
      <c r="F59" s="236">
        <v>0.1</v>
      </c>
      <c r="G59" s="221">
        <f t="shared" si="7"/>
        <v>0</v>
      </c>
      <c r="H59" s="143" t="str">
        <f>IF($A59=0,"",VLOOKUP($A59,'00_Mat'!$A$4:$J$1135,5,FALSE))</f>
        <v/>
      </c>
      <c r="I59" s="143">
        <f t="shared" si="8"/>
        <v>0</v>
      </c>
    </row>
    <row r="60" ht="14.25" customHeight="1">
      <c r="A60" s="204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05"/>
      <c r="E60" s="204"/>
      <c r="F60" s="206"/>
      <c r="G60" s="221">
        <f t="shared" si="7"/>
        <v>0</v>
      </c>
      <c r="H60" s="143" t="str">
        <f>IF($A60=0,"",VLOOKUP($A60,'00_Mat'!$A$4:$J$1135,5,FALSE))</f>
        <v/>
      </c>
      <c r="I60" s="143">
        <f t="shared" si="8"/>
        <v>0</v>
      </c>
    </row>
    <row r="61" ht="14.25" customHeight="1">
      <c r="F61" s="208"/>
      <c r="G61" s="3"/>
      <c r="H61" s="143"/>
      <c r="I61" s="143"/>
    </row>
    <row r="62" ht="14.25" customHeight="1">
      <c r="A62" s="222" t="s">
        <v>987</v>
      </c>
      <c r="B62" s="223"/>
      <c r="C62" s="223"/>
      <c r="D62" s="223"/>
      <c r="E62" s="223"/>
      <c r="F62" s="223"/>
      <c r="G62" s="211"/>
      <c r="H62" s="223"/>
      <c r="I62" s="224">
        <f>SUM(I55:I60)</f>
        <v>319000</v>
      </c>
    </row>
    <row r="63" ht="14.25" customHeight="1">
      <c r="A63" s="232" t="str">
        <f>$I$3</f>
        <v>m³</v>
      </c>
      <c r="B63" s="233"/>
      <c r="C63" s="233"/>
      <c r="D63" s="233"/>
      <c r="E63" s="233"/>
      <c r="F63" s="233"/>
      <c r="G63" s="21"/>
      <c r="H63" s="233"/>
      <c r="I63" s="205">
        <f>$H$3</f>
        <v>23</v>
      </c>
      <c r="J63" s="92"/>
      <c r="K63" s="92"/>
      <c r="L63" s="92"/>
    </row>
    <row r="64" ht="14.25" customHeight="1">
      <c r="A64" s="234" t="s">
        <v>997</v>
      </c>
      <c r="B64" s="232" t="str">
        <f>A63</f>
        <v>m³</v>
      </c>
      <c r="C64" s="233"/>
      <c r="D64" s="233"/>
      <c r="E64" s="233"/>
      <c r="F64" s="233"/>
      <c r="G64" s="21"/>
      <c r="H64" s="233"/>
      <c r="I64" s="235">
        <f>I62/I63</f>
        <v>13869.56522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01" t="s">
        <v>1025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02" t="s">
        <v>988</v>
      </c>
      <c r="B68" s="202" t="s">
        <v>989</v>
      </c>
      <c r="C68" s="202" t="s">
        <v>990</v>
      </c>
      <c r="D68" s="202" t="s">
        <v>991</v>
      </c>
      <c r="E68" s="202" t="s">
        <v>999</v>
      </c>
      <c r="F68" s="202" t="s">
        <v>992</v>
      </c>
      <c r="G68" s="4" t="s">
        <v>993</v>
      </c>
      <c r="H68" s="202" t="s">
        <v>994</v>
      </c>
      <c r="I68" s="202" t="s">
        <v>995</v>
      </c>
    </row>
    <row r="69" ht="14.25" customHeight="1">
      <c r="A69" s="204"/>
      <c r="B69" s="92" t="str">
        <f>IF($A69=0,"",VLOOKUP($A69,'00_Sub'!$A$4:$D$1007,2,FALSE))</f>
        <v/>
      </c>
      <c r="C69" s="92" t="str">
        <f>IF($A69=0,"",VLOOKUP($A69,'00_Sub'!$A$4:$D$1007,3,FALSE))</f>
        <v/>
      </c>
      <c r="D69" s="204"/>
      <c r="E69" s="204"/>
      <c r="F69" s="206"/>
      <c r="G69" s="221">
        <f t="shared" ref="G69:G74" si="9">ROUNDUP((D69+(D69*F69)),0)</f>
        <v>0</v>
      </c>
      <c r="H69" s="143" t="str">
        <f>IF($A69=0,"",VLOOKUP($A69,'00_Sub'!$A$4:$D$1007,4,FALSE))</f>
        <v/>
      </c>
      <c r="I69" s="143"/>
    </row>
    <row r="70" ht="14.25" customHeight="1">
      <c r="A70" s="204"/>
      <c r="B70" s="92" t="str">
        <f>IF($A70=0,"",VLOOKUP($A70,'00_Sub'!$A$4:$D$1007,2,FALSE))</f>
        <v/>
      </c>
      <c r="C70" s="92" t="str">
        <f>IF($A70=0,"",VLOOKUP($A70,'00_Sub'!$A$4:$D$1007,3,FALSE))</f>
        <v/>
      </c>
      <c r="D70" s="204"/>
      <c r="E70" s="204"/>
      <c r="F70" s="206"/>
      <c r="G70" s="221">
        <f t="shared" si="9"/>
        <v>0</v>
      </c>
      <c r="H70" s="143" t="str">
        <f>IF($A70=0,"",VLOOKUP($A70,'00_Sub'!$A$4:$D$1007,4,FALSE))</f>
        <v/>
      </c>
      <c r="I70" s="143"/>
    </row>
    <row r="71" ht="14.25" customHeight="1">
      <c r="A71" s="204"/>
      <c r="B71" s="92" t="str">
        <f>IF($A71=0,"",VLOOKUP($A71,'00_Sub'!$A$4:$D$1007,2,FALSE))</f>
        <v/>
      </c>
      <c r="C71" s="92" t="str">
        <f>IF($A71=0,"",VLOOKUP($A71,'00_Sub'!$A$4:$D$1007,3,FALSE))</f>
        <v/>
      </c>
      <c r="D71" s="204"/>
      <c r="E71" s="204"/>
      <c r="F71" s="206"/>
      <c r="G71" s="221">
        <f t="shared" si="9"/>
        <v>0</v>
      </c>
      <c r="H71" s="143" t="str">
        <f>IF($A71=0,"",VLOOKUP($A71,'00_Sub'!$A$4:$D$1007,4,FALSE))</f>
        <v/>
      </c>
      <c r="I71" s="143"/>
    </row>
    <row r="72" ht="14.25" customHeight="1">
      <c r="A72" s="204"/>
      <c r="B72" s="92" t="str">
        <f>IF($A72=0,"",VLOOKUP($A72,'00_Sub'!$A$4:$D$1007,2,FALSE))</f>
        <v/>
      </c>
      <c r="C72" s="92" t="str">
        <f>IF($A72=0,"",VLOOKUP($A72,'00_Sub'!$A$4:$D$1007,3,FALSE))</f>
        <v/>
      </c>
      <c r="D72" s="204"/>
      <c r="E72" s="204"/>
      <c r="F72" s="206"/>
      <c r="G72" s="221">
        <f t="shared" si="9"/>
        <v>0</v>
      </c>
      <c r="H72" s="143" t="str">
        <f>IF($A72=0,"",VLOOKUP($A72,'00_Sub'!$A$4:$D$1007,4,FALSE))</f>
        <v/>
      </c>
      <c r="I72" s="143"/>
    </row>
    <row r="73" ht="14.25" customHeight="1">
      <c r="A73" s="204"/>
      <c r="B73" s="92" t="str">
        <f>IF($A73=0,"",VLOOKUP($A73,'00_Sub'!$A$4:$D$1007,2,FALSE))</f>
        <v/>
      </c>
      <c r="C73" s="92" t="str">
        <f>IF($A73=0,"",VLOOKUP($A73,'00_Sub'!$A$4:$D$1007,3,FALSE))</f>
        <v/>
      </c>
      <c r="D73" s="204"/>
      <c r="E73" s="204"/>
      <c r="F73" s="206"/>
      <c r="G73" s="221">
        <f t="shared" si="9"/>
        <v>0</v>
      </c>
      <c r="H73" s="143" t="str">
        <f>IF($A73=0,"",VLOOKUP($A73,'00_Sub'!$A$4:$D$1007,4,FALSE))</f>
        <v/>
      </c>
      <c r="I73" s="143"/>
    </row>
    <row r="74" ht="14.25" customHeight="1">
      <c r="A74" s="204"/>
      <c r="B74" s="92" t="str">
        <f>IF($A74=0,"",VLOOKUP($A74,'00_Sub'!$A$4:$D$1007,2,FALSE))</f>
        <v/>
      </c>
      <c r="C74" s="92" t="str">
        <f>IF($A74=0,"",VLOOKUP($A74,'00_Sub'!$A$4:$D$1007,3,FALSE))</f>
        <v/>
      </c>
      <c r="D74" s="204"/>
      <c r="E74" s="204"/>
      <c r="F74" s="206"/>
      <c r="G74" s="221">
        <f t="shared" si="9"/>
        <v>0</v>
      </c>
      <c r="H74" s="143" t="str">
        <f>IF($A74=0,"",VLOOKUP($A74,'00_Sub'!$A$4:$D$1007,4,FALSE))</f>
        <v/>
      </c>
      <c r="I74" s="143"/>
    </row>
    <row r="75" ht="14.25" customHeight="1">
      <c r="F75" s="208"/>
      <c r="G75" s="3"/>
      <c r="H75" s="143"/>
      <c r="I75" s="143"/>
    </row>
    <row r="76" ht="14.25" customHeight="1">
      <c r="A76" s="222" t="s">
        <v>987</v>
      </c>
      <c r="B76" s="223"/>
      <c r="C76" s="223"/>
      <c r="D76" s="223"/>
      <c r="E76" s="223"/>
      <c r="F76" s="223"/>
      <c r="G76" s="211"/>
      <c r="H76" s="223"/>
      <c r="I76" s="224">
        <f>SUM(I69:I74)</f>
        <v>0</v>
      </c>
    </row>
    <row r="77" ht="14.25" customHeight="1">
      <c r="A77" s="232" t="str">
        <f>$I$3</f>
        <v>m³</v>
      </c>
      <c r="B77" s="233"/>
      <c r="C77" s="233"/>
      <c r="D77" s="233"/>
      <c r="E77" s="233"/>
      <c r="F77" s="233"/>
      <c r="G77" s="21"/>
      <c r="H77" s="233"/>
      <c r="I77" s="205">
        <f>$H$3</f>
        <v>23</v>
      </c>
      <c r="J77" s="92"/>
      <c r="K77" s="92"/>
      <c r="L77" s="92"/>
    </row>
    <row r="78" ht="14.25" customHeight="1">
      <c r="A78" s="234" t="s">
        <v>997</v>
      </c>
      <c r="B78" s="232" t="str">
        <f>A77</f>
        <v>m³</v>
      </c>
      <c r="C78" s="233"/>
      <c r="D78" s="233"/>
      <c r="E78" s="233"/>
      <c r="F78" s="233"/>
      <c r="G78" s="21"/>
      <c r="H78" s="233"/>
      <c r="I78" s="235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18"/>
      <c r="B82" s="219"/>
      <c r="C82" s="219"/>
      <c r="D82" s="219"/>
      <c r="E82" s="219"/>
      <c r="F82" s="219"/>
      <c r="G82" s="3"/>
      <c r="H82" s="219"/>
      <c r="I82" s="219"/>
    </row>
    <row r="83" ht="14.25" customHeight="1">
      <c r="A83" s="218"/>
      <c r="B83" s="219"/>
      <c r="C83" s="219"/>
      <c r="D83" s="219"/>
      <c r="E83" s="219"/>
      <c r="F83" s="219"/>
      <c r="G83" s="3"/>
      <c r="H83" s="219"/>
      <c r="I83" s="219"/>
    </row>
    <row r="84" ht="14.25" customHeight="1">
      <c r="G84" s="3"/>
      <c r="H84" s="208"/>
      <c r="I84" s="143"/>
    </row>
    <row r="85" ht="14.25" customHeight="1">
      <c r="G85" s="3"/>
      <c r="H85" s="208"/>
      <c r="I85" s="143"/>
    </row>
    <row r="86" ht="14.25" customHeight="1">
      <c r="A86" s="218"/>
      <c r="B86" s="219"/>
      <c r="C86" s="219"/>
      <c r="D86" s="219"/>
      <c r="E86" s="219"/>
      <c r="F86" s="219"/>
      <c r="G86" s="3"/>
      <c r="H86" s="219"/>
      <c r="I86" s="225"/>
    </row>
    <row r="87" ht="14.25" customHeight="1">
      <c r="G87" s="3"/>
      <c r="H87" s="208"/>
      <c r="I87" s="143"/>
    </row>
    <row r="88" ht="14.25" customHeight="1">
      <c r="G88" s="3"/>
      <c r="H88" s="208"/>
      <c r="I88" s="143"/>
    </row>
    <row r="89" ht="14.25" customHeight="1">
      <c r="G89" s="3"/>
      <c r="H89" s="208"/>
      <c r="I89" s="143"/>
    </row>
    <row r="90" ht="14.25" customHeight="1">
      <c r="A90" s="218"/>
      <c r="B90" s="219"/>
      <c r="C90" s="219"/>
      <c r="D90" s="219"/>
      <c r="E90" s="219"/>
      <c r="F90" s="219"/>
      <c r="G90" s="3"/>
      <c r="H90" s="219"/>
      <c r="I90" s="225"/>
    </row>
    <row r="91" ht="14.25" customHeight="1">
      <c r="G91" s="3"/>
      <c r="H91" s="208"/>
      <c r="I91" s="143"/>
    </row>
    <row r="92" ht="14.25" customHeight="1">
      <c r="G92" s="3"/>
      <c r="H92" s="208"/>
      <c r="I92" s="143"/>
    </row>
    <row r="93" ht="14.25" customHeight="1">
      <c r="A93" s="218"/>
      <c r="B93" s="219"/>
      <c r="C93" s="219"/>
      <c r="D93" s="219"/>
      <c r="E93" s="219"/>
      <c r="F93" s="219"/>
      <c r="G93" s="3"/>
      <c r="H93" s="219"/>
      <c r="I93" s="225"/>
    </row>
    <row r="94" ht="14.25" customHeight="1">
      <c r="G94" s="3"/>
      <c r="H94" s="208"/>
      <c r="I94" s="143"/>
    </row>
    <row r="95" ht="14.25" customHeight="1">
      <c r="G95" s="3"/>
      <c r="H95" s="208"/>
      <c r="I95" s="143"/>
    </row>
    <row r="96" ht="14.25" customHeight="1">
      <c r="A96" s="218"/>
      <c r="B96" s="219"/>
      <c r="C96" s="219"/>
      <c r="D96" s="219"/>
      <c r="E96" s="219"/>
      <c r="F96" s="219"/>
      <c r="G96" s="3"/>
      <c r="H96" s="219"/>
      <c r="I96" s="225"/>
    </row>
    <row r="97" ht="14.25" customHeight="1">
      <c r="A97" s="218"/>
      <c r="B97" s="219"/>
      <c r="C97" s="219"/>
      <c r="D97" s="219"/>
      <c r="E97" s="219"/>
      <c r="F97" s="219"/>
      <c r="G97" s="3"/>
      <c r="H97" s="247"/>
      <c r="I97" s="225"/>
    </row>
    <row r="98" ht="14.25" customHeight="1">
      <c r="A98" s="218"/>
      <c r="B98" s="219"/>
      <c r="C98" s="219"/>
      <c r="D98" s="219"/>
      <c r="E98" s="219"/>
      <c r="F98" s="219"/>
      <c r="G98" s="3"/>
      <c r="H98" s="219"/>
      <c r="I98" s="22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1" width="8.71"/>
    <col customWidth="1" min="12" max="12" width="10.14"/>
    <col customWidth="1" min="13" max="13" width="19.29"/>
  </cols>
  <sheetData>
    <row r="1" ht="33.75" customHeight="1">
      <c r="A1" s="91" t="str">
        <f>'01_C&amp;P'!A1</f>
        <v>EDIFICIO LAS HERAS</v>
      </c>
      <c r="B1" s="91"/>
      <c r="C1" s="91"/>
      <c r="G1" s="3"/>
    </row>
    <row r="2" ht="14.25" customHeight="1">
      <c r="G2" s="3"/>
    </row>
    <row r="3" ht="23.25" customHeight="1">
      <c r="A3" s="195">
        <f>'01_C&amp;P'!A28</f>
        <v>46054</v>
      </c>
      <c r="B3" s="196" t="str">
        <f>IF($A3=0,"",VLOOKUP($A3,'01_C&amp;P'!$A$9:$D$192,2,FALSE))</f>
        <v>VIGAS </v>
      </c>
      <c r="C3" s="197"/>
      <c r="D3" s="197"/>
      <c r="E3" s="197"/>
      <c r="F3" s="197"/>
      <c r="G3" s="198"/>
      <c r="H3" s="199">
        <f>IF($A3=0,"",VLOOKUP($A3,'01_C&amp;P'!$A$9:$D$192,4,FALSE))</f>
        <v>16</v>
      </c>
      <c r="I3" s="200" t="str">
        <f>IF($A3=0,"",VLOOKUP($A3,'01_C&amp;P'!$A$9:$D$192,3,FALSE))</f>
        <v>m³</v>
      </c>
      <c r="M3" s="85"/>
    </row>
    <row r="4" ht="14.25" customHeight="1">
      <c r="G4" s="3"/>
    </row>
    <row r="5" ht="14.25" customHeight="1">
      <c r="A5" s="201" t="s">
        <v>0</v>
      </c>
      <c r="B5" s="94"/>
      <c r="C5" s="94"/>
      <c r="D5" s="94"/>
      <c r="E5" s="94"/>
      <c r="F5" s="94"/>
      <c r="G5" s="2"/>
      <c r="H5" s="94"/>
      <c r="I5" s="94"/>
    </row>
    <row r="6" ht="14.25" customHeight="1">
      <c r="A6" s="202" t="s">
        <v>988</v>
      </c>
      <c r="B6" s="202" t="s">
        <v>989</v>
      </c>
      <c r="C6" s="202" t="s">
        <v>990</v>
      </c>
      <c r="D6" s="203" t="s">
        <v>991</v>
      </c>
      <c r="E6" s="197"/>
      <c r="F6" s="202" t="s">
        <v>992</v>
      </c>
      <c r="G6" s="4" t="s">
        <v>993</v>
      </c>
      <c r="H6" s="202" t="s">
        <v>994</v>
      </c>
      <c r="I6" s="202" t="s">
        <v>995</v>
      </c>
    </row>
    <row r="7" ht="14.25" customHeight="1">
      <c r="A7" s="229" t="s">
        <v>560</v>
      </c>
      <c r="B7" s="92" t="str">
        <f>IF($A7=0,"",VLOOKUP($A7,'00_Mat'!$A$4:$J$1135,2,FALSE))</f>
        <v>Hormigon H30</v>
      </c>
      <c r="C7" s="92" t="str">
        <f>IF($A7=0,"",VLOOKUP($A7,'00_Mat'!$A$4:$J$1135,3,FALSE))</f>
        <v>m3</v>
      </c>
      <c r="D7" s="230">
        <f>H3</f>
        <v>16</v>
      </c>
      <c r="E7" s="204"/>
      <c r="F7" s="206">
        <v>0.1</v>
      </c>
      <c r="G7" s="221">
        <f t="shared" ref="G7:G18" si="1">ROUNDUP((D7+(D7*F7)),0)</f>
        <v>18</v>
      </c>
      <c r="H7" s="143">
        <f>IF($A7=0,"",VLOOKUP($A7,'00_Mat'!$A$4:$J$1135,5,FALSE))</f>
        <v>158000</v>
      </c>
      <c r="I7" s="143">
        <f t="shared" ref="I7:I15" si="2">G7*H7</f>
        <v>2844000</v>
      </c>
      <c r="J7" s="231" t="s">
        <v>548</v>
      </c>
    </row>
    <row r="8" ht="14.25" customHeight="1">
      <c r="A8" s="3" t="s">
        <v>132</v>
      </c>
      <c r="B8" s="92" t="str">
        <f>IF($A8=0,"",VLOOKUP($A8,'00_Mat'!$A$4:$J$1135,2,FALSE))</f>
        <v>Hierros ADN 420 Φ 6 </v>
      </c>
      <c r="C8" s="92" t="str">
        <f>IF($A8=0,"",VLOOKUP($A8,'00_Mat'!$A$4:$J$1135,3,FALSE))</f>
        <v>u</v>
      </c>
      <c r="D8" s="230">
        <v>147.0</v>
      </c>
      <c r="E8" s="204"/>
      <c r="F8" s="206">
        <v>0.1</v>
      </c>
      <c r="G8" s="221">
        <f t="shared" si="1"/>
        <v>162</v>
      </c>
      <c r="H8" s="143">
        <f>IF($A8=0,"",VLOOKUP($A8,'00_Mat'!$A$4:$J$1135,5,FALSE))</f>
        <v>5250</v>
      </c>
      <c r="I8" s="143">
        <f t="shared" si="2"/>
        <v>850500</v>
      </c>
      <c r="J8" s="153" t="s">
        <v>1028</v>
      </c>
    </row>
    <row r="9" ht="14.25" customHeight="1">
      <c r="A9" s="3" t="s">
        <v>134</v>
      </c>
      <c r="B9" s="92" t="str">
        <f>IF($A9=0,"",VLOOKUP($A9,'00_Mat'!$A$4:$J$1135,2,FALSE))</f>
        <v>Hierros ADN 420 Φ 8</v>
      </c>
      <c r="C9" s="92" t="str">
        <f>IF($A9=0,"",VLOOKUP($A9,'00_Mat'!$A$4:$J$1135,3,FALSE))</f>
        <v>u</v>
      </c>
      <c r="D9" s="229">
        <v>0.0</v>
      </c>
      <c r="E9" s="204"/>
      <c r="F9" s="206">
        <v>0.1</v>
      </c>
      <c r="G9" s="221">
        <f t="shared" si="1"/>
        <v>0</v>
      </c>
      <c r="H9" s="143">
        <f>IF($A9=0,"",VLOOKUP($A9,'00_Mat'!$A$4:$J$1135,5,FALSE))</f>
        <v>9050</v>
      </c>
      <c r="I9" s="143">
        <f t="shared" si="2"/>
        <v>0</v>
      </c>
    </row>
    <row r="10" ht="14.25" customHeight="1">
      <c r="A10" s="3" t="s">
        <v>136</v>
      </c>
      <c r="B10" s="92" t="str">
        <f>IF($A10=0,"",VLOOKUP($A10,'00_Mat'!$A$4:$J$1135,2,FALSE))</f>
        <v>Hierros ADN 420Φ 10</v>
      </c>
      <c r="C10" s="92" t="str">
        <f>IF($A10=0,"",VLOOKUP($A10,'00_Mat'!$A$4:$J$1135,3,FALSE))</f>
        <v>u</v>
      </c>
      <c r="D10" s="229">
        <v>67.0</v>
      </c>
      <c r="E10" s="204"/>
      <c r="F10" s="206">
        <v>0.1</v>
      </c>
      <c r="G10" s="221">
        <f t="shared" si="1"/>
        <v>74</v>
      </c>
      <c r="H10" s="143">
        <f>IF($A10=0,"",VLOOKUP($A10,'00_Mat'!$A$4:$J$1135,5,FALSE))</f>
        <v>11237</v>
      </c>
      <c r="I10" s="143">
        <f t="shared" si="2"/>
        <v>831538</v>
      </c>
    </row>
    <row r="11" ht="14.25" customHeight="1">
      <c r="A11" s="3" t="s">
        <v>138</v>
      </c>
      <c r="B11" s="92" t="str">
        <f>IF($A11=0,"",VLOOKUP($A11,'00_Mat'!$A$4:$J$1135,2,FALSE))</f>
        <v>Hierros ADN 420 Φ 12</v>
      </c>
      <c r="C11" s="92" t="str">
        <f>IF($A11=0,"",VLOOKUP($A11,'00_Mat'!$A$4:$J$1135,3,FALSE))</f>
        <v>u</v>
      </c>
      <c r="D11" s="229">
        <v>20.0</v>
      </c>
      <c r="E11" s="204"/>
      <c r="F11" s="206">
        <v>0.1</v>
      </c>
      <c r="G11" s="221">
        <f t="shared" si="1"/>
        <v>22</v>
      </c>
      <c r="H11" s="143">
        <f>IF($A11=0,"",VLOOKUP($A11,'00_Mat'!$A$4:$J$1135,5,FALSE))</f>
        <v>20442.5</v>
      </c>
      <c r="I11" s="143">
        <f t="shared" si="2"/>
        <v>449735</v>
      </c>
    </row>
    <row r="12" ht="14.25" customHeight="1">
      <c r="A12" s="3" t="s">
        <v>140</v>
      </c>
      <c r="B12" s="92" t="str">
        <f>IF($A12=0,"",VLOOKUP($A12,'00_Mat'!$A$4:$J$1135,2,FALSE))</f>
        <v>Hierros ADN 420 Φ 16</v>
      </c>
      <c r="C12" s="92" t="str">
        <f>IF($A12=0,"",VLOOKUP($A12,'00_Mat'!$A$4:$J$1135,3,FALSE))</f>
        <v>u</v>
      </c>
      <c r="D12" s="229">
        <v>21.0</v>
      </c>
      <c r="E12" s="204"/>
      <c r="F12" s="206">
        <v>0.1</v>
      </c>
      <c r="G12" s="221">
        <f t="shared" si="1"/>
        <v>24</v>
      </c>
      <c r="H12" s="143">
        <f>IF($A12=0,"",VLOOKUP($A12,'00_Mat'!$A$4:$J$1135,5,FALSE))</f>
        <v>36603.12</v>
      </c>
      <c r="I12" s="143">
        <f t="shared" si="2"/>
        <v>878474.88</v>
      </c>
    </row>
    <row r="13" ht="14.25" customHeight="1">
      <c r="A13" s="20" t="s">
        <v>142</v>
      </c>
      <c r="B13" s="92" t="str">
        <f>IF($A13=0,"",VLOOKUP($A13,'00_Mat'!$A$4:$J$1135,2,FALSE))</f>
        <v>Hierros ADN 420 Φ 20</v>
      </c>
      <c r="C13" s="92" t="str">
        <f>IF($A13=0,"",VLOOKUP($A13,'00_Mat'!$A$4:$J$1135,3,FALSE))</f>
        <v>U</v>
      </c>
      <c r="D13" s="229">
        <v>9.0</v>
      </c>
      <c r="E13" s="204"/>
      <c r="F13" s="206">
        <v>0.1</v>
      </c>
      <c r="G13" s="221">
        <f t="shared" si="1"/>
        <v>10</v>
      </c>
      <c r="H13" s="143">
        <f>IF($A13=0,"",VLOOKUP($A13,'00_Mat'!$A$4:$J$1135,5,FALSE))</f>
        <v>55000</v>
      </c>
      <c r="I13" s="143">
        <f t="shared" si="2"/>
        <v>550000</v>
      </c>
    </row>
    <row r="14" ht="14.25" customHeight="1">
      <c r="A14" s="3" t="s">
        <v>300</v>
      </c>
      <c r="B14" s="92" t="str">
        <f>IF($A14=0,"",VLOOKUP($A14,'00_Mat'!$A$4:$J$1135,2,FALSE))</f>
        <v>Fenolico 18mm Miraluz 125 GR con film</v>
      </c>
      <c r="C14" s="92" t="str">
        <f>IF($A14=0,"",VLOOKUP($A14,'00_Mat'!$A$4:$J$1135,3,FALSE))</f>
        <v>u</v>
      </c>
      <c r="D14" s="229"/>
      <c r="E14" s="204"/>
      <c r="F14" s="236">
        <v>0.25</v>
      </c>
      <c r="G14" s="221">
        <f t="shared" si="1"/>
        <v>0</v>
      </c>
      <c r="H14" s="143">
        <f>IF($A14=0,"",VLOOKUP($A14,'00_Mat'!$A$4:$J$1135,5,FALSE))</f>
        <v>55260</v>
      </c>
      <c r="I14" s="143">
        <f t="shared" si="2"/>
        <v>0</v>
      </c>
      <c r="J14" s="153" t="s">
        <v>1029</v>
      </c>
    </row>
    <row r="15" ht="14.25" customHeight="1">
      <c r="A15" s="3" t="s">
        <v>303</v>
      </c>
      <c r="B15" s="92" t="str">
        <f>IF($A15=0,"",VLOOKUP($A15,'00_Mat'!$A$4:$J$1135,2,FALSE))</f>
        <v>Fenolico 18mm Grandis 2 Buenas cal 3/3</v>
      </c>
      <c r="C15" s="92" t="str">
        <f>IF($A15=0,"",VLOOKUP($A15,'00_Mat'!$A$4:$J$1135,3,FALSE))</f>
        <v>u</v>
      </c>
      <c r="D15" s="229">
        <f>77/2</f>
        <v>38.5</v>
      </c>
      <c r="E15" s="204"/>
      <c r="F15" s="236">
        <v>0.25</v>
      </c>
      <c r="G15" s="221">
        <f t="shared" si="1"/>
        <v>49</v>
      </c>
      <c r="H15" s="143">
        <f>IF($A15=0,"",VLOOKUP($A15,'00_Mat'!$A$4:$J$1135,5,FALSE))</f>
        <v>45454</v>
      </c>
      <c r="I15" s="143">
        <f t="shared" si="2"/>
        <v>2227246</v>
      </c>
      <c r="J15" s="153" t="s">
        <v>1030</v>
      </c>
    </row>
    <row r="16" ht="14.25" customHeight="1">
      <c r="A16" s="204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04"/>
      <c r="E16" s="204"/>
      <c r="F16" s="206"/>
      <c r="G16" s="221">
        <f t="shared" si="1"/>
        <v>0</v>
      </c>
      <c r="H16" s="143" t="str">
        <f>IF($A16=0,"",VLOOKUP($A16,'00_Mat'!$A$4:$J$1135,5,FALSE))</f>
        <v/>
      </c>
      <c r="I16" s="143"/>
    </row>
    <row r="17" ht="14.25" customHeight="1">
      <c r="A17" s="204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04"/>
      <c r="E17" s="204"/>
      <c r="F17" s="206"/>
      <c r="G17" s="221">
        <f t="shared" si="1"/>
        <v>0</v>
      </c>
      <c r="H17" s="143" t="str">
        <f>IF($A17=0,"",VLOOKUP($A17,'00_Mat'!$A$4:$J$1135,5,FALSE))</f>
        <v/>
      </c>
      <c r="I17" s="143"/>
    </row>
    <row r="18" ht="14.25" customHeight="1">
      <c r="A18" s="204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04"/>
      <c r="E18" s="204"/>
      <c r="F18" s="206"/>
      <c r="G18" s="221">
        <f t="shared" si="1"/>
        <v>0</v>
      </c>
      <c r="H18" s="143" t="str">
        <f>IF($A18=0,"",VLOOKUP($A18,'00_Mat'!$A$4:$J$1135,5,FALSE))</f>
        <v/>
      </c>
      <c r="I18" s="143"/>
    </row>
    <row r="19" ht="14.25" customHeight="1">
      <c r="F19" s="208"/>
      <c r="G19" s="3"/>
      <c r="H19" s="143"/>
      <c r="I19" s="143"/>
    </row>
    <row r="20" ht="14.25" customHeight="1">
      <c r="A20" s="222" t="s">
        <v>996</v>
      </c>
      <c r="B20" s="223"/>
      <c r="C20" s="223"/>
      <c r="D20" s="223"/>
      <c r="E20" s="223"/>
      <c r="F20" s="223"/>
      <c r="G20" s="211"/>
      <c r="H20" s="223"/>
      <c r="I20" s="224">
        <f>SUM(I7:I18)</f>
        <v>8631493.88</v>
      </c>
      <c r="J20" s="92"/>
      <c r="K20" s="92"/>
      <c r="L20" s="92"/>
    </row>
    <row r="21" ht="14.25" customHeight="1">
      <c r="A21" s="232" t="str">
        <f>$I$3</f>
        <v>m³</v>
      </c>
      <c r="B21" s="233"/>
      <c r="C21" s="233"/>
      <c r="D21" s="233"/>
      <c r="E21" s="233"/>
      <c r="F21" s="233"/>
      <c r="G21" s="21"/>
      <c r="H21" s="233"/>
      <c r="I21" s="205">
        <f>$H$3</f>
        <v>16</v>
      </c>
      <c r="J21" s="92"/>
      <c r="K21" s="92"/>
      <c r="L21" s="92"/>
    </row>
    <row r="22" ht="14.25" customHeight="1">
      <c r="A22" s="234" t="s">
        <v>997</v>
      </c>
      <c r="B22" s="232" t="str">
        <f>A21</f>
        <v>m³</v>
      </c>
      <c r="C22" s="233"/>
      <c r="D22" s="233"/>
      <c r="E22" s="233"/>
      <c r="F22" s="233"/>
      <c r="G22" s="21"/>
      <c r="H22" s="233"/>
      <c r="I22" s="235">
        <f>I20/I21</f>
        <v>539468.3675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01" t="s">
        <v>998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02" t="s">
        <v>988</v>
      </c>
      <c r="B26" s="202" t="s">
        <v>989</v>
      </c>
      <c r="C26" s="202" t="s">
        <v>990</v>
      </c>
      <c r="D26" s="202" t="s">
        <v>991</v>
      </c>
      <c r="E26" s="202" t="s">
        <v>999</v>
      </c>
      <c r="F26" s="202" t="s">
        <v>992</v>
      </c>
      <c r="G26" s="4" t="s">
        <v>993</v>
      </c>
      <c r="H26" s="202" t="s">
        <v>994</v>
      </c>
      <c r="I26" s="202" t="s">
        <v>995</v>
      </c>
    </row>
    <row r="27" ht="14.25" customHeight="1">
      <c r="A27" s="61" t="s">
        <v>621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29">
        <v>1.0</v>
      </c>
      <c r="E27" s="229">
        <v>14.0</v>
      </c>
      <c r="F27" s="236">
        <v>0.25</v>
      </c>
      <c r="G27" s="217">
        <f t="shared" ref="G27:G32" si="3">ROUNDUP(((D27*E27)*(1+F27)),0)</f>
        <v>18</v>
      </c>
      <c r="H27" s="143">
        <f>IF($A27=0,"",VLOOKUP($A27,'00_MO'!$A$4:$D$7,4,FALSE))</f>
        <v>120000</v>
      </c>
      <c r="I27" s="143">
        <f t="shared" ref="I27:I30" si="4">G27*H27</f>
        <v>2160000</v>
      </c>
    </row>
    <row r="28" ht="14.25" customHeight="1">
      <c r="A28" s="61" t="s">
        <v>623</v>
      </c>
      <c r="B28" s="92" t="str">
        <f>IF($A28=0,"",VLOOKUP($A28,'00_MO'!$A$4:$D$7,2,FALSE))</f>
        <v>Puntero</v>
      </c>
      <c r="C28" s="92" t="str">
        <f>IF($A28=0,"",VLOOKUP($A28,'00_MO'!$A$4:$D$7,3,FALSE))</f>
        <v>u</v>
      </c>
      <c r="D28" s="229">
        <v>2.0</v>
      </c>
      <c r="E28" s="229">
        <v>14.0</v>
      </c>
      <c r="F28" s="236">
        <v>0.25</v>
      </c>
      <c r="G28" s="217">
        <f t="shared" si="3"/>
        <v>35</v>
      </c>
      <c r="H28" s="143">
        <f>IF($A28=0,"",VLOOKUP($A28,'00_MO'!$A$4:$D$7,4,FALSE))</f>
        <v>105000</v>
      </c>
      <c r="I28" s="143">
        <f t="shared" si="4"/>
        <v>3675000</v>
      </c>
    </row>
    <row r="29" ht="14.25" customHeight="1">
      <c r="A29" s="61" t="s">
        <v>625</v>
      </c>
      <c r="B29" s="92" t="str">
        <f>IF($A29=0,"",VLOOKUP($A29,'00_MO'!$A$4:$D$7,2,FALSE))</f>
        <v>Oficial</v>
      </c>
      <c r="C29" s="92" t="str">
        <f>IF($A29=0,"",VLOOKUP($A29,'00_MO'!$A$4:$D$7,3,FALSE))</f>
        <v>u</v>
      </c>
      <c r="D29" s="229">
        <v>3.0</v>
      </c>
      <c r="E29" s="229">
        <v>14.0</v>
      </c>
      <c r="F29" s="236">
        <v>0.25</v>
      </c>
      <c r="G29" s="217">
        <f t="shared" si="3"/>
        <v>53</v>
      </c>
      <c r="H29" s="143">
        <f>IF($A29=0,"",VLOOKUP($A29,'00_MO'!$A$4:$D$7,4,FALSE))</f>
        <v>90000</v>
      </c>
      <c r="I29" s="143">
        <f t="shared" si="4"/>
        <v>4770000</v>
      </c>
    </row>
    <row r="30" ht="14.25" customHeight="1">
      <c r="A30" s="61" t="s">
        <v>627</v>
      </c>
      <c r="B30" s="92" t="str">
        <f>IF($A30=0,"",VLOOKUP($A30,'00_MO'!$A$4:$D$7,2,FALSE))</f>
        <v>Ayudante</v>
      </c>
      <c r="C30" s="92" t="str">
        <f>IF($A30=0,"",VLOOKUP($A30,'00_MO'!$A$4:$D$7,3,FALSE))</f>
        <v>u</v>
      </c>
      <c r="D30" s="229">
        <v>3.0</v>
      </c>
      <c r="E30" s="229">
        <v>14.0</v>
      </c>
      <c r="F30" s="236">
        <v>0.25</v>
      </c>
      <c r="G30" s="217">
        <f t="shared" si="3"/>
        <v>53</v>
      </c>
      <c r="H30" s="143">
        <f>IF($A30=0,"",VLOOKUP($A30,'00_MO'!$A$4:$D$7,4,FALSE))</f>
        <v>60000</v>
      </c>
      <c r="I30" s="143">
        <f t="shared" si="4"/>
        <v>3180000</v>
      </c>
    </row>
    <row r="31" ht="14.25" customHeight="1">
      <c r="A31" s="204"/>
      <c r="B31" s="92" t="str">
        <f>IF($A31=0,"",VLOOKUP($A31,'00_MO'!$A$4:$D$7,2,FALSE))</f>
        <v/>
      </c>
      <c r="C31" s="92" t="str">
        <f>IF($A31=0,"",VLOOKUP($A31,'00_MO'!$A$4:$D$7,3,FALSE))</f>
        <v/>
      </c>
      <c r="D31" s="204"/>
      <c r="E31" s="204"/>
      <c r="F31" s="206"/>
      <c r="G31" s="217">
        <f t="shared" si="3"/>
        <v>0</v>
      </c>
      <c r="H31" s="143" t="str">
        <f>IF($A31=0,"",VLOOKUP($A31,'00_MO'!$A$4:$D$7,4,FALSE))</f>
        <v/>
      </c>
      <c r="I31" s="143"/>
    </row>
    <row r="32" ht="14.25" customHeight="1">
      <c r="A32" s="204"/>
      <c r="B32" s="92" t="str">
        <f>IF($A32=0,"",VLOOKUP($A32,'00_MO'!$A$4:$D$7,2,FALSE))</f>
        <v/>
      </c>
      <c r="C32" s="92" t="str">
        <f>IF($A32=0,"",VLOOKUP($A32,'00_MO'!$A$4:$D$7,3,FALSE))</f>
        <v/>
      </c>
      <c r="D32" s="204"/>
      <c r="E32" s="204"/>
      <c r="F32" s="206"/>
      <c r="G32" s="217">
        <f t="shared" si="3"/>
        <v>0</v>
      </c>
      <c r="H32" s="143" t="str">
        <f>IF($A32=0,"",VLOOKUP($A32,'00_MO'!$A$4:$D$7,4,FALSE))</f>
        <v/>
      </c>
      <c r="I32" s="143"/>
    </row>
    <row r="33" ht="14.25" customHeight="1">
      <c r="F33" s="208"/>
      <c r="G33" s="3"/>
      <c r="H33" s="143"/>
      <c r="I33" s="143"/>
    </row>
    <row r="34" ht="14.25" customHeight="1">
      <c r="A34" s="222" t="s">
        <v>987</v>
      </c>
      <c r="B34" s="223"/>
      <c r="C34" s="223"/>
      <c r="D34" s="223"/>
      <c r="E34" s="223"/>
      <c r="F34" s="223"/>
      <c r="G34" s="211"/>
      <c r="H34" s="223"/>
      <c r="I34" s="224">
        <f>SUM(I27:I32)</f>
        <v>13785000</v>
      </c>
    </row>
    <row r="35" ht="14.25" customHeight="1">
      <c r="A35" s="232" t="str">
        <f>$I$3</f>
        <v>m³</v>
      </c>
      <c r="B35" s="233"/>
      <c r="C35" s="233"/>
      <c r="D35" s="233"/>
      <c r="E35" s="233"/>
      <c r="F35" s="233"/>
      <c r="G35" s="21"/>
      <c r="H35" s="233"/>
      <c r="I35" s="205">
        <f>$H$3</f>
        <v>16</v>
      </c>
      <c r="J35" s="92"/>
      <c r="K35" s="92"/>
      <c r="L35" s="92"/>
    </row>
    <row r="36" ht="14.25" customHeight="1">
      <c r="A36" s="234" t="s">
        <v>997</v>
      </c>
      <c r="B36" s="232" t="str">
        <f>A35</f>
        <v>m³</v>
      </c>
      <c r="C36" s="233"/>
      <c r="D36" s="233"/>
      <c r="E36" s="233"/>
      <c r="F36" s="233"/>
      <c r="G36" s="21"/>
      <c r="H36" s="233"/>
      <c r="I36" s="235">
        <f>I34/I35</f>
        <v>861562.5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01" t="s">
        <v>1000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02" t="s">
        <v>988</v>
      </c>
      <c r="B40" s="202" t="s">
        <v>989</v>
      </c>
      <c r="C40" s="202" t="s">
        <v>990</v>
      </c>
      <c r="D40" s="202" t="s">
        <v>991</v>
      </c>
      <c r="E40" s="202" t="s">
        <v>999</v>
      </c>
      <c r="F40" s="202" t="s">
        <v>992</v>
      </c>
      <c r="G40" s="4" t="s">
        <v>993</v>
      </c>
      <c r="H40" s="202" t="s">
        <v>994</v>
      </c>
      <c r="I40" s="202" t="s">
        <v>995</v>
      </c>
    </row>
    <row r="41" ht="14.25" customHeight="1">
      <c r="A41" s="3"/>
      <c r="B41" s="92" t="str">
        <f>IF($A41=0,"",VLOOKUP($A41,'00_Mat'!$A$4:$J$1135,2,FALSE))</f>
        <v/>
      </c>
      <c r="C41" s="92" t="str">
        <f>IF($A41=0,"",VLOOKUP($A41,'00_Mat'!$A$4:$J$1135,3,FALSE))</f>
        <v/>
      </c>
      <c r="D41" s="230"/>
      <c r="E41" s="204"/>
      <c r="F41" s="236"/>
      <c r="G41" s="221">
        <f t="shared" ref="G41:G45" si="5">ROUNDUP((D41+(D41*F41)),0)</f>
        <v>0</v>
      </c>
      <c r="H41" s="143" t="str">
        <f>IF($A41=0,"",VLOOKUP($A41,'00_Mat'!$A$4:$J$1135,5,FALSE))</f>
        <v/>
      </c>
      <c r="I41" s="143">
        <f t="shared" ref="I41:I46" si="6">G41*H41</f>
        <v>0</v>
      </c>
      <c r="J41" s="237"/>
    </row>
    <row r="42" ht="14.25" customHeight="1">
      <c r="A42" s="3"/>
      <c r="B42" s="92" t="str">
        <f>IF($A42=0,"",VLOOKUP($A42,'00_Mat'!$A$4:$J$1135,2,FALSE))</f>
        <v/>
      </c>
      <c r="C42" s="92" t="str">
        <f>IF($A42=0,"",VLOOKUP($A42,'00_Mat'!$A$4:$J$1135,3,FALSE))</f>
        <v/>
      </c>
      <c r="D42" s="230"/>
      <c r="E42" s="204"/>
      <c r="F42" s="236"/>
      <c r="G42" s="221">
        <f t="shared" si="5"/>
        <v>0</v>
      </c>
      <c r="H42" s="143" t="str">
        <f>IF($A42=0,"",VLOOKUP($A42,'00_Mat'!$A$4:$J$1135,5,FALSE))</f>
        <v/>
      </c>
      <c r="I42" s="143">
        <f t="shared" si="6"/>
        <v>0</v>
      </c>
      <c r="J42" s="237"/>
    </row>
    <row r="43" ht="14.25" customHeight="1">
      <c r="A43" s="3"/>
      <c r="B43" s="92" t="str">
        <f>IF($A43=0,"",VLOOKUP($A43,'00_Mat'!$A$4:$J$1135,2,FALSE))</f>
        <v/>
      </c>
      <c r="C43" s="92" t="str">
        <f>IF($A43=0,"",VLOOKUP($A43,'00_Mat'!$A$4:$J$1135,3,FALSE))</f>
        <v/>
      </c>
      <c r="D43" s="230"/>
      <c r="E43" s="204"/>
      <c r="F43" s="236"/>
      <c r="G43" s="221">
        <f t="shared" si="5"/>
        <v>0</v>
      </c>
      <c r="H43" s="143" t="str">
        <f>IF($A43=0,"",VLOOKUP($A43,'00_Mat'!$A$4:$J$1135,5,FALSE))</f>
        <v/>
      </c>
      <c r="I43" s="143">
        <f t="shared" si="6"/>
        <v>0</v>
      </c>
    </row>
    <row r="44" ht="14.25" customHeight="1">
      <c r="A44" s="20"/>
      <c r="B44" s="92" t="str">
        <f>IF($A44=0,"",VLOOKUP($A44,'00_Mat'!$A$4:$J$1135,2,FALSE))</f>
        <v/>
      </c>
      <c r="C44" s="92" t="str">
        <f>IF($A44=0,"",VLOOKUP($A44,'00_Mat'!$A$4:$J$1135,3,FALSE))</f>
        <v/>
      </c>
      <c r="D44" s="230"/>
      <c r="E44" s="204"/>
      <c r="F44" s="236"/>
      <c r="G44" s="221">
        <f t="shared" si="5"/>
        <v>0</v>
      </c>
      <c r="H44" s="143" t="str">
        <f>IF($A44=0,"",VLOOKUP($A44,'00_Mat'!$A$4:$J$1135,5,FALSE))</f>
        <v/>
      </c>
      <c r="I44" s="143">
        <f t="shared" si="6"/>
        <v>0</v>
      </c>
    </row>
    <row r="45" ht="14.25" customHeight="1">
      <c r="B45" s="194" t="str">
        <f>IF($A45=0,"",VLOOKUP($A45,'00_Mat'!$A$4:$J$1135,2,FALSE))</f>
        <v/>
      </c>
      <c r="C45" s="92" t="str">
        <f>IF($A45=0,"",VLOOKUP($A45,'00_Mat'!$A$4:$J$1135,3,FALSE))</f>
        <v/>
      </c>
      <c r="D45" s="230"/>
      <c r="E45" s="204"/>
      <c r="F45" s="236"/>
      <c r="G45" s="221">
        <f t="shared" si="5"/>
        <v>0</v>
      </c>
      <c r="H45" s="231"/>
      <c r="I45" s="143">
        <f t="shared" si="6"/>
        <v>0</v>
      </c>
      <c r="M45" s="153"/>
    </row>
    <row r="46" ht="14.25" customHeight="1">
      <c r="A46" s="204"/>
      <c r="B46" s="92" t="str">
        <f>IF($A46=0,"",VLOOKUP($A46,'00_Mat'!$A$4:$J$1135,2,FALSE))</f>
        <v/>
      </c>
      <c r="C46" s="92" t="str">
        <f>IF($A46=0,"",VLOOKUP($A46,'00_Mat'!$A$4:$J$1135,3,FALSE))</f>
        <v/>
      </c>
      <c r="D46" s="204"/>
      <c r="E46" s="204"/>
      <c r="F46" s="236"/>
      <c r="G46" s="217">
        <f>ROUNDUP(((D46*E46)*(1+F46)),0)</f>
        <v>0</v>
      </c>
      <c r="H46" s="143" t="str">
        <f>IF($A46=0,"",VLOOKUP($A46,'00_Mat'!$A$4:$J$1135,5,FALSE))</f>
        <v/>
      </c>
      <c r="I46" s="143">
        <f t="shared" si="6"/>
        <v>0</v>
      </c>
    </row>
    <row r="47" ht="14.25" customHeight="1">
      <c r="F47" s="208"/>
      <c r="G47" s="3"/>
      <c r="H47" s="143"/>
      <c r="I47" s="143"/>
    </row>
    <row r="48" ht="14.25" customHeight="1">
      <c r="A48" s="222" t="s">
        <v>987</v>
      </c>
      <c r="B48" s="223"/>
      <c r="C48" s="223"/>
      <c r="D48" s="223"/>
      <c r="E48" s="223"/>
      <c r="F48" s="223"/>
      <c r="G48" s="211"/>
      <c r="H48" s="223"/>
      <c r="I48" s="224">
        <f>SUM(I41:I46)</f>
        <v>0</v>
      </c>
    </row>
    <row r="49" ht="14.25" customHeight="1">
      <c r="A49" s="232" t="str">
        <f>$I$3</f>
        <v>m³</v>
      </c>
      <c r="B49" s="233"/>
      <c r="C49" s="233"/>
      <c r="D49" s="233"/>
      <c r="E49" s="233"/>
      <c r="F49" s="233"/>
      <c r="G49" s="21"/>
      <c r="H49" s="233"/>
      <c r="I49" s="205">
        <f>$H$3</f>
        <v>16</v>
      </c>
      <c r="J49" s="92"/>
      <c r="K49" s="92"/>
      <c r="L49" s="92"/>
    </row>
    <row r="50" ht="14.25" customHeight="1">
      <c r="A50" s="234" t="s">
        <v>997</v>
      </c>
      <c r="B50" s="232" t="str">
        <f>A49</f>
        <v>m³</v>
      </c>
      <c r="C50" s="233"/>
      <c r="D50" s="233"/>
      <c r="E50" s="233"/>
      <c r="F50" s="233"/>
      <c r="G50" s="21"/>
      <c r="H50" s="233"/>
      <c r="I50" s="235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01" t="s">
        <v>1010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02" t="s">
        <v>988</v>
      </c>
      <c r="B54" s="202" t="s">
        <v>989</v>
      </c>
      <c r="C54" s="202" t="s">
        <v>990</v>
      </c>
      <c r="D54" s="203" t="s">
        <v>991</v>
      </c>
      <c r="E54" s="197"/>
      <c r="F54" s="202" t="s">
        <v>992</v>
      </c>
      <c r="G54" s="4" t="s">
        <v>993</v>
      </c>
      <c r="H54" s="202" t="s">
        <v>994</v>
      </c>
      <c r="I54" s="202" t="s">
        <v>995</v>
      </c>
    </row>
    <row r="55" ht="14.25" customHeight="1">
      <c r="A55" s="3"/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30"/>
      <c r="E55" s="204"/>
      <c r="F55" s="236">
        <v>0.1</v>
      </c>
      <c r="G55" s="221">
        <f t="shared" ref="G55:G59" si="7">ROUNDUP((D55+(D55*F55)),0)</f>
        <v>0</v>
      </c>
      <c r="H55" s="143" t="str">
        <f>IF($A55=0,"",VLOOKUP($A55,'00_Mat'!$A$4:$J$1135,5,FALSE))</f>
        <v/>
      </c>
      <c r="I55" s="143">
        <f t="shared" ref="I55:I60" si="8">G55*H55</f>
        <v>0</v>
      </c>
      <c r="J55" s="237"/>
    </row>
    <row r="56" ht="14.25" customHeight="1">
      <c r="A56" s="3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0"/>
      <c r="E56" s="204"/>
      <c r="F56" s="236">
        <v>0.1</v>
      </c>
      <c r="G56" s="221">
        <f t="shared" si="7"/>
        <v>0</v>
      </c>
      <c r="H56" s="143" t="str">
        <f>IF($A56=0,"",VLOOKUP($A56,'00_Mat'!$A$4:$J$1135,5,FALSE))</f>
        <v/>
      </c>
      <c r="I56" s="143">
        <f t="shared" si="8"/>
        <v>0</v>
      </c>
      <c r="J56" s="237"/>
    </row>
    <row r="57" ht="14.25" customHeight="1">
      <c r="A57" s="3" t="s">
        <v>75</v>
      </c>
      <c r="B57" s="92" t="str">
        <f>IF($A57=0,"",VLOOKUP($A57,'00_Mat'!$A$4:$J$1135,2,FALSE))</f>
        <v>Clavos 2" punta paris (k)</v>
      </c>
      <c r="C57" s="92" t="str">
        <f>IF($A57=0,"",VLOOKUP($A57,'00_Mat'!$A$4:$J$1135,3,FALSE))</f>
        <v>k</v>
      </c>
      <c r="D57" s="230">
        <v>20.0</v>
      </c>
      <c r="E57" s="204"/>
      <c r="F57" s="236">
        <v>0.1</v>
      </c>
      <c r="G57" s="221">
        <f t="shared" si="7"/>
        <v>22</v>
      </c>
      <c r="H57" s="143">
        <f>IF($A57=0,"",VLOOKUP($A57,'00_Mat'!$A$4:$J$1135,5,FALSE))</f>
        <v>4500</v>
      </c>
      <c r="I57" s="143">
        <f t="shared" si="8"/>
        <v>99000</v>
      </c>
      <c r="J57" s="153" t="s">
        <v>1013</v>
      </c>
    </row>
    <row r="58" ht="14.25" customHeight="1">
      <c r="A58" s="20" t="s">
        <v>81</v>
      </c>
      <c r="B58" s="92" t="str">
        <f>IF($A58=0,"",VLOOKUP($A58,'00_Mat'!$A$4:$J$1135,2,FALSE))</f>
        <v>Alambre Fardo (50 k)</v>
      </c>
      <c r="C58" s="92" t="str">
        <f>IF($A58=0,"",VLOOKUP($A58,'00_Mat'!$A$4:$J$1135,3,FALSE))</f>
        <v>k</v>
      </c>
      <c r="D58" s="230">
        <v>1.0</v>
      </c>
      <c r="E58" s="204"/>
      <c r="F58" s="236">
        <v>0.0</v>
      </c>
      <c r="G58" s="221">
        <f t="shared" si="7"/>
        <v>1</v>
      </c>
      <c r="H58" s="143">
        <f>IF($A58=0,"",VLOOKUP($A58,'00_Mat'!$A$4:$J$1135,5,FALSE))</f>
        <v>220000</v>
      </c>
      <c r="I58" s="143">
        <f t="shared" si="8"/>
        <v>220000</v>
      </c>
      <c r="J58" s="153" t="s">
        <v>1033</v>
      </c>
    </row>
    <row r="59" ht="14.25" customHeight="1">
      <c r="B59" s="194" t="str">
        <f>IF($A59=0,"",VLOOKUP($A59,'00_Mat'!$A$4:$J$1135,2,FALSE))</f>
        <v/>
      </c>
      <c r="C59" s="92" t="str">
        <f>IF($A59=0,"",VLOOKUP($A59,'00_Mat'!$A$4:$J$1135,3,FALSE))</f>
        <v/>
      </c>
      <c r="D59" s="230"/>
      <c r="E59" s="204"/>
      <c r="F59" s="236">
        <v>0.1</v>
      </c>
      <c r="G59" s="221">
        <f t="shared" si="7"/>
        <v>0</v>
      </c>
      <c r="H59" s="231"/>
      <c r="I59" s="143">
        <f t="shared" si="8"/>
        <v>0</v>
      </c>
      <c r="M59" s="153"/>
    </row>
    <row r="60" ht="14.25" customHeight="1">
      <c r="A60" s="204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04"/>
      <c r="E60" s="204"/>
      <c r="F60" s="236">
        <v>0.1</v>
      </c>
      <c r="G60" s="217">
        <f>ROUNDUP(((D60*E60)*(1+F60)),0)</f>
        <v>0</v>
      </c>
      <c r="H60" s="143" t="str">
        <f>IF($A60=0,"",VLOOKUP($A60,'00_Mat'!$A$4:$J$1135,5,FALSE))</f>
        <v/>
      </c>
      <c r="I60" s="143">
        <f t="shared" si="8"/>
        <v>0</v>
      </c>
    </row>
    <row r="61" ht="14.25" customHeight="1">
      <c r="F61" s="208"/>
      <c r="G61" s="3"/>
      <c r="H61" s="143"/>
      <c r="I61" s="143"/>
    </row>
    <row r="62" ht="14.25" customHeight="1">
      <c r="A62" s="222" t="s">
        <v>987</v>
      </c>
      <c r="B62" s="223"/>
      <c r="C62" s="223"/>
      <c r="D62" s="223"/>
      <c r="E62" s="223"/>
      <c r="F62" s="223"/>
      <c r="G62" s="211"/>
      <c r="H62" s="223"/>
      <c r="I62" s="224">
        <f>SUM(I55:I60)</f>
        <v>319000</v>
      </c>
    </row>
    <row r="63" ht="14.25" customHeight="1">
      <c r="A63" s="232" t="str">
        <f>$I$3</f>
        <v>m³</v>
      </c>
      <c r="B63" s="233"/>
      <c r="C63" s="233"/>
      <c r="D63" s="233"/>
      <c r="E63" s="233"/>
      <c r="F63" s="233"/>
      <c r="G63" s="21"/>
      <c r="H63" s="233"/>
      <c r="I63" s="205">
        <f>$H$3</f>
        <v>16</v>
      </c>
      <c r="J63" s="92"/>
      <c r="K63" s="92"/>
      <c r="L63" s="92"/>
    </row>
    <row r="64" ht="14.25" customHeight="1">
      <c r="A64" s="234" t="s">
        <v>997</v>
      </c>
      <c r="B64" s="232" t="str">
        <f>A63</f>
        <v>m³</v>
      </c>
      <c r="C64" s="233"/>
      <c r="D64" s="233"/>
      <c r="E64" s="233"/>
      <c r="F64" s="233"/>
      <c r="G64" s="21"/>
      <c r="H64" s="233"/>
      <c r="I64" s="235">
        <f>I62/I63</f>
        <v>19937.5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01" t="s">
        <v>1025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02" t="s">
        <v>988</v>
      </c>
      <c r="B68" s="202" t="s">
        <v>989</v>
      </c>
      <c r="C68" s="202" t="s">
        <v>990</v>
      </c>
      <c r="D68" s="202" t="s">
        <v>991</v>
      </c>
      <c r="E68" s="202" t="s">
        <v>999</v>
      </c>
      <c r="F68" s="202" t="s">
        <v>992</v>
      </c>
      <c r="G68" s="4" t="s">
        <v>993</v>
      </c>
      <c r="H68" s="202" t="s">
        <v>994</v>
      </c>
      <c r="I68" s="202" t="s">
        <v>995</v>
      </c>
    </row>
    <row r="69" ht="14.25" customHeight="1">
      <c r="A69" s="204"/>
      <c r="B69" s="92" t="str">
        <f>IF($A69=0,"",VLOOKUP($A69,'00_Sub'!$A$4:$D$1007,2,FALSE))</f>
        <v/>
      </c>
      <c r="C69" s="92" t="str">
        <f>IF($A69=0,"",VLOOKUP($A69,'00_Sub'!$A$4:$D$1007,3,FALSE))</f>
        <v/>
      </c>
      <c r="D69" s="204"/>
      <c r="E69" s="204"/>
      <c r="F69" s="206"/>
      <c r="G69" s="221">
        <f t="shared" ref="G69:G74" si="9">ROUNDUP((D69+(D69*F69)),0)</f>
        <v>0</v>
      </c>
      <c r="H69" s="143" t="str">
        <f>IF($A69=0,"",VLOOKUP($A69,'00_Sub'!$A$4:$D$1007,4,FALSE))</f>
        <v/>
      </c>
      <c r="I69" s="143"/>
    </row>
    <row r="70" ht="14.25" customHeight="1">
      <c r="A70" s="204"/>
      <c r="B70" s="92" t="str">
        <f>IF($A70=0,"",VLOOKUP($A70,'00_Sub'!$A$4:$D$1007,2,FALSE))</f>
        <v/>
      </c>
      <c r="C70" s="92" t="str">
        <f>IF($A70=0,"",VLOOKUP($A70,'00_Sub'!$A$4:$D$1007,3,FALSE))</f>
        <v/>
      </c>
      <c r="D70" s="204"/>
      <c r="E70" s="204"/>
      <c r="F70" s="206"/>
      <c r="G70" s="221">
        <f t="shared" si="9"/>
        <v>0</v>
      </c>
      <c r="H70" s="143" t="str">
        <f>IF($A70=0,"",VLOOKUP($A70,'00_Sub'!$A$4:$D$1007,4,FALSE))</f>
        <v/>
      </c>
      <c r="I70" s="143"/>
    </row>
    <row r="71" ht="14.25" customHeight="1">
      <c r="A71" s="204"/>
      <c r="B71" s="92" t="str">
        <f>IF($A71=0,"",VLOOKUP($A71,'00_Sub'!$A$4:$D$1007,2,FALSE))</f>
        <v/>
      </c>
      <c r="C71" s="92" t="str">
        <f>IF($A71=0,"",VLOOKUP($A71,'00_Sub'!$A$4:$D$1007,3,FALSE))</f>
        <v/>
      </c>
      <c r="D71" s="204"/>
      <c r="E71" s="204"/>
      <c r="F71" s="206"/>
      <c r="G71" s="221">
        <f t="shared" si="9"/>
        <v>0</v>
      </c>
      <c r="H71" s="143" t="str">
        <f>IF($A71=0,"",VLOOKUP($A71,'00_Sub'!$A$4:$D$1007,4,FALSE))</f>
        <v/>
      </c>
      <c r="I71" s="143"/>
    </row>
    <row r="72" ht="14.25" customHeight="1">
      <c r="A72" s="204"/>
      <c r="B72" s="92" t="str">
        <f>IF($A72=0,"",VLOOKUP($A72,'00_Sub'!$A$4:$D$1007,2,FALSE))</f>
        <v/>
      </c>
      <c r="C72" s="92" t="str">
        <f>IF($A72=0,"",VLOOKUP($A72,'00_Sub'!$A$4:$D$1007,3,FALSE))</f>
        <v/>
      </c>
      <c r="D72" s="204"/>
      <c r="E72" s="204"/>
      <c r="F72" s="206"/>
      <c r="G72" s="221">
        <f t="shared" si="9"/>
        <v>0</v>
      </c>
      <c r="H72" s="143" t="str">
        <f>IF($A72=0,"",VLOOKUP($A72,'00_Sub'!$A$4:$D$1007,4,FALSE))</f>
        <v/>
      </c>
      <c r="I72" s="143"/>
    </row>
    <row r="73" ht="14.25" customHeight="1">
      <c r="A73" s="204"/>
      <c r="B73" s="92" t="str">
        <f>IF($A73=0,"",VLOOKUP($A73,'00_Sub'!$A$4:$D$1007,2,FALSE))</f>
        <v/>
      </c>
      <c r="C73" s="92" t="str">
        <f>IF($A73=0,"",VLOOKUP($A73,'00_Sub'!$A$4:$D$1007,3,FALSE))</f>
        <v/>
      </c>
      <c r="D73" s="204"/>
      <c r="E73" s="204"/>
      <c r="F73" s="206"/>
      <c r="G73" s="221">
        <f t="shared" si="9"/>
        <v>0</v>
      </c>
      <c r="H73" s="143" t="str">
        <f>IF($A73=0,"",VLOOKUP($A73,'00_Sub'!$A$4:$D$1007,4,FALSE))</f>
        <v/>
      </c>
      <c r="I73" s="143"/>
    </row>
    <row r="74" ht="14.25" customHeight="1">
      <c r="A74" s="204"/>
      <c r="B74" s="92" t="str">
        <f>IF($A74=0,"",VLOOKUP($A74,'00_Sub'!$A$4:$D$1007,2,FALSE))</f>
        <v/>
      </c>
      <c r="C74" s="92" t="str">
        <f>IF($A74=0,"",VLOOKUP($A74,'00_Sub'!$A$4:$D$1007,3,FALSE))</f>
        <v/>
      </c>
      <c r="D74" s="204"/>
      <c r="E74" s="204"/>
      <c r="F74" s="206"/>
      <c r="G74" s="221">
        <f t="shared" si="9"/>
        <v>0</v>
      </c>
      <c r="H74" s="143" t="str">
        <f>IF($A74=0,"",VLOOKUP($A74,'00_Sub'!$A$4:$D$1007,4,FALSE))</f>
        <v/>
      </c>
      <c r="I74" s="143"/>
    </row>
    <row r="75" ht="14.25" customHeight="1">
      <c r="F75" s="208"/>
      <c r="G75" s="3"/>
      <c r="H75" s="143"/>
      <c r="I75" s="143"/>
    </row>
    <row r="76" ht="14.25" customHeight="1">
      <c r="A76" s="222" t="s">
        <v>987</v>
      </c>
      <c r="B76" s="223"/>
      <c r="C76" s="223"/>
      <c r="D76" s="223"/>
      <c r="E76" s="223"/>
      <c r="F76" s="223"/>
      <c r="G76" s="211"/>
      <c r="H76" s="223"/>
      <c r="I76" s="224">
        <f>SUM(I69:I74)</f>
        <v>0</v>
      </c>
    </row>
    <row r="77" ht="14.25" customHeight="1">
      <c r="A77" s="232" t="str">
        <f>$I$3</f>
        <v>m³</v>
      </c>
      <c r="B77" s="233"/>
      <c r="C77" s="233"/>
      <c r="D77" s="233"/>
      <c r="E77" s="233"/>
      <c r="F77" s="233"/>
      <c r="G77" s="21"/>
      <c r="H77" s="233"/>
      <c r="I77" s="205">
        <f>$H$3</f>
        <v>16</v>
      </c>
      <c r="J77" s="92"/>
      <c r="K77" s="92"/>
      <c r="L77" s="92"/>
    </row>
    <row r="78" ht="14.25" customHeight="1">
      <c r="A78" s="234" t="s">
        <v>997</v>
      </c>
      <c r="B78" s="232" t="str">
        <f>A77</f>
        <v>m³</v>
      </c>
      <c r="C78" s="233"/>
      <c r="D78" s="233"/>
      <c r="E78" s="233"/>
      <c r="F78" s="233"/>
      <c r="G78" s="21"/>
      <c r="H78" s="233"/>
      <c r="I78" s="235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3">
    <mergeCell ref="B3:F3"/>
    <mergeCell ref="D6:E6"/>
    <mergeCell ref="D54:E54"/>
  </mergeCells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1" width="8.71"/>
    <col customWidth="1" min="12" max="12" width="10.14"/>
    <col customWidth="1" min="13" max="13" width="19.29"/>
  </cols>
  <sheetData>
    <row r="1" ht="33.75" customHeight="1">
      <c r="A1" s="91" t="str">
        <f>'01_C&amp;P'!A1</f>
        <v>EDIFICIO LAS HERAS</v>
      </c>
      <c r="B1" s="91"/>
      <c r="C1" s="91"/>
      <c r="G1" s="3"/>
    </row>
    <row r="2" ht="14.25" customHeight="1">
      <c r="G2" s="3"/>
    </row>
    <row r="3" ht="23.25" customHeight="1">
      <c r="A3" s="195">
        <f>'01_C&amp;P'!A29</f>
        <v>46082</v>
      </c>
      <c r="B3" s="196" t="str">
        <f>IF($A3=0,"",VLOOKUP($A3,'01_C&amp;P'!$A$9:$D$192,2,FALSE))</f>
        <v>LOSA</v>
      </c>
      <c r="C3" s="197"/>
      <c r="D3" s="197"/>
      <c r="E3" s="197"/>
      <c r="F3" s="197"/>
      <c r="G3" s="198"/>
      <c r="H3" s="199">
        <f>IF($A3=0,"",VLOOKUP($A3,'01_C&amp;P'!$A$9:$D$192,4,FALSE))</f>
        <v>57</v>
      </c>
      <c r="I3" s="200" t="str">
        <f>IF($A3=0,"",VLOOKUP($A3,'01_C&amp;P'!$A$9:$D$192,3,FALSE))</f>
        <v>m³</v>
      </c>
      <c r="M3" s="85" t="s">
        <v>1037</v>
      </c>
    </row>
    <row r="4" ht="14.25" customHeight="1">
      <c r="G4" s="3"/>
      <c r="M4" s="153"/>
    </row>
    <row r="5" ht="14.25" customHeight="1">
      <c r="A5" s="201" t="s">
        <v>0</v>
      </c>
      <c r="B5" s="94"/>
      <c r="C5" s="94"/>
      <c r="D5" s="94"/>
      <c r="E5" s="94"/>
      <c r="F5" s="94"/>
      <c r="G5" s="2"/>
      <c r="H5" s="94"/>
      <c r="I5" s="94"/>
    </row>
    <row r="6" ht="14.25" customHeight="1">
      <c r="A6" s="202" t="s">
        <v>988</v>
      </c>
      <c r="B6" s="202" t="s">
        <v>989</v>
      </c>
      <c r="C6" s="202" t="s">
        <v>990</v>
      </c>
      <c r="D6" s="203" t="s">
        <v>991</v>
      </c>
      <c r="E6" s="197"/>
      <c r="F6" s="202" t="s">
        <v>992</v>
      </c>
      <c r="G6" s="4" t="s">
        <v>993</v>
      </c>
      <c r="H6" s="202" t="s">
        <v>994</v>
      </c>
      <c r="I6" s="202" t="s">
        <v>995</v>
      </c>
    </row>
    <row r="7" ht="14.25" customHeight="1">
      <c r="A7" s="229" t="s">
        <v>560</v>
      </c>
      <c r="B7" s="92" t="str">
        <f>IF($A7=0,"",VLOOKUP($A7,'00_Mat'!$A$4:$J$1135,2,FALSE))</f>
        <v>Hormigon H30</v>
      </c>
      <c r="C7" s="92" t="str">
        <f>IF($A7=0,"",VLOOKUP($A7,'00_Mat'!$A$4:$J$1135,3,FALSE))</f>
        <v>m3</v>
      </c>
      <c r="D7" s="205">
        <f>H3</f>
        <v>57</v>
      </c>
      <c r="E7" s="204"/>
      <c r="F7" s="206">
        <v>0.1</v>
      </c>
      <c r="G7" s="221">
        <f t="shared" ref="G7:G18" si="1">ROUNDUP((D7+(D7*F7)),0)</f>
        <v>63</v>
      </c>
      <c r="H7" s="143">
        <f>IF($A7=0,"",VLOOKUP($A7,'00_Mat'!$A$4:$J$1135,5,FALSE))</f>
        <v>158000</v>
      </c>
      <c r="I7" s="143">
        <f t="shared" ref="I7:I17" si="2">G7*H7</f>
        <v>9954000</v>
      </c>
      <c r="J7" s="231" t="s">
        <v>548</v>
      </c>
      <c r="M7" s="153" t="s">
        <v>1038</v>
      </c>
    </row>
    <row r="8" ht="14.25" customHeight="1">
      <c r="A8" s="3" t="s">
        <v>132</v>
      </c>
      <c r="B8" s="92" t="str">
        <f>IF($A8=0,"",VLOOKUP($A8,'00_Mat'!$A$4:$J$1135,2,FALSE))</f>
        <v>Hierros ADN 420 Φ 6 </v>
      </c>
      <c r="C8" s="92" t="str">
        <f>IF($A8=0,"",VLOOKUP($A8,'00_Mat'!$A$4:$J$1135,3,FALSE))</f>
        <v>u</v>
      </c>
      <c r="D8" s="229">
        <v>32.0</v>
      </c>
      <c r="E8" s="204"/>
      <c r="F8" s="206">
        <v>0.1</v>
      </c>
      <c r="G8" s="221">
        <f t="shared" si="1"/>
        <v>36</v>
      </c>
      <c r="H8" s="143">
        <f>IF($A8=0,"",VLOOKUP($A8,'00_Mat'!$A$4:$J$1135,5,FALSE))</f>
        <v>5250</v>
      </c>
      <c r="I8" s="143">
        <f t="shared" si="2"/>
        <v>189000</v>
      </c>
      <c r="J8" s="153" t="s">
        <v>1028</v>
      </c>
      <c r="M8" s="153" t="s">
        <v>1039</v>
      </c>
    </row>
    <row r="9" ht="14.25" customHeight="1">
      <c r="A9" s="3" t="s">
        <v>134</v>
      </c>
      <c r="B9" s="92" t="str">
        <f>IF($A9=0,"",VLOOKUP($A9,'00_Mat'!$A$4:$J$1135,2,FALSE))</f>
        <v>Hierros ADN 420 Φ 8</v>
      </c>
      <c r="C9" s="92" t="str">
        <f>IF($A9=0,"",VLOOKUP($A9,'00_Mat'!$A$4:$J$1135,3,FALSE))</f>
        <v>u</v>
      </c>
      <c r="D9" s="229">
        <v>143.0</v>
      </c>
      <c r="E9" s="204"/>
      <c r="F9" s="236">
        <v>0.2</v>
      </c>
      <c r="G9" s="221">
        <f t="shared" si="1"/>
        <v>172</v>
      </c>
      <c r="H9" s="143">
        <f>IF($A9=0,"",VLOOKUP($A9,'00_Mat'!$A$4:$J$1135,5,FALSE))</f>
        <v>9050</v>
      </c>
      <c r="I9" s="143">
        <f t="shared" si="2"/>
        <v>1556600</v>
      </c>
    </row>
    <row r="10" ht="14.25" customHeight="1">
      <c r="A10" s="3" t="s">
        <v>136</v>
      </c>
      <c r="B10" s="92" t="str">
        <f>IF($A10=0,"",VLOOKUP($A10,'00_Mat'!$A$4:$J$1135,2,FALSE))</f>
        <v>Hierros ADN 420Φ 10</v>
      </c>
      <c r="C10" s="92" t="str">
        <f>IF($A10=0,"",VLOOKUP($A10,'00_Mat'!$A$4:$J$1135,3,FALSE))</f>
        <v>u</v>
      </c>
      <c r="D10" s="229">
        <v>305.0</v>
      </c>
      <c r="E10" s="204"/>
      <c r="F10" s="206">
        <v>0.1</v>
      </c>
      <c r="G10" s="221">
        <f t="shared" si="1"/>
        <v>336</v>
      </c>
      <c r="H10" s="143">
        <f>IF($A10=0,"",VLOOKUP($A10,'00_Mat'!$A$4:$J$1135,5,FALSE))</f>
        <v>11237</v>
      </c>
      <c r="I10" s="143">
        <f t="shared" si="2"/>
        <v>3775632</v>
      </c>
      <c r="M10" s="153" t="s">
        <v>1039</v>
      </c>
    </row>
    <row r="11" ht="14.25" customHeight="1">
      <c r="A11" s="3" t="s">
        <v>138</v>
      </c>
      <c r="B11" s="92" t="str">
        <f>IF($A11=0,"",VLOOKUP($A11,'00_Mat'!$A$4:$J$1135,2,FALSE))</f>
        <v>Hierros ADN 420 Φ 12</v>
      </c>
      <c r="C11" s="92" t="str">
        <f>IF($A11=0,"",VLOOKUP($A11,'00_Mat'!$A$4:$J$1135,3,FALSE))</f>
        <v>u</v>
      </c>
      <c r="D11" s="204"/>
      <c r="E11" s="204"/>
      <c r="F11" s="206">
        <v>0.1</v>
      </c>
      <c r="G11" s="221">
        <f t="shared" si="1"/>
        <v>0</v>
      </c>
      <c r="H11" s="143">
        <f>IF($A11=0,"",VLOOKUP($A11,'00_Mat'!$A$4:$J$1135,5,FALSE))</f>
        <v>20442.5</v>
      </c>
      <c r="I11" s="143">
        <f t="shared" si="2"/>
        <v>0</v>
      </c>
    </row>
    <row r="12" ht="14.25" customHeight="1">
      <c r="A12" s="3" t="s">
        <v>140</v>
      </c>
      <c r="B12" s="92" t="str">
        <f>IF($A12=0,"",VLOOKUP($A12,'00_Mat'!$A$4:$J$1135,2,FALSE))</f>
        <v>Hierros ADN 420 Φ 16</v>
      </c>
      <c r="C12" s="92" t="str">
        <f>IF($A12=0,"",VLOOKUP($A12,'00_Mat'!$A$4:$J$1135,3,FALSE))</f>
        <v>u</v>
      </c>
      <c r="D12" s="204"/>
      <c r="E12" s="204"/>
      <c r="F12" s="206">
        <v>0.1</v>
      </c>
      <c r="G12" s="221">
        <f t="shared" si="1"/>
        <v>0</v>
      </c>
      <c r="H12" s="143">
        <f>IF($A12=0,"",VLOOKUP($A12,'00_Mat'!$A$4:$J$1135,5,FALSE))</f>
        <v>36603.12</v>
      </c>
      <c r="I12" s="143">
        <f t="shared" si="2"/>
        <v>0</v>
      </c>
    </row>
    <row r="13" ht="14.25" customHeight="1">
      <c r="A13" s="20" t="s">
        <v>142</v>
      </c>
      <c r="B13" s="92" t="str">
        <f>IF($A13=0,"",VLOOKUP($A13,'00_Mat'!$A$4:$J$1135,2,FALSE))</f>
        <v>Hierros ADN 420 Φ 20</v>
      </c>
      <c r="C13" s="92" t="str">
        <f>IF($A13=0,"",VLOOKUP($A13,'00_Mat'!$A$4:$J$1135,3,FALSE))</f>
        <v>U</v>
      </c>
      <c r="D13" s="204"/>
      <c r="E13" s="204"/>
      <c r="F13" s="206">
        <v>0.1</v>
      </c>
      <c r="G13" s="221">
        <f t="shared" si="1"/>
        <v>0</v>
      </c>
      <c r="H13" s="143">
        <f>IF($A13=0,"",VLOOKUP($A13,'00_Mat'!$A$4:$J$1135,5,FALSE))</f>
        <v>55000</v>
      </c>
      <c r="I13" s="143">
        <f t="shared" si="2"/>
        <v>0</v>
      </c>
    </row>
    <row r="14" ht="14.25" customHeight="1">
      <c r="A14" s="3" t="s">
        <v>300</v>
      </c>
      <c r="B14" s="92" t="str">
        <f>IF($A14=0,"",VLOOKUP($A14,'00_Mat'!$A$4:$J$1135,2,FALSE))</f>
        <v>Fenolico 18mm Miraluz 125 GR con film</v>
      </c>
      <c r="C14" s="92" t="str">
        <f>IF($A14=0,"",VLOOKUP($A14,'00_Mat'!$A$4:$J$1135,3,FALSE))</f>
        <v>u</v>
      </c>
      <c r="D14" s="204"/>
      <c r="E14" s="204"/>
      <c r="F14" s="236">
        <v>0.25</v>
      </c>
      <c r="G14" s="221">
        <f t="shared" si="1"/>
        <v>0</v>
      </c>
      <c r="H14" s="143">
        <f>IF($A14=0,"",VLOOKUP($A14,'00_Mat'!$A$4:$J$1135,5,FALSE))</f>
        <v>55260</v>
      </c>
      <c r="I14" s="143">
        <f t="shared" si="2"/>
        <v>0</v>
      </c>
      <c r="J14" s="153" t="s">
        <v>1029</v>
      </c>
    </row>
    <row r="15" ht="14.25" customHeight="1">
      <c r="A15" s="3" t="s">
        <v>303</v>
      </c>
      <c r="B15" s="92" t="str">
        <f>IF($A15=0,"",VLOOKUP($A15,'00_Mat'!$A$4:$J$1135,2,FALSE))</f>
        <v>Fenolico 18mm Grandis 2 Buenas cal 3/3</v>
      </c>
      <c r="C15" s="92" t="str">
        <f>IF($A15=0,"",VLOOKUP($A15,'00_Mat'!$A$4:$J$1135,3,FALSE))</f>
        <v>u</v>
      </c>
      <c r="D15" s="229">
        <f>145/2</f>
        <v>72.5</v>
      </c>
      <c r="E15" s="204"/>
      <c r="F15" s="236">
        <v>0.25</v>
      </c>
      <c r="G15" s="221">
        <f t="shared" si="1"/>
        <v>91</v>
      </c>
      <c r="H15" s="143">
        <f>IF($A15=0,"",VLOOKUP($A15,'00_Mat'!$A$4:$J$1135,5,FALSE))</f>
        <v>45454</v>
      </c>
      <c r="I15" s="143">
        <f t="shared" si="2"/>
        <v>4136314</v>
      </c>
      <c r="J15" s="153" t="s">
        <v>1030</v>
      </c>
      <c r="M15" s="153" t="s">
        <v>1040</v>
      </c>
    </row>
    <row r="16" ht="14.25" customHeight="1">
      <c r="A16" s="3" t="s">
        <v>602</v>
      </c>
      <c r="B16" s="92" t="str">
        <f>IF($A16=0,"",VLOOKUP($A16,'00_Mat'!$A$4:$J$1135,2,FALSE))</f>
        <v>Bomba Pluma Traslado e Instalacion</v>
      </c>
      <c r="C16" s="92" t="str">
        <f>IF($A16=0,"",VLOOKUP($A16,'00_Mat'!$A$4:$J$1135,3,FALSE))</f>
        <v>u</v>
      </c>
      <c r="D16" s="204">
        <v>1.0</v>
      </c>
      <c r="E16" s="204"/>
      <c r="F16" s="206"/>
      <c r="G16" s="221">
        <f t="shared" si="1"/>
        <v>1</v>
      </c>
      <c r="H16" s="143">
        <f>IF($A16=0,"",VLOOKUP($A16,'00_Mat'!$A$4:$J$1135,5,FALSE))</f>
        <v>600000</v>
      </c>
      <c r="I16" s="143">
        <f t="shared" si="2"/>
        <v>600000</v>
      </c>
      <c r="J16" s="153" t="s">
        <v>1031</v>
      </c>
    </row>
    <row r="17" ht="14.25" customHeight="1">
      <c r="A17" s="3" t="s">
        <v>604</v>
      </c>
      <c r="B17" s="92" t="str">
        <f>IF($A17=0,"",VLOOKUP($A17,'00_Mat'!$A$4:$J$1135,2,FALSE))</f>
        <v>Bomba Pluma m3 bombeable</v>
      </c>
      <c r="C17" s="92" t="str">
        <f>IF($A17=0,"",VLOOKUP($A17,'00_Mat'!$A$4:$J$1135,3,FALSE))</f>
        <v>m3</v>
      </c>
      <c r="D17" s="205">
        <f>D7+'1.2'!D7</f>
        <v>73</v>
      </c>
      <c r="E17" s="204"/>
      <c r="F17" s="206"/>
      <c r="G17" s="221">
        <f t="shared" si="1"/>
        <v>73</v>
      </c>
      <c r="H17" s="143">
        <f>IF($A17=0,"",VLOOKUP($A17,'00_Mat'!$A$4:$J$1135,5,FALSE))</f>
        <v>6000</v>
      </c>
      <c r="I17" s="143">
        <f t="shared" si="2"/>
        <v>438000</v>
      </c>
      <c r="J17" s="153" t="s">
        <v>1032</v>
      </c>
    </row>
    <row r="18" ht="14.25" customHeight="1">
      <c r="A18" s="204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04"/>
      <c r="E18" s="204"/>
      <c r="F18" s="206"/>
      <c r="G18" s="221">
        <f t="shared" si="1"/>
        <v>0</v>
      </c>
      <c r="H18" s="143" t="str">
        <f>IF($A18=0,"",VLOOKUP($A18,'00_Mat'!$A$4:$J$1135,5,FALSE))</f>
        <v/>
      </c>
      <c r="I18" s="143"/>
    </row>
    <row r="19" ht="14.25" customHeight="1">
      <c r="F19" s="208"/>
      <c r="G19" s="3"/>
      <c r="H19" s="143"/>
      <c r="I19" s="143"/>
    </row>
    <row r="20" ht="14.25" customHeight="1">
      <c r="A20" s="222" t="s">
        <v>996</v>
      </c>
      <c r="B20" s="223"/>
      <c r="C20" s="223"/>
      <c r="D20" s="223"/>
      <c r="E20" s="223"/>
      <c r="F20" s="223"/>
      <c r="G20" s="211"/>
      <c r="H20" s="223"/>
      <c r="I20" s="224">
        <f>SUM(I7:I18)</f>
        <v>20649546</v>
      </c>
      <c r="J20" s="92"/>
      <c r="K20" s="92"/>
      <c r="L20" s="92"/>
    </row>
    <row r="21" ht="14.25" customHeight="1">
      <c r="A21" s="232" t="str">
        <f>$I$3</f>
        <v>m³</v>
      </c>
      <c r="B21" s="233"/>
      <c r="C21" s="233"/>
      <c r="D21" s="233"/>
      <c r="E21" s="233"/>
      <c r="F21" s="233"/>
      <c r="G21" s="21"/>
      <c r="H21" s="233"/>
      <c r="I21" s="205">
        <f>$H$3</f>
        <v>57</v>
      </c>
      <c r="J21" s="92"/>
      <c r="K21" s="92"/>
      <c r="L21" s="92"/>
    </row>
    <row r="22" ht="14.25" customHeight="1">
      <c r="A22" s="234" t="s">
        <v>997</v>
      </c>
      <c r="B22" s="232" t="str">
        <f>A21</f>
        <v>m³</v>
      </c>
      <c r="C22" s="233"/>
      <c r="D22" s="233"/>
      <c r="E22" s="233"/>
      <c r="F22" s="233"/>
      <c r="G22" s="21"/>
      <c r="H22" s="233"/>
      <c r="I22" s="235">
        <f>I20/I21</f>
        <v>362272.7368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01" t="s">
        <v>998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02" t="s">
        <v>988</v>
      </c>
      <c r="B26" s="202" t="s">
        <v>989</v>
      </c>
      <c r="C26" s="202" t="s">
        <v>990</v>
      </c>
      <c r="D26" s="202" t="s">
        <v>991</v>
      </c>
      <c r="E26" s="202" t="s">
        <v>999</v>
      </c>
      <c r="F26" s="202" t="s">
        <v>992</v>
      </c>
      <c r="G26" s="4" t="s">
        <v>993</v>
      </c>
      <c r="H26" s="202" t="s">
        <v>994</v>
      </c>
      <c r="I26" s="202" t="s">
        <v>995</v>
      </c>
    </row>
    <row r="27" ht="14.25" customHeight="1">
      <c r="A27" s="61" t="s">
        <v>621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29">
        <v>1.0</v>
      </c>
      <c r="E27" s="229">
        <v>20.0</v>
      </c>
      <c r="F27" s="236">
        <v>0.25</v>
      </c>
      <c r="G27" s="217">
        <f t="shared" ref="G27:G32" si="3">ROUNDUP(((D27*E27)*(1+F27)),0)</f>
        <v>25</v>
      </c>
      <c r="H27" s="143">
        <f>IF($A27=0,"",VLOOKUP($A27,'00_MO'!$A$4:$D$7,4,FALSE))</f>
        <v>120000</v>
      </c>
      <c r="I27" s="143">
        <f t="shared" ref="I27:I30" si="4">G27*H27</f>
        <v>3000000</v>
      </c>
    </row>
    <row r="28" ht="14.25" customHeight="1">
      <c r="A28" s="61" t="s">
        <v>623</v>
      </c>
      <c r="B28" s="92" t="str">
        <f>IF($A28=0,"",VLOOKUP($A28,'00_MO'!$A$4:$D$7,2,FALSE))</f>
        <v>Puntero</v>
      </c>
      <c r="C28" s="92" t="str">
        <f>IF($A28=0,"",VLOOKUP($A28,'00_MO'!$A$4:$D$7,3,FALSE))</f>
        <v>u</v>
      </c>
      <c r="D28" s="229">
        <v>2.0</v>
      </c>
      <c r="E28" s="229">
        <v>20.0</v>
      </c>
      <c r="F28" s="236">
        <v>0.25</v>
      </c>
      <c r="G28" s="217">
        <f t="shared" si="3"/>
        <v>50</v>
      </c>
      <c r="H28" s="143">
        <f>IF($A28=0,"",VLOOKUP($A28,'00_MO'!$A$4:$D$7,4,FALSE))</f>
        <v>105000</v>
      </c>
      <c r="I28" s="143">
        <f t="shared" si="4"/>
        <v>5250000</v>
      </c>
    </row>
    <row r="29" ht="14.25" customHeight="1">
      <c r="A29" s="61" t="s">
        <v>625</v>
      </c>
      <c r="B29" s="92" t="str">
        <f>IF($A29=0,"",VLOOKUP($A29,'00_MO'!$A$4:$D$7,2,FALSE))</f>
        <v>Oficial</v>
      </c>
      <c r="C29" s="92" t="str">
        <f>IF($A29=0,"",VLOOKUP($A29,'00_MO'!$A$4:$D$7,3,FALSE))</f>
        <v>u</v>
      </c>
      <c r="D29" s="229">
        <v>3.0</v>
      </c>
      <c r="E29" s="229">
        <v>20.0</v>
      </c>
      <c r="F29" s="236">
        <v>0.25</v>
      </c>
      <c r="G29" s="217">
        <f t="shared" si="3"/>
        <v>75</v>
      </c>
      <c r="H29" s="143">
        <f>IF($A29=0,"",VLOOKUP($A29,'00_MO'!$A$4:$D$7,4,FALSE))</f>
        <v>90000</v>
      </c>
      <c r="I29" s="143">
        <f t="shared" si="4"/>
        <v>6750000</v>
      </c>
    </row>
    <row r="30" ht="14.25" customHeight="1">
      <c r="A30" s="61" t="s">
        <v>627</v>
      </c>
      <c r="B30" s="92" t="str">
        <f>IF($A30=0,"",VLOOKUP($A30,'00_MO'!$A$4:$D$7,2,FALSE))</f>
        <v>Ayudante</v>
      </c>
      <c r="C30" s="92" t="str">
        <f>IF($A30=0,"",VLOOKUP($A30,'00_MO'!$A$4:$D$7,3,FALSE))</f>
        <v>u</v>
      </c>
      <c r="D30" s="229">
        <v>3.0</v>
      </c>
      <c r="E30" s="229">
        <v>20.0</v>
      </c>
      <c r="F30" s="236">
        <v>0.25</v>
      </c>
      <c r="G30" s="217">
        <f t="shared" si="3"/>
        <v>75</v>
      </c>
      <c r="H30" s="143">
        <f>IF($A30=0,"",VLOOKUP($A30,'00_MO'!$A$4:$D$7,4,FALSE))</f>
        <v>60000</v>
      </c>
      <c r="I30" s="143">
        <f t="shared" si="4"/>
        <v>4500000</v>
      </c>
    </row>
    <row r="31" ht="14.25" customHeight="1">
      <c r="A31" s="204"/>
      <c r="B31" s="92" t="str">
        <f>IF($A31=0,"",VLOOKUP($A31,'00_MO'!$A$4:$D$7,2,FALSE))</f>
        <v/>
      </c>
      <c r="C31" s="92" t="str">
        <f>IF($A31=0,"",VLOOKUP($A31,'00_MO'!$A$4:$D$7,3,FALSE))</f>
        <v/>
      </c>
      <c r="D31" s="204"/>
      <c r="E31" s="204"/>
      <c r="F31" s="206"/>
      <c r="G31" s="217">
        <f t="shared" si="3"/>
        <v>0</v>
      </c>
      <c r="H31" s="143" t="str">
        <f>IF($A31=0,"",VLOOKUP($A31,'00_MO'!$A$4:$D$7,4,FALSE))</f>
        <v/>
      </c>
      <c r="I31" s="143"/>
    </row>
    <row r="32" ht="14.25" customHeight="1">
      <c r="A32" s="204"/>
      <c r="B32" s="92" t="str">
        <f>IF($A32=0,"",VLOOKUP($A32,'00_MO'!$A$4:$D$7,2,FALSE))</f>
        <v/>
      </c>
      <c r="C32" s="92" t="str">
        <f>IF($A32=0,"",VLOOKUP($A32,'00_MO'!$A$4:$D$7,3,FALSE))</f>
        <v/>
      </c>
      <c r="D32" s="204"/>
      <c r="E32" s="204"/>
      <c r="F32" s="206"/>
      <c r="G32" s="217">
        <f t="shared" si="3"/>
        <v>0</v>
      </c>
      <c r="H32" s="143" t="str">
        <f>IF($A32=0,"",VLOOKUP($A32,'00_MO'!$A$4:$D$7,4,FALSE))</f>
        <v/>
      </c>
      <c r="I32" s="143"/>
    </row>
    <row r="33" ht="14.25" customHeight="1">
      <c r="F33" s="208"/>
      <c r="G33" s="3"/>
      <c r="H33" s="143"/>
      <c r="I33" s="143"/>
    </row>
    <row r="34" ht="14.25" customHeight="1">
      <c r="A34" s="222" t="s">
        <v>987</v>
      </c>
      <c r="B34" s="223"/>
      <c r="C34" s="223"/>
      <c r="D34" s="223"/>
      <c r="E34" s="223"/>
      <c r="F34" s="223"/>
      <c r="G34" s="211"/>
      <c r="H34" s="223"/>
      <c r="I34" s="224">
        <f>SUM(I27:I32)</f>
        <v>19500000</v>
      </c>
    </row>
    <row r="35" ht="14.25" customHeight="1">
      <c r="A35" s="232" t="str">
        <f>$I$3</f>
        <v>m³</v>
      </c>
      <c r="B35" s="233"/>
      <c r="C35" s="233"/>
      <c r="D35" s="233"/>
      <c r="E35" s="233"/>
      <c r="F35" s="233"/>
      <c r="G35" s="21"/>
      <c r="H35" s="233"/>
      <c r="I35" s="205">
        <f>$H$3</f>
        <v>57</v>
      </c>
      <c r="J35" s="92"/>
      <c r="K35" s="92"/>
      <c r="L35" s="92"/>
    </row>
    <row r="36" ht="14.25" customHeight="1">
      <c r="A36" s="234" t="s">
        <v>997</v>
      </c>
      <c r="B36" s="232" t="str">
        <f>A35</f>
        <v>m³</v>
      </c>
      <c r="C36" s="233"/>
      <c r="D36" s="233"/>
      <c r="E36" s="233"/>
      <c r="F36" s="233"/>
      <c r="G36" s="21"/>
      <c r="H36" s="233"/>
      <c r="I36" s="235">
        <f>I34/I35</f>
        <v>342105.2632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01" t="s">
        <v>1000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02" t="s">
        <v>988</v>
      </c>
      <c r="B40" s="202" t="s">
        <v>989</v>
      </c>
      <c r="C40" s="202" t="s">
        <v>990</v>
      </c>
      <c r="D40" s="202" t="s">
        <v>991</v>
      </c>
      <c r="E40" s="202" t="s">
        <v>999</v>
      </c>
      <c r="F40" s="202" t="s">
        <v>992</v>
      </c>
      <c r="G40" s="4" t="s">
        <v>993</v>
      </c>
      <c r="H40" s="202" t="s">
        <v>994</v>
      </c>
      <c r="I40" s="202" t="s">
        <v>995</v>
      </c>
    </row>
    <row r="41" ht="14.25" customHeight="1">
      <c r="A41" s="3"/>
      <c r="B41" s="92" t="str">
        <f>IF($A41=0,"",VLOOKUP($A41,'00_Mat'!$A$4:$J$1135,2,FALSE))</f>
        <v/>
      </c>
      <c r="C41" s="92" t="str">
        <f>IF($A41=0,"",VLOOKUP($A41,'00_Mat'!$A$4:$J$1135,3,FALSE))</f>
        <v/>
      </c>
      <c r="D41" s="230"/>
      <c r="E41" s="204"/>
      <c r="F41" s="236">
        <v>0.1</v>
      </c>
      <c r="G41" s="221">
        <f t="shared" ref="G41:G45" si="5">ROUNDUP((D41+(D41*F41)),0)</f>
        <v>0</v>
      </c>
      <c r="H41" s="143" t="str">
        <f>IF($A41=0,"",VLOOKUP($A41,'00_Mat'!$A$4:$J$1135,5,FALSE))</f>
        <v/>
      </c>
      <c r="I41" s="143">
        <f t="shared" ref="I41:I46" si="6">G41*H41</f>
        <v>0</v>
      </c>
      <c r="J41" s="237"/>
    </row>
    <row r="42" ht="14.25" customHeight="1">
      <c r="A42" s="3"/>
      <c r="B42" s="92" t="str">
        <f>IF($A42=0,"",VLOOKUP($A42,'00_Mat'!$A$4:$J$1135,2,FALSE))</f>
        <v/>
      </c>
      <c r="C42" s="92" t="str">
        <f>IF($A42=0,"",VLOOKUP($A42,'00_Mat'!$A$4:$J$1135,3,FALSE))</f>
        <v/>
      </c>
      <c r="D42" s="230"/>
      <c r="E42" s="204"/>
      <c r="F42" s="236">
        <v>0.1</v>
      </c>
      <c r="G42" s="221">
        <f t="shared" si="5"/>
        <v>0</v>
      </c>
      <c r="H42" s="143" t="str">
        <f>IF($A42=0,"",VLOOKUP($A42,'00_Mat'!$A$4:$J$1135,5,FALSE))</f>
        <v/>
      </c>
      <c r="I42" s="143">
        <f t="shared" si="6"/>
        <v>0</v>
      </c>
      <c r="J42" s="237"/>
    </row>
    <row r="43" ht="14.25" customHeight="1">
      <c r="A43" s="3"/>
      <c r="B43" s="92" t="str">
        <f>IF($A43=0,"",VLOOKUP($A43,'00_Mat'!$A$4:$J$1135,2,FALSE))</f>
        <v/>
      </c>
      <c r="C43" s="92" t="str">
        <f>IF($A43=0,"",VLOOKUP($A43,'00_Mat'!$A$4:$J$1135,3,FALSE))</f>
        <v/>
      </c>
      <c r="D43" s="230"/>
      <c r="E43" s="204"/>
      <c r="F43" s="236">
        <v>0.1</v>
      </c>
      <c r="G43" s="221">
        <f t="shared" si="5"/>
        <v>0</v>
      </c>
      <c r="H43" s="143" t="str">
        <f>IF($A43=0,"",VLOOKUP($A43,'00_Mat'!$A$4:$J$1135,5,FALSE))</f>
        <v/>
      </c>
      <c r="I43" s="143">
        <f t="shared" si="6"/>
        <v>0</v>
      </c>
    </row>
    <row r="44" ht="14.25" customHeight="1">
      <c r="A44" s="20"/>
      <c r="B44" s="92" t="str">
        <f>IF($A44=0,"",VLOOKUP($A44,'00_Mat'!$A$4:$J$1135,2,FALSE))</f>
        <v/>
      </c>
      <c r="C44" s="92" t="str">
        <f>IF($A44=0,"",VLOOKUP($A44,'00_Mat'!$A$4:$J$1135,3,FALSE))</f>
        <v/>
      </c>
      <c r="D44" s="230"/>
      <c r="E44" s="204"/>
      <c r="F44" s="236">
        <v>0.1</v>
      </c>
      <c r="G44" s="221">
        <f t="shared" si="5"/>
        <v>0</v>
      </c>
      <c r="H44" s="143" t="str">
        <f>IF($A44=0,"",VLOOKUP($A44,'00_Mat'!$A$4:$J$1135,5,FALSE))</f>
        <v/>
      </c>
      <c r="I44" s="143">
        <f t="shared" si="6"/>
        <v>0</v>
      </c>
    </row>
    <row r="45" ht="14.25" customHeight="1">
      <c r="B45" s="194" t="str">
        <f>IF($A45=0,"",VLOOKUP($A45,'00_Mat'!$A$4:$J$1135,2,FALSE))</f>
        <v/>
      </c>
      <c r="C45" s="92" t="str">
        <f>IF($A45=0,"",VLOOKUP($A45,'00_Mat'!$A$4:$J$1135,3,FALSE))</f>
        <v/>
      </c>
      <c r="D45" s="230"/>
      <c r="E45" s="204"/>
      <c r="F45" s="236">
        <v>0.1</v>
      </c>
      <c r="G45" s="221">
        <f t="shared" si="5"/>
        <v>0</v>
      </c>
      <c r="H45" s="231"/>
      <c r="I45" s="143">
        <f t="shared" si="6"/>
        <v>0</v>
      </c>
    </row>
    <row r="46" ht="14.25" customHeight="1">
      <c r="A46" s="204"/>
      <c r="B46" s="92" t="str">
        <f>IF($A46=0,"",VLOOKUP($A46,'00_Mat'!$A$4:$J$1135,2,FALSE))</f>
        <v/>
      </c>
      <c r="C46" s="92" t="str">
        <f>IF($A46=0,"",VLOOKUP($A46,'00_Mat'!$A$4:$J$1135,3,FALSE))</f>
        <v/>
      </c>
      <c r="D46" s="229"/>
      <c r="E46" s="204"/>
      <c r="F46" s="236">
        <v>0.1</v>
      </c>
      <c r="G46" s="217">
        <f>ROUNDUP(((D46*E46)*(1+F46)),0)</f>
        <v>0</v>
      </c>
      <c r="H46" s="143" t="str">
        <f>IF($A46=0,"",VLOOKUP($A46,'00_Mat'!$A$4:$J$1135,5,FALSE))</f>
        <v/>
      </c>
      <c r="I46" s="143">
        <f t="shared" si="6"/>
        <v>0</v>
      </c>
      <c r="J46" s="153"/>
    </row>
    <row r="47" ht="14.25" customHeight="1">
      <c r="F47" s="208"/>
      <c r="G47" s="3"/>
      <c r="H47" s="143"/>
      <c r="I47" s="143"/>
    </row>
    <row r="48" ht="14.25" customHeight="1">
      <c r="A48" s="222" t="s">
        <v>987</v>
      </c>
      <c r="B48" s="223"/>
      <c r="C48" s="223"/>
      <c r="D48" s="223"/>
      <c r="E48" s="223"/>
      <c r="F48" s="223"/>
      <c r="G48" s="211"/>
      <c r="H48" s="223"/>
      <c r="I48" s="224">
        <f>SUM(I41:I46)</f>
        <v>0</v>
      </c>
    </row>
    <row r="49" ht="14.25" customHeight="1">
      <c r="A49" s="232" t="str">
        <f>$I$3</f>
        <v>m³</v>
      </c>
      <c r="B49" s="233"/>
      <c r="C49" s="233"/>
      <c r="D49" s="233"/>
      <c r="E49" s="233"/>
      <c r="F49" s="233"/>
      <c r="G49" s="21"/>
      <c r="H49" s="233"/>
      <c r="I49" s="205">
        <f>$H$3</f>
        <v>57</v>
      </c>
      <c r="J49" s="92"/>
      <c r="K49" s="92"/>
      <c r="L49" s="92"/>
    </row>
    <row r="50" ht="14.25" customHeight="1">
      <c r="A50" s="234" t="s">
        <v>997</v>
      </c>
      <c r="B50" s="232" t="str">
        <f>A49</f>
        <v>m³</v>
      </c>
      <c r="C50" s="233"/>
      <c r="D50" s="233"/>
      <c r="E50" s="233"/>
      <c r="F50" s="233"/>
      <c r="G50" s="21"/>
      <c r="H50" s="233"/>
      <c r="I50" s="235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01" t="s">
        <v>1010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02" t="s">
        <v>988</v>
      </c>
      <c r="B54" s="202" t="s">
        <v>989</v>
      </c>
      <c r="C54" s="202" t="s">
        <v>990</v>
      </c>
      <c r="D54" s="203" t="s">
        <v>991</v>
      </c>
      <c r="E54" s="197"/>
      <c r="F54" s="202" t="s">
        <v>992</v>
      </c>
      <c r="G54" s="4" t="s">
        <v>993</v>
      </c>
      <c r="H54" s="202" t="s">
        <v>994</v>
      </c>
      <c r="I54" s="202" t="s">
        <v>995</v>
      </c>
    </row>
    <row r="55" ht="14.25" customHeight="1">
      <c r="A55" s="3" t="s">
        <v>75</v>
      </c>
      <c r="B55" s="92" t="str">
        <f>IF($A55=0,"",VLOOKUP($A55,'00_Mat'!$A$4:$J$1135,2,FALSE))</f>
        <v>Clavos 2" punta paris (k)</v>
      </c>
      <c r="C55" s="92" t="str">
        <f>IF($A55=0,"",VLOOKUP($A55,'00_Mat'!$A$4:$J$1135,3,FALSE))</f>
        <v>k</v>
      </c>
      <c r="D55" s="230">
        <v>10.0</v>
      </c>
      <c r="E55" s="204"/>
      <c r="F55" s="236">
        <v>0.1</v>
      </c>
      <c r="G55" s="221">
        <f t="shared" ref="G55:G59" si="7">ROUNDUP((D55+(D55*F55)),0)</f>
        <v>11</v>
      </c>
      <c r="H55" s="143">
        <f>IF($A55=0,"",VLOOKUP($A55,'00_Mat'!$A$4:$J$1135,5,FALSE))</f>
        <v>4500</v>
      </c>
      <c r="I55" s="143">
        <f t="shared" ref="I55:I60" si="8">G55*H55</f>
        <v>49500</v>
      </c>
      <c r="J55" s="153" t="s">
        <v>1013</v>
      </c>
    </row>
    <row r="56" ht="14.25" customHeight="1">
      <c r="A56" s="20" t="s">
        <v>81</v>
      </c>
      <c r="B56" s="92" t="str">
        <f>IF($A56=0,"",VLOOKUP($A56,'00_Mat'!$A$4:$J$1135,2,FALSE))</f>
        <v>Alambre Fardo (50 k)</v>
      </c>
      <c r="C56" s="92" t="str">
        <f>IF($A56=0,"",VLOOKUP($A56,'00_Mat'!$A$4:$J$1135,3,FALSE))</f>
        <v>k</v>
      </c>
      <c r="D56" s="230">
        <v>1.0</v>
      </c>
      <c r="E56" s="204"/>
      <c r="F56" s="236">
        <v>0.1</v>
      </c>
      <c r="G56" s="221">
        <f t="shared" si="7"/>
        <v>2</v>
      </c>
      <c r="H56" s="143">
        <f>IF($A56=0,"",VLOOKUP($A56,'00_Mat'!$A$4:$J$1135,5,FALSE))</f>
        <v>220000</v>
      </c>
      <c r="I56" s="143">
        <f t="shared" si="8"/>
        <v>440000</v>
      </c>
      <c r="J56" s="153" t="s">
        <v>1033</v>
      </c>
    </row>
    <row r="57" ht="14.25" customHeight="1">
      <c r="A57" s="3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0"/>
      <c r="E57" s="204"/>
      <c r="F57" s="236">
        <v>0.1</v>
      </c>
      <c r="G57" s="221">
        <f t="shared" si="7"/>
        <v>0</v>
      </c>
      <c r="H57" s="143" t="str">
        <f>IF($A57=0,"",VLOOKUP($A57,'00_Mat'!$A$4:$J$1135,5,FALSE))</f>
        <v/>
      </c>
      <c r="I57" s="143">
        <f t="shared" si="8"/>
        <v>0</v>
      </c>
    </row>
    <row r="58" ht="14.25" customHeight="1">
      <c r="A58" s="20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0"/>
      <c r="E58" s="204"/>
      <c r="F58" s="236">
        <v>0.1</v>
      </c>
      <c r="G58" s="221">
        <f t="shared" si="7"/>
        <v>0</v>
      </c>
      <c r="H58" s="143" t="str">
        <f>IF($A58=0,"",VLOOKUP($A58,'00_Mat'!$A$4:$J$1135,5,FALSE))</f>
        <v/>
      </c>
      <c r="I58" s="143">
        <f t="shared" si="8"/>
        <v>0</v>
      </c>
    </row>
    <row r="59" ht="14.25" customHeight="1">
      <c r="B59" s="194" t="str">
        <f>IF($A59=0,"",VLOOKUP($A59,'00_Mat'!$A$4:$J$1135,2,FALSE))</f>
        <v/>
      </c>
      <c r="C59" s="92" t="str">
        <f>IF($A59=0,"",VLOOKUP($A59,'00_Mat'!$A$4:$J$1135,3,FALSE))</f>
        <v/>
      </c>
      <c r="D59" s="230"/>
      <c r="E59" s="204"/>
      <c r="F59" s="236">
        <v>0.1</v>
      </c>
      <c r="G59" s="221">
        <f t="shared" si="7"/>
        <v>0</v>
      </c>
      <c r="H59" s="231"/>
      <c r="I59" s="143">
        <f t="shared" si="8"/>
        <v>0</v>
      </c>
    </row>
    <row r="60" ht="14.25" customHeight="1">
      <c r="A60" s="204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29"/>
      <c r="E60" s="204"/>
      <c r="F60" s="236">
        <v>0.1</v>
      </c>
      <c r="G60" s="217">
        <f>ROUNDUP(((D60*E60)*(1+F60)),0)</f>
        <v>0</v>
      </c>
      <c r="H60" s="143" t="str">
        <f>IF($A60=0,"",VLOOKUP($A60,'00_Mat'!$A$4:$J$1135,5,FALSE))</f>
        <v/>
      </c>
      <c r="I60" s="143">
        <f t="shared" si="8"/>
        <v>0</v>
      </c>
      <c r="J60" s="153"/>
    </row>
    <row r="61" ht="14.25" customHeight="1">
      <c r="F61" s="208"/>
      <c r="G61" s="3"/>
      <c r="H61" s="143"/>
      <c r="I61" s="143"/>
    </row>
    <row r="62" ht="14.25" customHeight="1">
      <c r="A62" s="222" t="s">
        <v>987</v>
      </c>
      <c r="B62" s="223"/>
      <c r="C62" s="223"/>
      <c r="D62" s="223"/>
      <c r="E62" s="223"/>
      <c r="F62" s="223"/>
      <c r="G62" s="211"/>
      <c r="H62" s="223"/>
      <c r="I62" s="224">
        <f>SUM(I55:I60)</f>
        <v>489500</v>
      </c>
    </row>
    <row r="63" ht="14.25" customHeight="1">
      <c r="A63" s="232" t="str">
        <f>$I$3</f>
        <v>m³</v>
      </c>
      <c r="B63" s="233"/>
      <c r="C63" s="233"/>
      <c r="D63" s="233"/>
      <c r="E63" s="233"/>
      <c r="F63" s="233"/>
      <c r="G63" s="21"/>
      <c r="H63" s="233"/>
      <c r="I63" s="205">
        <f>$H$3</f>
        <v>57</v>
      </c>
      <c r="J63" s="92"/>
      <c r="K63" s="92"/>
      <c r="L63" s="92"/>
    </row>
    <row r="64" ht="14.25" customHeight="1">
      <c r="A64" s="234" t="s">
        <v>997</v>
      </c>
      <c r="B64" s="232" t="str">
        <f>A63</f>
        <v>m³</v>
      </c>
      <c r="C64" s="233"/>
      <c r="D64" s="233"/>
      <c r="E64" s="233"/>
      <c r="F64" s="233"/>
      <c r="G64" s="21"/>
      <c r="H64" s="233"/>
      <c r="I64" s="235">
        <f>I62/I63</f>
        <v>8587.719298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01" t="s">
        <v>1025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02" t="s">
        <v>988</v>
      </c>
      <c r="B68" s="202" t="s">
        <v>989</v>
      </c>
      <c r="C68" s="202" t="s">
        <v>990</v>
      </c>
      <c r="D68" s="202" t="s">
        <v>991</v>
      </c>
      <c r="E68" s="202" t="s">
        <v>999</v>
      </c>
      <c r="F68" s="202" t="s">
        <v>992</v>
      </c>
      <c r="G68" s="4" t="s">
        <v>993</v>
      </c>
      <c r="H68" s="202" t="s">
        <v>994</v>
      </c>
      <c r="I68" s="202" t="s">
        <v>995</v>
      </c>
    </row>
    <row r="69" ht="14.25" customHeight="1">
      <c r="A69" s="204"/>
      <c r="B69" s="92" t="str">
        <f>IF($A69=0,"",VLOOKUP($A69,'00_Sub'!$A$4:$D$1007,2,FALSE))</f>
        <v/>
      </c>
      <c r="C69" s="92" t="str">
        <f>IF($A69=0,"",VLOOKUP($A69,'00_Sub'!$A$4:$D$1007,3,FALSE))</f>
        <v/>
      </c>
      <c r="D69" s="204"/>
      <c r="E69" s="204"/>
      <c r="F69" s="206"/>
      <c r="G69" s="221">
        <f t="shared" ref="G69:G74" si="9">ROUNDUP((D69+(D69*F69)),0)</f>
        <v>0</v>
      </c>
      <c r="H69" s="143" t="str">
        <f>IF($A69=0,"",VLOOKUP($A69,'00_Sub'!$A$4:$D$1007,4,FALSE))</f>
        <v/>
      </c>
      <c r="I69" s="143"/>
    </row>
    <row r="70" ht="14.25" customHeight="1">
      <c r="A70" s="204"/>
      <c r="B70" s="92" t="str">
        <f>IF($A70=0,"",VLOOKUP($A70,'00_Sub'!$A$4:$D$1007,2,FALSE))</f>
        <v/>
      </c>
      <c r="C70" s="92" t="str">
        <f>IF($A70=0,"",VLOOKUP($A70,'00_Sub'!$A$4:$D$1007,3,FALSE))</f>
        <v/>
      </c>
      <c r="D70" s="204"/>
      <c r="E70" s="204"/>
      <c r="F70" s="206"/>
      <c r="G70" s="221">
        <f t="shared" si="9"/>
        <v>0</v>
      </c>
      <c r="H70" s="143" t="str">
        <f>IF($A70=0,"",VLOOKUP($A70,'00_Sub'!$A$4:$D$1007,4,FALSE))</f>
        <v/>
      </c>
      <c r="I70" s="143"/>
    </row>
    <row r="71" ht="14.25" customHeight="1">
      <c r="A71" s="204"/>
      <c r="B71" s="92" t="str">
        <f>IF($A71=0,"",VLOOKUP($A71,'00_Sub'!$A$4:$D$1007,2,FALSE))</f>
        <v/>
      </c>
      <c r="C71" s="92" t="str">
        <f>IF($A71=0,"",VLOOKUP($A71,'00_Sub'!$A$4:$D$1007,3,FALSE))</f>
        <v/>
      </c>
      <c r="D71" s="204"/>
      <c r="E71" s="204"/>
      <c r="F71" s="206"/>
      <c r="G71" s="221">
        <f t="shared" si="9"/>
        <v>0</v>
      </c>
      <c r="H71" s="143" t="str">
        <f>IF($A71=0,"",VLOOKUP($A71,'00_Sub'!$A$4:$D$1007,4,FALSE))</f>
        <v/>
      </c>
      <c r="I71" s="143"/>
    </row>
    <row r="72" ht="14.25" customHeight="1">
      <c r="A72" s="204"/>
      <c r="B72" s="92" t="str">
        <f>IF($A72=0,"",VLOOKUP($A72,'00_Sub'!$A$4:$D$1007,2,FALSE))</f>
        <v/>
      </c>
      <c r="C72" s="92" t="str">
        <f>IF($A72=0,"",VLOOKUP($A72,'00_Sub'!$A$4:$D$1007,3,FALSE))</f>
        <v/>
      </c>
      <c r="D72" s="204"/>
      <c r="E72" s="204"/>
      <c r="F72" s="206"/>
      <c r="G72" s="221">
        <f t="shared" si="9"/>
        <v>0</v>
      </c>
      <c r="H72" s="143" t="str">
        <f>IF($A72=0,"",VLOOKUP($A72,'00_Sub'!$A$4:$D$1007,4,FALSE))</f>
        <v/>
      </c>
      <c r="I72" s="143"/>
    </row>
    <row r="73" ht="14.25" customHeight="1">
      <c r="A73" s="204"/>
      <c r="B73" s="92" t="str">
        <f>IF($A73=0,"",VLOOKUP($A73,'00_Sub'!$A$4:$D$1007,2,FALSE))</f>
        <v/>
      </c>
      <c r="C73" s="92" t="str">
        <f>IF($A73=0,"",VLOOKUP($A73,'00_Sub'!$A$4:$D$1007,3,FALSE))</f>
        <v/>
      </c>
      <c r="D73" s="204"/>
      <c r="E73" s="204"/>
      <c r="F73" s="206"/>
      <c r="G73" s="221">
        <f t="shared" si="9"/>
        <v>0</v>
      </c>
      <c r="H73" s="143" t="str">
        <f>IF($A73=0,"",VLOOKUP($A73,'00_Sub'!$A$4:$D$1007,4,FALSE))</f>
        <v/>
      </c>
      <c r="I73" s="143"/>
    </row>
    <row r="74" ht="14.25" customHeight="1">
      <c r="A74" s="204"/>
      <c r="B74" s="92" t="str">
        <f>IF($A74=0,"",VLOOKUP($A74,'00_Sub'!$A$4:$D$1007,2,FALSE))</f>
        <v/>
      </c>
      <c r="C74" s="92" t="str">
        <f>IF($A74=0,"",VLOOKUP($A74,'00_Sub'!$A$4:$D$1007,3,FALSE))</f>
        <v/>
      </c>
      <c r="D74" s="204"/>
      <c r="E74" s="204"/>
      <c r="F74" s="206"/>
      <c r="G74" s="221">
        <f t="shared" si="9"/>
        <v>0</v>
      </c>
      <c r="H74" s="143" t="str">
        <f>IF($A74=0,"",VLOOKUP($A74,'00_Sub'!$A$4:$D$1007,4,FALSE))</f>
        <v/>
      </c>
      <c r="I74" s="143"/>
    </row>
    <row r="75" ht="14.25" customHeight="1">
      <c r="F75" s="208"/>
      <c r="G75" s="3"/>
      <c r="H75" s="143"/>
      <c r="I75" s="143"/>
    </row>
    <row r="76" ht="14.25" customHeight="1">
      <c r="A76" s="222" t="s">
        <v>987</v>
      </c>
      <c r="B76" s="223"/>
      <c r="C76" s="223"/>
      <c r="D76" s="223"/>
      <c r="E76" s="223"/>
      <c r="F76" s="223"/>
      <c r="G76" s="211"/>
      <c r="H76" s="223"/>
      <c r="I76" s="224">
        <f>SUM(I69:I74)</f>
        <v>0</v>
      </c>
    </row>
    <row r="77" ht="14.25" customHeight="1">
      <c r="A77" s="232" t="str">
        <f>$I$3</f>
        <v>m³</v>
      </c>
      <c r="B77" s="233"/>
      <c r="C77" s="233"/>
      <c r="D77" s="233"/>
      <c r="E77" s="233"/>
      <c r="F77" s="233"/>
      <c r="G77" s="21"/>
      <c r="H77" s="233"/>
      <c r="I77" s="205">
        <f>$H$3</f>
        <v>57</v>
      </c>
      <c r="J77" s="92"/>
      <c r="K77" s="92"/>
      <c r="L77" s="92"/>
    </row>
    <row r="78" ht="14.25" customHeight="1">
      <c r="A78" s="234" t="s">
        <v>997</v>
      </c>
      <c r="B78" s="232" t="str">
        <f>A77</f>
        <v>m³</v>
      </c>
      <c r="C78" s="233"/>
      <c r="D78" s="233"/>
      <c r="E78" s="233"/>
      <c r="F78" s="233"/>
      <c r="G78" s="21"/>
      <c r="H78" s="233"/>
      <c r="I78" s="235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3">
    <mergeCell ref="B3:F3"/>
    <mergeCell ref="D6:E6"/>
    <mergeCell ref="D54:E54"/>
  </mergeCells>
  <printOptions/>
  <pageMargins bottom="0.75" footer="0.0" header="0.0" left="0.7" right="0.7" top="0.75"/>
  <pageSetup orientation="portrait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60.57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0" width="8.71"/>
    <col customWidth="1" min="11" max="11" width="11.29"/>
    <col customWidth="1" min="12" max="12" width="10.14"/>
    <col customWidth="1" min="13" max="13" width="19.29"/>
  </cols>
  <sheetData>
    <row r="1" ht="33.75" customHeight="1">
      <c r="A1" s="91" t="str">
        <f>'01_C&amp;P'!A1</f>
        <v>EDIFICIO LAS HERAS</v>
      </c>
      <c r="B1" s="91"/>
      <c r="C1" s="91"/>
      <c r="G1" s="3"/>
    </row>
    <row r="2" ht="14.25" customHeight="1">
      <c r="G2" s="3"/>
    </row>
    <row r="3" ht="23.25" customHeight="1">
      <c r="A3" s="195" t="str">
        <f>'01_C&amp;P'!A30</f>
        <v>1.31</v>
      </c>
      <c r="B3" s="196" t="str">
        <f>IF($A3=0,"",VLOOKUP($A3,'01_C&amp;P'!$A$9:$D$192,2,FALSE))</f>
        <v>LOSA DE SUPRESION SOBRE SUELO COMPACTADO. e=10cm.</v>
      </c>
      <c r="C3" s="197"/>
      <c r="D3" s="197"/>
      <c r="E3" s="197"/>
      <c r="F3" s="197"/>
      <c r="G3" s="198"/>
      <c r="H3" s="199">
        <f>IF($A3=0,"",VLOOKUP($A3,'01_C&amp;P'!$A$9:$D$192,4,FALSE))</f>
        <v>39</v>
      </c>
      <c r="I3" s="200" t="str">
        <f>IF($A3=0,"",VLOOKUP($A3,'01_C&amp;P'!$A$9:$D$192,3,FALSE))</f>
        <v>m³</v>
      </c>
      <c r="L3" s="153" t="s">
        <v>1041</v>
      </c>
      <c r="M3" s="153"/>
    </row>
    <row r="4" ht="14.25" customHeight="1">
      <c r="G4" s="3"/>
      <c r="L4" s="153">
        <v>390.0</v>
      </c>
    </row>
    <row r="5" ht="14.25" customHeight="1">
      <c r="A5" s="201" t="s">
        <v>0</v>
      </c>
      <c r="B5" s="94"/>
      <c r="C5" s="94"/>
      <c r="D5" s="94"/>
      <c r="E5" s="94"/>
      <c r="F5" s="94"/>
      <c r="G5" s="2"/>
      <c r="H5" s="94"/>
      <c r="I5" s="94"/>
    </row>
    <row r="6" ht="14.25" customHeight="1">
      <c r="A6" s="202" t="s">
        <v>988</v>
      </c>
      <c r="B6" s="202" t="s">
        <v>989</v>
      </c>
      <c r="C6" s="202" t="s">
        <v>990</v>
      </c>
      <c r="D6" s="203" t="s">
        <v>991</v>
      </c>
      <c r="E6" s="197"/>
      <c r="F6" s="202" t="s">
        <v>992</v>
      </c>
      <c r="G6" s="4" t="s">
        <v>993</v>
      </c>
      <c r="H6" s="202" t="s">
        <v>994</v>
      </c>
      <c r="I6" s="202" t="s">
        <v>995</v>
      </c>
    </row>
    <row r="7" ht="14.25" customHeight="1">
      <c r="A7" s="249" t="s">
        <v>549</v>
      </c>
      <c r="B7" s="3" t="str">
        <f>IF($A7=0,"",VLOOKUP($A7,'00_Mat'!$A$4:$J$1165,2,FALSE))</f>
        <v>Hormigon H8</v>
      </c>
      <c r="C7" s="3" t="str">
        <f>IF($A7=0,"",VLOOKUP($A7,'00_Mat'!$A$4:$J$1165,3,FALSE))</f>
        <v>m3</v>
      </c>
      <c r="D7" s="250">
        <f>H3</f>
        <v>39</v>
      </c>
      <c r="E7" s="204"/>
      <c r="F7" s="236">
        <v>0.1</v>
      </c>
      <c r="G7" s="221">
        <f t="shared" ref="G7:G12" si="1">ROUNDUP((D7+(D7*F7)),0)</f>
        <v>43</v>
      </c>
      <c r="H7" s="143">
        <f>IF($A7=0,"",VLOOKUP($A7,'00_Mat'!$A$4:$J$1135,5,FALSE))</f>
        <v>131000</v>
      </c>
      <c r="I7" s="143">
        <f t="shared" ref="I7:I12" si="2">G7*H7</f>
        <v>5633000</v>
      </c>
      <c r="J7" s="231"/>
    </row>
    <row r="8" ht="14.25" customHeight="1">
      <c r="A8" s="249" t="s">
        <v>121</v>
      </c>
      <c r="B8" s="3" t="str">
        <f>IF($A8=0,"",VLOOKUP($A8,'00_Mat'!$A$4:$J$1165,2,FALSE))</f>
        <v>Malla Φ 5,5  (2 m x 5 m) (hierros cada 0,18 x 0,18 m) </v>
      </c>
      <c r="C8" s="3" t="str">
        <f>IF($A8=0,"",VLOOKUP($A8,'00_Mat'!$A$4:$J$1165,3,FALSE))</f>
        <v>u</v>
      </c>
      <c r="D8" s="250">
        <f>L4/10</f>
        <v>39</v>
      </c>
      <c r="E8" s="204"/>
      <c r="F8" s="236">
        <v>0.1</v>
      </c>
      <c r="G8" s="221">
        <f t="shared" si="1"/>
        <v>43</v>
      </c>
      <c r="H8" s="143">
        <f>IF($A8=0,"",VLOOKUP($A8,'00_Mat'!$A$4:$J$1135,5,FALSE))</f>
        <v>37608</v>
      </c>
      <c r="I8" s="143">
        <f t="shared" si="2"/>
        <v>1617144</v>
      </c>
    </row>
    <row r="9" ht="14.25" customHeight="1">
      <c r="A9" s="3" t="s">
        <v>303</v>
      </c>
      <c r="B9" s="92" t="str">
        <f>IF($A9=0,"",VLOOKUP($A9,'00_Mat'!$A$4:$J$1135,2,FALSE))</f>
        <v>Fenolico 18mm Grandis 2 Buenas cal 3/3</v>
      </c>
      <c r="C9" s="92" t="str">
        <f>IF($A9=0,"",VLOOKUP($A9,'00_Mat'!$A$4:$J$1135,3,FALSE))</f>
        <v>u</v>
      </c>
      <c r="D9" s="229">
        <v>0.0</v>
      </c>
      <c r="E9" s="204"/>
      <c r="F9" s="236">
        <v>0.25</v>
      </c>
      <c r="G9" s="221">
        <f t="shared" si="1"/>
        <v>0</v>
      </c>
      <c r="H9" s="143">
        <f>IF($A9=0,"",VLOOKUP($A9,'00_Mat'!$A$4:$J$1135,5,FALSE))</f>
        <v>45454</v>
      </c>
      <c r="I9" s="143">
        <f t="shared" si="2"/>
        <v>0</v>
      </c>
      <c r="J9" s="153" t="s">
        <v>1030</v>
      </c>
    </row>
    <row r="10" ht="14.25" customHeight="1">
      <c r="A10" s="3" t="s">
        <v>602</v>
      </c>
      <c r="B10" s="92" t="str">
        <f>IF($A10=0,"",VLOOKUP($A10,'00_Mat'!$A$4:$J$1135,2,FALSE))</f>
        <v>Bomba Pluma Traslado e Instalacion</v>
      </c>
      <c r="C10" s="92" t="str">
        <f>IF($A10=0,"",VLOOKUP($A10,'00_Mat'!$A$4:$J$1135,3,FALSE))</f>
        <v>u</v>
      </c>
      <c r="D10" s="229">
        <v>1.0</v>
      </c>
      <c r="E10" s="204"/>
      <c r="F10" s="206"/>
      <c r="G10" s="221">
        <f t="shared" si="1"/>
        <v>1</v>
      </c>
      <c r="H10" s="143">
        <f>IF($A10=0,"",VLOOKUP($A10,'00_Mat'!$A$4:$J$1135,5,FALSE))</f>
        <v>600000</v>
      </c>
      <c r="I10" s="143">
        <f t="shared" si="2"/>
        <v>600000</v>
      </c>
      <c r="J10" s="153" t="s">
        <v>1031</v>
      </c>
    </row>
    <row r="11" ht="14.25" customHeight="1">
      <c r="A11" s="3" t="s">
        <v>604</v>
      </c>
      <c r="B11" s="92" t="str">
        <f>IF($A11=0,"",VLOOKUP($A11,'00_Mat'!$A$4:$J$1135,2,FALSE))</f>
        <v>Bomba Pluma m3 bombeable</v>
      </c>
      <c r="C11" s="92" t="str">
        <f>IF($A11=0,"",VLOOKUP($A11,'00_Mat'!$A$4:$J$1135,3,FALSE))</f>
        <v>m3</v>
      </c>
      <c r="D11" s="205">
        <f>D7</f>
        <v>39</v>
      </c>
      <c r="E11" s="204"/>
      <c r="F11" s="236">
        <v>0.1</v>
      </c>
      <c r="G11" s="221">
        <f t="shared" si="1"/>
        <v>43</v>
      </c>
      <c r="H11" s="143">
        <f>IF($A11=0,"",VLOOKUP($A11,'00_Mat'!$A$4:$J$1135,5,FALSE))</f>
        <v>6000</v>
      </c>
      <c r="I11" s="143">
        <f t="shared" si="2"/>
        <v>258000</v>
      </c>
      <c r="J11" s="153" t="s">
        <v>1032</v>
      </c>
    </row>
    <row r="12" ht="14.25" customHeight="1">
      <c r="A12" s="3" t="s">
        <v>280</v>
      </c>
      <c r="B12" s="92" t="str">
        <f>IF($A12=0,"",VLOOKUP($A12,'00_Mat'!$A$4:$J$1135,2,FALSE))</f>
        <v>Nylon 200 Micrones (100 m2 x rollo)</v>
      </c>
      <c r="C12" s="92" t="str">
        <f>IF($A12=0,"",VLOOKUP($A12,'00_Mat'!$A$4:$J$1135,3,FALSE))</f>
        <v>u</v>
      </c>
      <c r="D12" s="204">
        <f>L4/100</f>
        <v>3.9</v>
      </c>
      <c r="E12" s="204"/>
      <c r="F12" s="236">
        <v>0.1</v>
      </c>
      <c r="G12" s="221">
        <f t="shared" si="1"/>
        <v>5</v>
      </c>
      <c r="H12" s="143">
        <f>IF($A12=0,"",VLOOKUP($A12,'00_Mat'!$A$4:$J$1135,5,FALSE))</f>
        <v>81655</v>
      </c>
      <c r="I12" s="143">
        <f t="shared" si="2"/>
        <v>408275</v>
      </c>
    </row>
    <row r="13" ht="14.25" customHeight="1">
      <c r="A13" s="20"/>
      <c r="B13" s="92"/>
      <c r="C13" s="92"/>
      <c r="D13" s="229"/>
      <c r="E13" s="204"/>
      <c r="F13" s="206"/>
      <c r="G13" s="221"/>
      <c r="H13" s="143"/>
      <c r="I13" s="143"/>
    </row>
    <row r="14" ht="14.25" customHeight="1">
      <c r="A14" s="3"/>
      <c r="B14" s="92"/>
      <c r="C14" s="92"/>
      <c r="D14" s="229"/>
      <c r="E14" s="204"/>
      <c r="F14" s="206"/>
      <c r="G14" s="221"/>
      <c r="H14" s="143"/>
      <c r="I14" s="143"/>
    </row>
    <row r="15" ht="14.25" customHeight="1">
      <c r="A15" s="3"/>
      <c r="B15" s="92"/>
      <c r="C15" s="92"/>
      <c r="D15" s="229"/>
      <c r="E15" s="204"/>
      <c r="F15" s="206"/>
      <c r="G15" s="221"/>
      <c r="H15" s="143"/>
      <c r="I15" s="143"/>
    </row>
    <row r="16" ht="14.25" customHeight="1">
      <c r="A16" s="204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04"/>
      <c r="E16" s="204"/>
      <c r="F16" s="206"/>
      <c r="G16" s="221">
        <f t="shared" ref="G16:G18" si="3">ROUNDUP((D16+(D16*F16)),0)</f>
        <v>0</v>
      </c>
      <c r="H16" s="143" t="str">
        <f>IF($A16=0,"",VLOOKUP($A16,'00_Mat'!$A$4:$J$1135,5,FALSE))</f>
        <v/>
      </c>
      <c r="I16" s="143"/>
    </row>
    <row r="17" ht="14.25" customHeight="1">
      <c r="A17" s="204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04"/>
      <c r="E17" s="204"/>
      <c r="F17" s="206"/>
      <c r="G17" s="221">
        <f t="shared" si="3"/>
        <v>0</v>
      </c>
      <c r="H17" s="143" t="str">
        <f>IF($A17=0,"",VLOOKUP($A17,'00_Mat'!$A$4:$J$1135,5,FALSE))</f>
        <v/>
      </c>
      <c r="I17" s="143"/>
    </row>
    <row r="18" ht="14.25" customHeight="1">
      <c r="A18" s="204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04"/>
      <c r="E18" s="204"/>
      <c r="F18" s="206"/>
      <c r="G18" s="221">
        <f t="shared" si="3"/>
        <v>0</v>
      </c>
      <c r="H18" s="143" t="str">
        <f>IF($A18=0,"",VLOOKUP($A18,'00_Mat'!$A$4:$J$1135,5,FALSE))</f>
        <v/>
      </c>
      <c r="I18" s="143"/>
    </row>
    <row r="19" ht="14.25" customHeight="1">
      <c r="F19" s="208"/>
      <c r="G19" s="3"/>
      <c r="H19" s="143"/>
      <c r="I19" s="143"/>
    </row>
    <row r="20" ht="14.25" customHeight="1">
      <c r="A20" s="222" t="s">
        <v>996</v>
      </c>
      <c r="B20" s="223"/>
      <c r="C20" s="223"/>
      <c r="D20" s="223"/>
      <c r="E20" s="223"/>
      <c r="F20" s="223"/>
      <c r="G20" s="211"/>
      <c r="H20" s="223"/>
      <c r="I20" s="224">
        <f>SUM(I7:I18)</f>
        <v>8516419</v>
      </c>
      <c r="J20" s="92"/>
      <c r="K20" s="92"/>
      <c r="L20" s="92"/>
    </row>
    <row r="21" ht="14.25" customHeight="1">
      <c r="A21" s="232" t="str">
        <f>$I$3</f>
        <v>m³</v>
      </c>
      <c r="B21" s="233"/>
      <c r="C21" s="233"/>
      <c r="D21" s="233"/>
      <c r="E21" s="233"/>
      <c r="F21" s="233"/>
      <c r="G21" s="21"/>
      <c r="H21" s="233"/>
      <c r="I21" s="205">
        <f>$H$3</f>
        <v>39</v>
      </c>
      <c r="J21" s="92"/>
      <c r="K21" s="92"/>
      <c r="L21" s="92"/>
    </row>
    <row r="22" ht="14.25" customHeight="1">
      <c r="A22" s="234" t="s">
        <v>997</v>
      </c>
      <c r="B22" s="232" t="str">
        <f>A21</f>
        <v>m³</v>
      </c>
      <c r="C22" s="233"/>
      <c r="D22" s="233"/>
      <c r="E22" s="233"/>
      <c r="F22" s="233"/>
      <c r="G22" s="21"/>
      <c r="H22" s="233"/>
      <c r="I22" s="235">
        <f>I20/I21</f>
        <v>218369.7179</v>
      </c>
      <c r="J22" s="92"/>
      <c r="K22" s="92"/>
      <c r="L22" s="92"/>
    </row>
    <row r="23" ht="14.25" customHeight="1">
      <c r="G23" s="3"/>
      <c r="I23" s="151"/>
    </row>
    <row r="24" ht="14.25" customHeight="1">
      <c r="G24" s="3"/>
    </row>
    <row r="25" ht="14.25" customHeight="1">
      <c r="A25" s="201" t="s">
        <v>998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02" t="s">
        <v>988</v>
      </c>
      <c r="B26" s="202" t="s">
        <v>989</v>
      </c>
      <c r="C26" s="202" t="s">
        <v>990</v>
      </c>
      <c r="D26" s="202" t="s">
        <v>991</v>
      </c>
      <c r="E26" s="202" t="s">
        <v>999</v>
      </c>
      <c r="F26" s="202" t="s">
        <v>992</v>
      </c>
      <c r="G26" s="4" t="s">
        <v>993</v>
      </c>
      <c r="H26" s="202" t="s">
        <v>994</v>
      </c>
      <c r="I26" s="202" t="s">
        <v>995</v>
      </c>
    </row>
    <row r="27" ht="14.25" customHeight="1">
      <c r="A27" s="61" t="s">
        <v>621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29">
        <v>1.0</v>
      </c>
      <c r="E27" s="229">
        <v>5.0</v>
      </c>
      <c r="F27" s="236">
        <v>0.25</v>
      </c>
      <c r="G27" s="217">
        <f t="shared" ref="G27:G32" si="4">ROUNDUP(((D27*E27)*(1+F27)),0)</f>
        <v>7</v>
      </c>
      <c r="H27" s="143">
        <f>IF($A27=0,"",VLOOKUP($A27,'00_MO'!$A$4:$D$7,4,FALSE))</f>
        <v>120000</v>
      </c>
      <c r="I27" s="143">
        <f t="shared" ref="I27:I30" si="5">G27*H27</f>
        <v>840000</v>
      </c>
    </row>
    <row r="28" ht="14.25" customHeight="1">
      <c r="A28" s="61" t="s">
        <v>623</v>
      </c>
      <c r="B28" s="92" t="str">
        <f>IF($A28=0,"",VLOOKUP($A28,'00_MO'!$A$4:$D$7,2,FALSE))</f>
        <v>Puntero</v>
      </c>
      <c r="C28" s="92" t="str">
        <f>IF($A28=0,"",VLOOKUP($A28,'00_MO'!$A$4:$D$7,3,FALSE))</f>
        <v>u</v>
      </c>
      <c r="D28" s="229">
        <v>2.0</v>
      </c>
      <c r="E28" s="229">
        <v>5.0</v>
      </c>
      <c r="F28" s="236">
        <v>0.25</v>
      </c>
      <c r="G28" s="217">
        <f t="shared" si="4"/>
        <v>13</v>
      </c>
      <c r="H28" s="143">
        <f>IF($A28=0,"",VLOOKUP($A28,'00_MO'!$A$4:$D$7,4,FALSE))</f>
        <v>105000</v>
      </c>
      <c r="I28" s="143">
        <f t="shared" si="5"/>
        <v>1365000</v>
      </c>
    </row>
    <row r="29" ht="14.25" customHeight="1">
      <c r="A29" s="61" t="s">
        <v>625</v>
      </c>
      <c r="B29" s="92" t="str">
        <f>IF($A29=0,"",VLOOKUP($A29,'00_MO'!$A$4:$D$7,2,FALSE))</f>
        <v>Oficial</v>
      </c>
      <c r="C29" s="92" t="str">
        <f>IF($A29=0,"",VLOOKUP($A29,'00_MO'!$A$4:$D$7,3,FALSE))</f>
        <v>u</v>
      </c>
      <c r="D29" s="229">
        <v>3.0</v>
      </c>
      <c r="E29" s="229">
        <v>5.0</v>
      </c>
      <c r="F29" s="236">
        <v>0.25</v>
      </c>
      <c r="G29" s="217">
        <f t="shared" si="4"/>
        <v>19</v>
      </c>
      <c r="H29" s="143">
        <f>IF($A29=0,"",VLOOKUP($A29,'00_MO'!$A$4:$D$7,4,FALSE))</f>
        <v>90000</v>
      </c>
      <c r="I29" s="143">
        <f t="shared" si="5"/>
        <v>1710000</v>
      </c>
    </row>
    <row r="30" ht="14.25" customHeight="1">
      <c r="A30" s="61" t="s">
        <v>627</v>
      </c>
      <c r="B30" s="92" t="str">
        <f>IF($A30=0,"",VLOOKUP($A30,'00_MO'!$A$4:$D$7,2,FALSE))</f>
        <v>Ayudante</v>
      </c>
      <c r="C30" s="92" t="str">
        <f>IF($A30=0,"",VLOOKUP($A30,'00_MO'!$A$4:$D$7,3,FALSE))</f>
        <v>u</v>
      </c>
      <c r="D30" s="229">
        <v>3.0</v>
      </c>
      <c r="E30" s="229">
        <v>5.0</v>
      </c>
      <c r="F30" s="236">
        <v>0.25</v>
      </c>
      <c r="G30" s="217">
        <f t="shared" si="4"/>
        <v>19</v>
      </c>
      <c r="H30" s="143">
        <f>IF($A30=0,"",VLOOKUP($A30,'00_MO'!$A$4:$D$7,4,FALSE))</f>
        <v>60000</v>
      </c>
      <c r="I30" s="143">
        <f t="shared" si="5"/>
        <v>1140000</v>
      </c>
    </row>
    <row r="31" ht="14.25" customHeight="1">
      <c r="A31" s="204"/>
      <c r="B31" s="92" t="str">
        <f>IF($A31=0,"",VLOOKUP($A31,'00_MO'!$A$4:$D$7,2,FALSE))</f>
        <v/>
      </c>
      <c r="C31" s="92" t="str">
        <f>IF($A31=0,"",VLOOKUP($A31,'00_MO'!$A$4:$D$7,3,FALSE))</f>
        <v/>
      </c>
      <c r="D31" s="204"/>
      <c r="E31" s="229"/>
      <c r="F31" s="206"/>
      <c r="G31" s="217">
        <f t="shared" si="4"/>
        <v>0</v>
      </c>
      <c r="H31" s="143" t="str">
        <f>IF($A31=0,"",VLOOKUP($A31,'00_MO'!$A$4:$D$7,4,FALSE))</f>
        <v/>
      </c>
      <c r="I31" s="143"/>
    </row>
    <row r="32" ht="14.25" customHeight="1">
      <c r="A32" s="204"/>
      <c r="B32" s="92" t="str">
        <f>IF($A32=0,"",VLOOKUP($A32,'00_MO'!$A$4:$D$7,2,FALSE))</f>
        <v/>
      </c>
      <c r="C32" s="92" t="str">
        <f>IF($A32=0,"",VLOOKUP($A32,'00_MO'!$A$4:$D$7,3,FALSE))</f>
        <v/>
      </c>
      <c r="D32" s="204"/>
      <c r="E32" s="204"/>
      <c r="F32" s="206"/>
      <c r="G32" s="217">
        <f t="shared" si="4"/>
        <v>0</v>
      </c>
      <c r="H32" s="143" t="str">
        <f>IF($A32=0,"",VLOOKUP($A32,'00_MO'!$A$4:$D$7,4,FALSE))</f>
        <v/>
      </c>
      <c r="I32" s="143"/>
    </row>
    <row r="33" ht="14.25" customHeight="1">
      <c r="F33" s="208"/>
      <c r="G33" s="3"/>
      <c r="H33" s="143"/>
      <c r="I33" s="143"/>
    </row>
    <row r="34" ht="14.25" customHeight="1">
      <c r="A34" s="222" t="s">
        <v>987</v>
      </c>
      <c r="B34" s="223"/>
      <c r="C34" s="223"/>
      <c r="D34" s="223"/>
      <c r="E34" s="223"/>
      <c r="F34" s="223"/>
      <c r="G34" s="211"/>
      <c r="H34" s="223"/>
      <c r="I34" s="224">
        <f>SUM(I27:I32)</f>
        <v>5055000</v>
      </c>
    </row>
    <row r="35" ht="14.25" customHeight="1">
      <c r="A35" s="232" t="str">
        <f>$I$3</f>
        <v>m³</v>
      </c>
      <c r="B35" s="233"/>
      <c r="C35" s="233"/>
      <c r="D35" s="233"/>
      <c r="E35" s="233"/>
      <c r="F35" s="233"/>
      <c r="G35" s="21"/>
      <c r="H35" s="233"/>
      <c r="I35" s="205">
        <f>$H$3</f>
        <v>39</v>
      </c>
      <c r="J35" s="92"/>
      <c r="K35" s="92"/>
      <c r="L35" s="92"/>
    </row>
    <row r="36" ht="14.25" customHeight="1">
      <c r="A36" s="234" t="s">
        <v>997</v>
      </c>
      <c r="B36" s="232" t="str">
        <f>A35</f>
        <v>m³</v>
      </c>
      <c r="C36" s="233"/>
      <c r="D36" s="233"/>
      <c r="E36" s="233"/>
      <c r="F36" s="233"/>
      <c r="G36" s="21"/>
      <c r="H36" s="233"/>
      <c r="I36" s="235">
        <f>I34/I35</f>
        <v>129615.3846</v>
      </c>
      <c r="J36" s="92"/>
      <c r="K36" s="92"/>
      <c r="L36" s="92"/>
    </row>
    <row r="37" ht="14.25" customHeight="1">
      <c r="G37" s="3"/>
      <c r="I37" s="151"/>
    </row>
    <row r="38" ht="14.25" customHeight="1">
      <c r="G38" s="3"/>
    </row>
    <row r="39" ht="14.25" customHeight="1">
      <c r="A39" s="201" t="s">
        <v>1000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02" t="s">
        <v>988</v>
      </c>
      <c r="B40" s="202" t="s">
        <v>989</v>
      </c>
      <c r="C40" s="202" t="s">
        <v>990</v>
      </c>
      <c r="D40" s="202" t="s">
        <v>991</v>
      </c>
      <c r="E40" s="202" t="s">
        <v>999</v>
      </c>
      <c r="F40" s="202" t="s">
        <v>992</v>
      </c>
      <c r="G40" s="4" t="s">
        <v>993</v>
      </c>
      <c r="H40" s="202" t="s">
        <v>994</v>
      </c>
      <c r="I40" s="202" t="s">
        <v>995</v>
      </c>
    </row>
    <row r="41" ht="14.25" customHeight="1">
      <c r="A41" s="3"/>
      <c r="B41" s="92" t="str">
        <f>IF($A41=0,"",VLOOKUP($A41,'00_Mat'!$A$4:$J$1135,2,FALSE))</f>
        <v/>
      </c>
      <c r="C41" s="92" t="str">
        <f>IF($A41=0,"",VLOOKUP($A41,'00_Mat'!$A$4:$J$1135,3,FALSE))</f>
        <v/>
      </c>
      <c r="D41" s="230"/>
      <c r="E41" s="204"/>
      <c r="F41" s="236"/>
      <c r="G41" s="221">
        <f t="shared" ref="G41:G45" si="6">ROUNDUP((D41+(D41*F41)),0)</f>
        <v>0</v>
      </c>
      <c r="H41" s="143" t="str">
        <f>IF($A41=0,"",VLOOKUP($A41,'00_Mat'!$A$4:$J$1135,5,FALSE))</f>
        <v/>
      </c>
      <c r="I41" s="143">
        <f t="shared" ref="I41:I46" si="7">G41*H41</f>
        <v>0</v>
      </c>
      <c r="J41" s="237"/>
    </row>
    <row r="42" ht="14.25" customHeight="1">
      <c r="A42" s="3"/>
      <c r="B42" s="92" t="str">
        <f>IF($A42=0,"",VLOOKUP($A42,'00_Mat'!$A$4:$J$1135,2,FALSE))</f>
        <v/>
      </c>
      <c r="C42" s="92" t="str">
        <f>IF($A42=0,"",VLOOKUP($A42,'00_Mat'!$A$4:$J$1135,3,FALSE))</f>
        <v/>
      </c>
      <c r="D42" s="230"/>
      <c r="E42" s="204"/>
      <c r="F42" s="236"/>
      <c r="G42" s="221">
        <f t="shared" si="6"/>
        <v>0</v>
      </c>
      <c r="H42" s="143" t="str">
        <f>IF($A42=0,"",VLOOKUP($A42,'00_Mat'!$A$4:$J$1135,5,FALSE))</f>
        <v/>
      </c>
      <c r="I42" s="143">
        <f t="shared" si="7"/>
        <v>0</v>
      </c>
      <c r="J42" s="237"/>
    </row>
    <row r="43" ht="14.25" customHeight="1">
      <c r="A43" s="3"/>
      <c r="B43" s="92" t="str">
        <f>IF($A43=0,"",VLOOKUP($A43,'00_Mat'!$A$4:$J$1135,2,FALSE))</f>
        <v/>
      </c>
      <c r="C43" s="92" t="str">
        <f>IF($A43=0,"",VLOOKUP($A43,'00_Mat'!$A$4:$J$1135,3,FALSE))</f>
        <v/>
      </c>
      <c r="D43" s="230"/>
      <c r="E43" s="204"/>
      <c r="F43" s="236"/>
      <c r="G43" s="221">
        <f t="shared" si="6"/>
        <v>0</v>
      </c>
      <c r="H43" s="143" t="str">
        <f>IF($A43=0,"",VLOOKUP($A43,'00_Mat'!$A$4:$J$1135,5,FALSE))</f>
        <v/>
      </c>
      <c r="I43" s="143">
        <f t="shared" si="7"/>
        <v>0</v>
      </c>
    </row>
    <row r="44" ht="14.25" customHeight="1">
      <c r="A44" s="20"/>
      <c r="B44" s="92" t="str">
        <f>IF($A44=0,"",VLOOKUP($A44,'00_Mat'!$A$4:$J$1135,2,FALSE))</f>
        <v/>
      </c>
      <c r="C44" s="92" t="str">
        <f>IF($A44=0,"",VLOOKUP($A44,'00_Mat'!$A$4:$J$1135,3,FALSE))</f>
        <v/>
      </c>
      <c r="D44" s="230"/>
      <c r="E44" s="204"/>
      <c r="F44" s="236"/>
      <c r="G44" s="221">
        <f t="shared" si="6"/>
        <v>0</v>
      </c>
      <c r="H44" s="143" t="str">
        <f>IF($A44=0,"",VLOOKUP($A44,'00_Mat'!$A$4:$J$1135,5,FALSE))</f>
        <v/>
      </c>
      <c r="I44" s="143">
        <f t="shared" si="7"/>
        <v>0</v>
      </c>
    </row>
    <row r="45" ht="14.25" customHeight="1">
      <c r="B45" s="194" t="str">
        <f>IF($A45=0,"",VLOOKUP($A45,'00_Mat'!$A$4:$J$1135,2,FALSE))</f>
        <v/>
      </c>
      <c r="C45" s="92" t="str">
        <f>IF($A45=0,"",VLOOKUP($A45,'00_Mat'!$A$4:$J$1135,3,FALSE))</f>
        <v/>
      </c>
      <c r="D45" s="230"/>
      <c r="E45" s="204"/>
      <c r="F45" s="236"/>
      <c r="G45" s="221">
        <f t="shared" si="6"/>
        <v>0</v>
      </c>
      <c r="H45" s="231"/>
      <c r="I45" s="143">
        <f t="shared" si="7"/>
        <v>0</v>
      </c>
    </row>
    <row r="46" ht="14.25" customHeight="1">
      <c r="A46" s="204"/>
      <c r="B46" s="92" t="str">
        <f>IF($A46=0,"",VLOOKUP($A46,'00_Mat'!$A$4:$J$1135,2,FALSE))</f>
        <v/>
      </c>
      <c r="C46" s="92" t="str">
        <f>IF($A46=0,"",VLOOKUP($A46,'00_Mat'!$A$4:$J$1135,3,FALSE))</f>
        <v/>
      </c>
      <c r="D46" s="229"/>
      <c r="E46" s="204"/>
      <c r="F46" s="236"/>
      <c r="G46" s="217">
        <f>ROUNDUP(((D46*E46)*(1+F46)),0)</f>
        <v>0</v>
      </c>
      <c r="H46" s="143" t="str">
        <f>IF($A46=0,"",VLOOKUP($A46,'00_Mat'!$A$4:$J$1135,5,FALSE))</f>
        <v/>
      </c>
      <c r="I46" s="143">
        <f t="shared" si="7"/>
        <v>0</v>
      </c>
      <c r="J46" s="153"/>
    </row>
    <row r="47" ht="14.25" customHeight="1">
      <c r="F47" s="208"/>
      <c r="G47" s="3"/>
      <c r="H47" s="143"/>
      <c r="I47" s="143"/>
    </row>
    <row r="48" ht="14.25" customHeight="1">
      <c r="A48" s="222" t="s">
        <v>987</v>
      </c>
      <c r="B48" s="223"/>
      <c r="C48" s="223"/>
      <c r="D48" s="223"/>
      <c r="E48" s="223"/>
      <c r="F48" s="223"/>
      <c r="G48" s="211"/>
      <c r="H48" s="223"/>
      <c r="I48" s="224">
        <f>SUM(I41:I46)</f>
        <v>0</v>
      </c>
    </row>
    <row r="49" ht="14.25" customHeight="1">
      <c r="A49" s="232" t="str">
        <f>$I$3</f>
        <v>m³</v>
      </c>
      <c r="B49" s="233"/>
      <c r="C49" s="233"/>
      <c r="D49" s="233"/>
      <c r="E49" s="233"/>
      <c r="F49" s="233"/>
      <c r="G49" s="21"/>
      <c r="H49" s="233"/>
      <c r="I49" s="205">
        <f>$H$3</f>
        <v>39</v>
      </c>
      <c r="J49" s="92"/>
      <c r="K49" s="92"/>
      <c r="L49" s="92"/>
    </row>
    <row r="50" ht="14.25" customHeight="1">
      <c r="A50" s="234" t="s">
        <v>997</v>
      </c>
      <c r="B50" s="232" t="str">
        <f>A49</f>
        <v>m³</v>
      </c>
      <c r="C50" s="233"/>
      <c r="D50" s="233"/>
      <c r="E50" s="233"/>
      <c r="F50" s="233"/>
      <c r="G50" s="21"/>
      <c r="H50" s="233"/>
      <c r="I50" s="235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01" t="s">
        <v>1010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02" t="s">
        <v>988</v>
      </c>
      <c r="B54" s="202" t="s">
        <v>989</v>
      </c>
      <c r="C54" s="202" t="s">
        <v>990</v>
      </c>
      <c r="D54" s="203" t="s">
        <v>991</v>
      </c>
      <c r="E54" s="197"/>
      <c r="F54" s="202" t="s">
        <v>992</v>
      </c>
      <c r="G54" s="4" t="s">
        <v>993</v>
      </c>
      <c r="H54" s="202" t="s">
        <v>994</v>
      </c>
      <c r="I54" s="202" t="s">
        <v>995</v>
      </c>
    </row>
    <row r="55" ht="14.25" customHeight="1">
      <c r="A55" s="229"/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30">
        <v>1.0</v>
      </c>
      <c r="E55" s="204"/>
      <c r="F55" s="236">
        <v>0.1</v>
      </c>
      <c r="G55" s="221">
        <f t="shared" ref="G55:G60" si="8">ROUNDUP((D55+(D55*F55)),0)</f>
        <v>2</v>
      </c>
      <c r="H55" s="143" t="str">
        <f>IF($A55=0,"",VLOOKUP($A55,'00_Mat'!$A$4:$J$1135,5,FALSE))</f>
        <v/>
      </c>
      <c r="I55" s="143">
        <f t="shared" ref="I55:I58" si="9">G55*H55</f>
        <v>0</v>
      </c>
      <c r="J55" s="237"/>
    </row>
    <row r="56" ht="14.25" customHeight="1">
      <c r="A56" s="3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0">
        <v>10.0</v>
      </c>
      <c r="E56" s="204"/>
      <c r="F56" s="236">
        <v>0.1</v>
      </c>
      <c r="G56" s="221">
        <f t="shared" si="8"/>
        <v>11</v>
      </c>
      <c r="H56" s="143" t="str">
        <f>IF($A56=0,"",VLOOKUP($A56,'00_Mat'!$A$4:$J$1135,5,FALSE))</f>
        <v/>
      </c>
      <c r="I56" s="143">
        <f t="shared" si="9"/>
        <v>0</v>
      </c>
      <c r="J56" s="237"/>
    </row>
    <row r="57" ht="14.25" customHeight="1">
      <c r="A57" s="3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0">
        <v>1.0</v>
      </c>
      <c r="E57" s="204"/>
      <c r="F57" s="236">
        <v>0.1</v>
      </c>
      <c r="G57" s="221">
        <f t="shared" si="8"/>
        <v>2</v>
      </c>
      <c r="H57" s="143" t="str">
        <f>IF($A57=0,"",VLOOKUP($A57,'00_Mat'!$A$4:$J$1135,5,FALSE))</f>
        <v/>
      </c>
      <c r="I57" s="143">
        <f t="shared" si="9"/>
        <v>0</v>
      </c>
    </row>
    <row r="58" ht="14.25" customHeight="1">
      <c r="A58" s="20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0">
        <v>1.0</v>
      </c>
      <c r="E58" s="204"/>
      <c r="F58" s="236">
        <v>0.1</v>
      </c>
      <c r="G58" s="221">
        <f t="shared" si="8"/>
        <v>2</v>
      </c>
      <c r="H58" s="143" t="str">
        <f>IF($A58=0,"",VLOOKUP($A58,'00_Mat'!$A$4:$J$1135,5,FALSE))</f>
        <v/>
      </c>
      <c r="I58" s="143">
        <f t="shared" si="9"/>
        <v>0</v>
      </c>
    </row>
    <row r="59" ht="14.25" customHeight="1">
      <c r="A59" s="204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05"/>
      <c r="E59" s="204"/>
      <c r="F59" s="206"/>
      <c r="G59" s="221">
        <f t="shared" si="8"/>
        <v>0</v>
      </c>
      <c r="H59" s="143" t="str">
        <f>IF($A59=0,"",VLOOKUP($A59,'00_Mat'!$A$4:$J$1135,5,FALSE))</f>
        <v/>
      </c>
      <c r="I59" s="143"/>
    </row>
    <row r="60" ht="14.25" customHeight="1">
      <c r="A60" s="204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05"/>
      <c r="E60" s="204"/>
      <c r="F60" s="206"/>
      <c r="G60" s="221">
        <f t="shared" si="8"/>
        <v>0</v>
      </c>
      <c r="H60" s="143" t="str">
        <f>IF($A60=0,"",VLOOKUP($A60,'00_Mat'!$A$4:$J$1135,5,FALSE))</f>
        <v/>
      </c>
      <c r="I60" s="143"/>
    </row>
    <row r="61" ht="14.25" customHeight="1">
      <c r="F61" s="208"/>
      <c r="G61" s="3"/>
      <c r="H61" s="143"/>
      <c r="I61" s="143"/>
    </row>
    <row r="62" ht="14.25" customHeight="1">
      <c r="A62" s="222" t="s">
        <v>987</v>
      </c>
      <c r="B62" s="223"/>
      <c r="C62" s="223"/>
      <c r="D62" s="223"/>
      <c r="E62" s="223"/>
      <c r="F62" s="223"/>
      <c r="G62" s="211"/>
      <c r="H62" s="223"/>
      <c r="I62" s="224">
        <f>SUM(I55:I60)</f>
        <v>0</v>
      </c>
    </row>
    <row r="63" ht="14.25" customHeight="1">
      <c r="A63" s="232" t="str">
        <f>$I$3</f>
        <v>m³</v>
      </c>
      <c r="B63" s="233"/>
      <c r="C63" s="233"/>
      <c r="D63" s="233"/>
      <c r="E63" s="233"/>
      <c r="F63" s="233"/>
      <c r="G63" s="21"/>
      <c r="H63" s="233"/>
      <c r="I63" s="205">
        <f>$H$3</f>
        <v>39</v>
      </c>
      <c r="J63" s="92"/>
      <c r="K63" s="92"/>
      <c r="L63" s="92"/>
    </row>
    <row r="64" ht="14.25" customHeight="1">
      <c r="A64" s="234" t="s">
        <v>997</v>
      </c>
      <c r="B64" s="232" t="str">
        <f>A63</f>
        <v>m³</v>
      </c>
      <c r="C64" s="233"/>
      <c r="D64" s="233"/>
      <c r="E64" s="233"/>
      <c r="F64" s="233"/>
      <c r="G64" s="21"/>
      <c r="H64" s="233"/>
      <c r="I64" s="235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01" t="s">
        <v>1025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02" t="s">
        <v>988</v>
      </c>
      <c r="B68" s="202" t="s">
        <v>989</v>
      </c>
      <c r="C68" s="202" t="s">
        <v>990</v>
      </c>
      <c r="D68" s="202" t="s">
        <v>991</v>
      </c>
      <c r="E68" s="202" t="s">
        <v>999</v>
      </c>
      <c r="F68" s="202" t="s">
        <v>992</v>
      </c>
      <c r="G68" s="4" t="s">
        <v>993</v>
      </c>
      <c r="H68" s="202" t="s">
        <v>994</v>
      </c>
      <c r="I68" s="202" t="s">
        <v>995</v>
      </c>
    </row>
    <row r="69" ht="14.25" customHeight="1">
      <c r="A69" s="20"/>
      <c r="B69" s="92" t="str">
        <f>IF($A69=0,"",VLOOKUP($A69,'00_Sub'!$A$4:$D$1007,2,FALSE))</f>
        <v/>
      </c>
      <c r="C69" s="92" t="str">
        <f>IF($A69=0,"",VLOOKUP($A69,'00_Sub'!$A$4:$D$1007,3,FALSE))</f>
        <v/>
      </c>
      <c r="D69" s="204"/>
      <c r="E69" s="204"/>
      <c r="F69" s="206"/>
      <c r="G69" s="221">
        <f t="shared" ref="G69:G74" si="10">ROUNDUP((D69+(D69*F69)),0)</f>
        <v>0</v>
      </c>
      <c r="H69" s="143" t="str">
        <f>IF($A69=0,"",VLOOKUP($A69,'00_Sub'!$A$4:$D$1007,4,FALSE))</f>
        <v/>
      </c>
      <c r="I69" s="143">
        <f>G69*H69</f>
        <v>0</v>
      </c>
    </row>
    <row r="70" ht="14.25" customHeight="1">
      <c r="A70" s="204"/>
      <c r="B70" s="92" t="str">
        <f>IF($A70=0,"",VLOOKUP($A70,'00_Sub'!$A$4:$D$1007,2,FALSE))</f>
        <v/>
      </c>
      <c r="C70" s="92" t="str">
        <f>IF($A70=0,"",VLOOKUP($A70,'00_Sub'!$A$4:$D$1007,3,FALSE))</f>
        <v/>
      </c>
      <c r="D70" s="204"/>
      <c r="E70" s="204"/>
      <c r="F70" s="206"/>
      <c r="G70" s="221">
        <f t="shared" si="10"/>
        <v>0</v>
      </c>
      <c r="H70" s="143" t="str">
        <f>IF($A70=0,"",VLOOKUP($A70,'00_Sub'!$A$4:$D$1007,4,FALSE))</f>
        <v/>
      </c>
      <c r="I70" s="143"/>
    </row>
    <row r="71" ht="14.25" customHeight="1">
      <c r="A71" s="204"/>
      <c r="B71" s="92" t="str">
        <f>IF($A71=0,"",VLOOKUP($A71,'00_Sub'!$A$4:$D$1007,2,FALSE))</f>
        <v/>
      </c>
      <c r="C71" s="92" t="str">
        <f>IF($A71=0,"",VLOOKUP($A71,'00_Sub'!$A$4:$D$1007,3,FALSE))</f>
        <v/>
      </c>
      <c r="D71" s="204"/>
      <c r="E71" s="204"/>
      <c r="F71" s="206"/>
      <c r="G71" s="221">
        <f t="shared" si="10"/>
        <v>0</v>
      </c>
      <c r="H71" s="143" t="str">
        <f>IF($A71=0,"",VLOOKUP($A71,'00_Sub'!$A$4:$D$1007,4,FALSE))</f>
        <v/>
      </c>
      <c r="I71" s="143"/>
    </row>
    <row r="72" ht="14.25" customHeight="1">
      <c r="A72" s="204"/>
      <c r="B72" s="92" t="str">
        <f>IF($A72=0,"",VLOOKUP($A72,'00_Sub'!$A$4:$D$1007,2,FALSE))</f>
        <v/>
      </c>
      <c r="C72" s="92" t="str">
        <f>IF($A72=0,"",VLOOKUP($A72,'00_Sub'!$A$4:$D$1007,3,FALSE))</f>
        <v/>
      </c>
      <c r="D72" s="204"/>
      <c r="E72" s="204"/>
      <c r="F72" s="206"/>
      <c r="G72" s="221">
        <f t="shared" si="10"/>
        <v>0</v>
      </c>
      <c r="H72" s="143" t="str">
        <f>IF($A72=0,"",VLOOKUP($A72,'00_Sub'!$A$4:$D$1007,4,FALSE))</f>
        <v/>
      </c>
      <c r="I72" s="143"/>
    </row>
    <row r="73" ht="14.25" customHeight="1">
      <c r="A73" s="204"/>
      <c r="B73" s="92" t="str">
        <f>IF($A73=0,"",VLOOKUP($A73,'00_Sub'!$A$4:$D$1007,2,FALSE))</f>
        <v/>
      </c>
      <c r="C73" s="92" t="str">
        <f>IF($A73=0,"",VLOOKUP($A73,'00_Sub'!$A$4:$D$1007,3,FALSE))</f>
        <v/>
      </c>
      <c r="D73" s="204"/>
      <c r="E73" s="204"/>
      <c r="F73" s="206"/>
      <c r="G73" s="221">
        <f t="shared" si="10"/>
        <v>0</v>
      </c>
      <c r="H73" s="143" t="str">
        <f>IF($A73=0,"",VLOOKUP($A73,'00_Sub'!$A$4:$D$1007,4,FALSE))</f>
        <v/>
      </c>
      <c r="I73" s="143"/>
    </row>
    <row r="74" ht="14.25" customHeight="1">
      <c r="A74" s="204"/>
      <c r="B74" s="92" t="str">
        <f>IF($A74=0,"",VLOOKUP($A74,'00_Sub'!$A$4:$D$1007,2,FALSE))</f>
        <v/>
      </c>
      <c r="C74" s="92" t="str">
        <f>IF($A74=0,"",VLOOKUP($A74,'00_Sub'!$A$4:$D$1007,3,FALSE))</f>
        <v/>
      </c>
      <c r="D74" s="204"/>
      <c r="E74" s="204"/>
      <c r="F74" s="206"/>
      <c r="G74" s="221">
        <f t="shared" si="10"/>
        <v>0</v>
      </c>
      <c r="H74" s="143" t="str">
        <f>IF($A74=0,"",VLOOKUP($A74,'00_Sub'!$A$4:$D$1007,4,FALSE))</f>
        <v/>
      </c>
      <c r="I74" s="143"/>
    </row>
    <row r="75" ht="14.25" customHeight="1">
      <c r="F75" s="208"/>
      <c r="G75" s="3"/>
      <c r="H75" s="143"/>
      <c r="I75" s="143"/>
    </row>
    <row r="76" ht="14.25" customHeight="1">
      <c r="A76" s="222" t="s">
        <v>987</v>
      </c>
      <c r="B76" s="223"/>
      <c r="C76" s="223"/>
      <c r="D76" s="223"/>
      <c r="E76" s="223"/>
      <c r="F76" s="223"/>
      <c r="G76" s="211"/>
      <c r="H76" s="223"/>
      <c r="I76" s="224">
        <f>SUM(I69:I74)</f>
        <v>0</v>
      </c>
    </row>
    <row r="77" ht="14.25" customHeight="1">
      <c r="A77" s="232" t="str">
        <f>$I$3</f>
        <v>m³</v>
      </c>
      <c r="B77" s="233"/>
      <c r="C77" s="233"/>
      <c r="D77" s="233"/>
      <c r="E77" s="233"/>
      <c r="F77" s="233"/>
      <c r="G77" s="21"/>
      <c r="H77" s="233"/>
      <c r="I77" s="205">
        <f>$H$3</f>
        <v>39</v>
      </c>
      <c r="J77" s="92"/>
      <c r="K77" s="92"/>
      <c r="L77" s="92"/>
    </row>
    <row r="78" ht="14.25" customHeight="1">
      <c r="A78" s="234" t="s">
        <v>997</v>
      </c>
      <c r="B78" s="232" t="str">
        <f>A77</f>
        <v>m³</v>
      </c>
      <c r="C78" s="233"/>
      <c r="D78" s="233"/>
      <c r="E78" s="233"/>
      <c r="F78" s="233"/>
      <c r="G78" s="21"/>
      <c r="H78" s="233"/>
      <c r="I78" s="235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3">
    <mergeCell ref="B3:F3"/>
    <mergeCell ref="D6:E6"/>
    <mergeCell ref="D54:E54"/>
  </mergeCells>
  <printOptions/>
  <pageMargins bottom="0.75" footer="0.0" header="0.0" left="0.7" right="0.7" top="0.75"/>
  <pageSetup orientation="portrait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0" width="8.71"/>
    <col customWidth="1" min="11" max="11" width="11.29"/>
    <col customWidth="1" min="12" max="12" width="10.14"/>
    <col customWidth="1" min="13" max="13" width="19.29"/>
  </cols>
  <sheetData>
    <row r="1" ht="33.75" customHeight="1">
      <c r="A1" s="91" t="str">
        <f>'01_C&amp;P'!A1</f>
        <v>EDIFICIO LAS HERAS</v>
      </c>
      <c r="B1" s="91"/>
      <c r="C1" s="91"/>
      <c r="G1" s="3"/>
    </row>
    <row r="2" ht="14.25" customHeight="1">
      <c r="G2" s="3"/>
    </row>
    <row r="3" ht="23.25" customHeight="1">
      <c r="A3" s="195" t="str">
        <f>'01_C&amp;P'!A31</f>
        <v>1.32</v>
      </c>
      <c r="B3" s="196" t="str">
        <f>IF($A3=0,"",VLOOKUP($A3,'01_C&amp;P'!$A$9:$D$192,2,FALSE))</f>
        <v>PAVIMENTO ALISADO EN ESTACIONAMIENTO. e=10cm</v>
      </c>
      <c r="C3" s="197"/>
      <c r="D3" s="197"/>
      <c r="E3" s="197"/>
      <c r="F3" s="197"/>
      <c r="G3" s="198"/>
      <c r="H3" s="199">
        <f>IF($A3=0,"",VLOOKUP($A3,'01_C&amp;P'!$A$9:$D$192,4,FALSE))</f>
        <v>310</v>
      </c>
      <c r="I3" s="200" t="str">
        <f>IF($A3=0,"",VLOOKUP($A3,'01_C&amp;P'!$A$9:$D$192,3,FALSE))</f>
        <v>m²</v>
      </c>
      <c r="M3" s="153"/>
    </row>
    <row r="4" ht="14.25" customHeight="1">
      <c r="G4" s="3"/>
      <c r="K4" s="153" t="s">
        <v>1042</v>
      </c>
      <c r="M4" s="153" t="s">
        <v>1043</v>
      </c>
    </row>
    <row r="5" ht="14.25" customHeight="1">
      <c r="A5" s="201" t="s">
        <v>0</v>
      </c>
      <c r="B5" s="94"/>
      <c r="C5" s="94"/>
      <c r="D5" s="94"/>
      <c r="E5" s="94"/>
      <c r="F5" s="94"/>
      <c r="G5" s="2"/>
      <c r="H5" s="94"/>
      <c r="I5" s="94"/>
      <c r="K5" s="153">
        <v>0.1</v>
      </c>
      <c r="M5" s="251">
        <f>H3</f>
        <v>310</v>
      </c>
    </row>
    <row r="6" ht="14.25" customHeight="1">
      <c r="A6" s="202" t="s">
        <v>988</v>
      </c>
      <c r="B6" s="202" t="s">
        <v>989</v>
      </c>
      <c r="C6" s="202" t="s">
        <v>990</v>
      </c>
      <c r="D6" s="203" t="s">
        <v>991</v>
      </c>
      <c r="E6" s="197"/>
      <c r="F6" s="202" t="s">
        <v>992</v>
      </c>
      <c r="G6" s="4" t="s">
        <v>993</v>
      </c>
      <c r="H6" s="202" t="s">
        <v>994</v>
      </c>
      <c r="I6" s="202" t="s">
        <v>995</v>
      </c>
    </row>
    <row r="7" ht="14.25" customHeight="1">
      <c r="A7" s="252" t="s">
        <v>1044</v>
      </c>
      <c r="B7" s="3" t="str">
        <f>IF($A7=0,"",VLOOKUP($A7,'00_Mat'!$A$4:$J$1165,2,FALSE))</f>
        <v>Malla Φ 5,5  (2 m x 5 m) (hierros cada 0,18 x 0,18 m) </v>
      </c>
      <c r="C7" s="3" t="str">
        <f>IF($A7=0,"",VLOOKUP($A7,'00_Mat'!$A$4:$J$1165,3,FALSE))</f>
        <v>u</v>
      </c>
      <c r="D7" s="250">
        <f>M5/10</f>
        <v>31</v>
      </c>
      <c r="E7" s="204"/>
      <c r="F7" s="236">
        <v>0.25</v>
      </c>
      <c r="G7" s="221">
        <f t="shared" ref="G7:G11" si="1">ROUNDUP((D7+(D7*F7)),0)</f>
        <v>39</v>
      </c>
      <c r="H7" s="143">
        <f>IF($A7=0,"",VLOOKUP($A7,'00_Mat'!$A$4:$J$1135,5,FALSE))</f>
        <v>37608</v>
      </c>
      <c r="I7" s="143">
        <f t="shared" ref="I7:I11" si="2">G7*H7</f>
        <v>1466712</v>
      </c>
      <c r="J7" s="231"/>
    </row>
    <row r="8" ht="14.25" customHeight="1">
      <c r="A8" s="249" t="s">
        <v>560</v>
      </c>
      <c r="B8" s="3" t="str">
        <f>IF($A8=0,"",VLOOKUP($A8,'00_Mat'!$A$4:$J$1165,2,FALSE))</f>
        <v>Hormigon H30</v>
      </c>
      <c r="C8" s="3" t="str">
        <f>IF($A8=0,"",VLOOKUP($A8,'00_Mat'!$A$4:$J$1165,3,FALSE))</f>
        <v>m3</v>
      </c>
      <c r="D8" s="250">
        <f>M5*K5</f>
        <v>31</v>
      </c>
      <c r="E8" s="204"/>
      <c r="F8" s="236">
        <v>0.1</v>
      </c>
      <c r="G8" s="221">
        <f t="shared" si="1"/>
        <v>35</v>
      </c>
      <c r="H8" s="143">
        <f>IF($A8=0,"",VLOOKUP($A8,'00_Mat'!$A$4:$J$1135,5,FALSE))</f>
        <v>158000</v>
      </c>
      <c r="I8" s="143">
        <f t="shared" si="2"/>
        <v>5530000</v>
      </c>
    </row>
    <row r="9" ht="14.25" customHeight="1">
      <c r="A9" s="3" t="s">
        <v>602</v>
      </c>
      <c r="B9" s="3" t="str">
        <f>IF($A9=0,"",VLOOKUP($A9,'00_Mat'!$A$4:$J$1165,2,FALSE))</f>
        <v>Bomba Pluma Traslado e Instalacion</v>
      </c>
      <c r="C9" s="3" t="str">
        <f>IF($A9=0,"",VLOOKUP($A9,'00_Mat'!$A$4:$J$1165,3,FALSE))</f>
        <v>u</v>
      </c>
      <c r="D9" s="253">
        <v>1.0</v>
      </c>
      <c r="E9" s="204"/>
      <c r="F9" s="236"/>
      <c r="G9" s="221">
        <f t="shared" si="1"/>
        <v>1</v>
      </c>
      <c r="H9" s="143">
        <f>IF($A9=0,"",VLOOKUP($A9,'00_Mat'!$A$4:$J$1135,5,FALSE))</f>
        <v>600000</v>
      </c>
      <c r="I9" s="143">
        <f t="shared" si="2"/>
        <v>600000</v>
      </c>
      <c r="J9" s="153" t="s">
        <v>1031</v>
      </c>
    </row>
    <row r="10" ht="14.25" customHeight="1">
      <c r="A10" s="3" t="s">
        <v>604</v>
      </c>
      <c r="B10" s="3" t="str">
        <f>IF($A10=0,"",VLOOKUP($A10,'00_Mat'!$A$4:$J$1165,2,FALSE))</f>
        <v>Bomba Pluma m3 bombeable</v>
      </c>
      <c r="C10" s="3" t="str">
        <f>IF($A10=0,"",VLOOKUP($A10,'00_Mat'!$A$4:$J$1165,3,FALSE))</f>
        <v>m3</v>
      </c>
      <c r="D10" s="250">
        <f>D8</f>
        <v>31</v>
      </c>
      <c r="E10" s="204"/>
      <c r="F10" s="236">
        <v>0.1</v>
      </c>
      <c r="G10" s="221">
        <f t="shared" si="1"/>
        <v>35</v>
      </c>
      <c r="H10" s="143">
        <f>IF($A10=0,"",VLOOKUP($A10,'00_Mat'!$A$4:$J$1135,5,FALSE))</f>
        <v>6000</v>
      </c>
      <c r="I10" s="143">
        <f t="shared" si="2"/>
        <v>210000</v>
      </c>
      <c r="J10" s="153" t="s">
        <v>1045</v>
      </c>
    </row>
    <row r="11" ht="14.25" customHeight="1">
      <c r="A11" s="249" t="s">
        <v>42</v>
      </c>
      <c r="B11" s="3" t="str">
        <f>IF($A11=0,"",VLOOKUP($A11,'00_Mat'!$A$4:$J$1165,2,FALSE))</f>
        <v>Ladrillo Comun </v>
      </c>
      <c r="C11" s="3" t="str">
        <f>IF($A11=0,"",VLOOKUP($A11,'00_Mat'!$A$4:$J$1165,3,FALSE))</f>
        <v>u</v>
      </c>
      <c r="D11" s="253">
        <v>250.0</v>
      </c>
      <c r="E11" s="204"/>
      <c r="F11" s="236"/>
      <c r="G11" s="221">
        <f t="shared" si="1"/>
        <v>250</v>
      </c>
      <c r="H11" s="143">
        <f>IF($A11=0,"",VLOOKUP($A11,'00_Mat'!$A$4:$J$1135,5,FALSE))</f>
        <v>190.61</v>
      </c>
      <c r="I11" s="143">
        <f t="shared" si="2"/>
        <v>47652.5</v>
      </c>
      <c r="J11" s="153" t="s">
        <v>1046</v>
      </c>
    </row>
    <row r="12" ht="14.25" customHeight="1">
      <c r="A12" s="3"/>
      <c r="B12" s="92"/>
      <c r="C12" s="92"/>
      <c r="D12" s="229"/>
      <c r="E12" s="204"/>
      <c r="F12" s="206"/>
      <c r="G12" s="221"/>
      <c r="H12" s="143"/>
      <c r="I12" s="143"/>
    </row>
    <row r="13" ht="14.25" customHeight="1">
      <c r="A13" s="20"/>
      <c r="B13" s="92"/>
      <c r="C13" s="92"/>
      <c r="D13" s="229"/>
      <c r="E13" s="204"/>
      <c r="F13" s="206"/>
      <c r="G13" s="221"/>
      <c r="H13" s="143"/>
      <c r="I13" s="143"/>
    </row>
    <row r="14" ht="14.25" customHeight="1">
      <c r="A14" s="3"/>
      <c r="B14" s="92"/>
      <c r="C14" s="92"/>
      <c r="D14" s="229"/>
      <c r="E14" s="204"/>
      <c r="F14" s="206"/>
      <c r="G14" s="221"/>
      <c r="H14" s="143"/>
      <c r="I14" s="143"/>
    </row>
    <row r="15" ht="14.25" customHeight="1">
      <c r="A15" s="3"/>
      <c r="B15" s="92"/>
      <c r="C15" s="92"/>
      <c r="D15" s="229"/>
      <c r="E15" s="204"/>
      <c r="F15" s="206"/>
      <c r="G15" s="221"/>
      <c r="H15" s="143"/>
      <c r="I15" s="143"/>
    </row>
    <row r="16" ht="14.25" customHeight="1">
      <c r="A16" s="204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04"/>
      <c r="E16" s="204"/>
      <c r="F16" s="206"/>
      <c r="G16" s="221">
        <f t="shared" ref="G16:G18" si="3">ROUNDUP((D16+(D16*F16)),0)</f>
        <v>0</v>
      </c>
      <c r="H16" s="143" t="str">
        <f>IF($A16=0,"",VLOOKUP($A16,'00_Mat'!$A$4:$J$1135,5,FALSE))</f>
        <v/>
      </c>
      <c r="I16" s="143"/>
    </row>
    <row r="17" ht="14.25" customHeight="1">
      <c r="A17" s="204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04"/>
      <c r="E17" s="204"/>
      <c r="F17" s="206"/>
      <c r="G17" s="221">
        <f t="shared" si="3"/>
        <v>0</v>
      </c>
      <c r="H17" s="143" t="str">
        <f>IF($A17=0,"",VLOOKUP($A17,'00_Mat'!$A$4:$J$1135,5,FALSE))</f>
        <v/>
      </c>
      <c r="I17" s="143"/>
    </row>
    <row r="18" ht="14.25" customHeight="1">
      <c r="A18" s="204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04"/>
      <c r="E18" s="204"/>
      <c r="F18" s="206"/>
      <c r="G18" s="221">
        <f t="shared" si="3"/>
        <v>0</v>
      </c>
      <c r="H18" s="143" t="str">
        <f>IF($A18=0,"",VLOOKUP($A18,'00_Mat'!$A$4:$J$1135,5,FALSE))</f>
        <v/>
      </c>
      <c r="I18" s="143"/>
    </row>
    <row r="19" ht="14.25" customHeight="1">
      <c r="F19" s="208"/>
      <c r="G19" s="3"/>
      <c r="H19" s="143"/>
      <c r="I19" s="143"/>
    </row>
    <row r="20" ht="14.25" customHeight="1">
      <c r="A20" s="222" t="s">
        <v>996</v>
      </c>
      <c r="B20" s="223"/>
      <c r="C20" s="223"/>
      <c r="D20" s="223"/>
      <c r="E20" s="223"/>
      <c r="F20" s="223"/>
      <c r="G20" s="211"/>
      <c r="H20" s="223"/>
      <c r="I20" s="224">
        <f>SUM(I7:I18)</f>
        <v>7854364.5</v>
      </c>
      <c r="J20" s="92"/>
      <c r="K20" s="92"/>
      <c r="L20" s="92"/>
    </row>
    <row r="21" ht="14.25" customHeight="1">
      <c r="A21" s="232" t="str">
        <f>$I$3</f>
        <v>m²</v>
      </c>
      <c r="B21" s="233"/>
      <c r="C21" s="233"/>
      <c r="D21" s="233"/>
      <c r="E21" s="233"/>
      <c r="F21" s="233"/>
      <c r="G21" s="21"/>
      <c r="H21" s="233"/>
      <c r="I21" s="205">
        <f>$H$3</f>
        <v>310</v>
      </c>
      <c r="J21" s="92"/>
      <c r="K21" s="92"/>
      <c r="L21" s="92"/>
    </row>
    <row r="22" ht="14.25" customHeight="1">
      <c r="A22" s="234" t="s">
        <v>997</v>
      </c>
      <c r="B22" s="232" t="str">
        <f>A21</f>
        <v>m²</v>
      </c>
      <c r="C22" s="233"/>
      <c r="D22" s="233"/>
      <c r="E22" s="233"/>
      <c r="F22" s="233"/>
      <c r="G22" s="21"/>
      <c r="H22" s="233"/>
      <c r="I22" s="235">
        <f>I20/I21</f>
        <v>25336.65968</v>
      </c>
      <c r="J22" s="92"/>
      <c r="K22" s="92"/>
      <c r="L22" s="92"/>
    </row>
    <row r="23" ht="14.25" customHeight="1">
      <c r="G23" s="3"/>
      <c r="H23" s="153" t="s">
        <v>1047</v>
      </c>
      <c r="I23" s="151">
        <f>I22/M5</f>
        <v>81.73116025</v>
      </c>
    </row>
    <row r="24" ht="14.25" customHeight="1">
      <c r="G24" s="3"/>
    </row>
    <row r="25" ht="14.25" customHeight="1">
      <c r="A25" s="201" t="s">
        <v>998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02" t="s">
        <v>988</v>
      </c>
      <c r="B26" s="202" t="s">
        <v>989</v>
      </c>
      <c r="C26" s="202" t="s">
        <v>990</v>
      </c>
      <c r="D26" s="202" t="s">
        <v>991</v>
      </c>
      <c r="E26" s="202" t="s">
        <v>999</v>
      </c>
      <c r="F26" s="202" t="s">
        <v>992</v>
      </c>
      <c r="G26" s="4" t="s">
        <v>993</v>
      </c>
      <c r="H26" s="202" t="s">
        <v>994</v>
      </c>
      <c r="I26" s="202" t="s">
        <v>995</v>
      </c>
      <c r="K26" s="153" t="s">
        <v>1048</v>
      </c>
    </row>
    <row r="27" ht="14.25" customHeight="1">
      <c r="A27" s="61" t="s">
        <v>621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29">
        <v>1.0</v>
      </c>
      <c r="E27" s="229">
        <v>1.0</v>
      </c>
      <c r="F27" s="236">
        <v>0.25</v>
      </c>
      <c r="G27" s="217">
        <f t="shared" ref="G27:G32" si="4">ROUNDUP(((D27*E27)*(1+F27)),0)</f>
        <v>2</v>
      </c>
      <c r="H27" s="143">
        <f>IF($A27=0,"",VLOOKUP($A27,'00_MO'!$A$4:$D$7,4,FALSE))</f>
        <v>120000</v>
      </c>
      <c r="I27" s="143">
        <f t="shared" ref="I27:I30" si="5">G27*H27</f>
        <v>240000</v>
      </c>
    </row>
    <row r="28" ht="14.25" customHeight="1">
      <c r="A28" s="61" t="s">
        <v>623</v>
      </c>
      <c r="B28" s="92" t="str">
        <f>IF($A28=0,"",VLOOKUP($A28,'00_MO'!$A$4:$D$7,2,FALSE))</f>
        <v>Puntero</v>
      </c>
      <c r="C28" s="92" t="str">
        <f>IF($A28=0,"",VLOOKUP($A28,'00_MO'!$A$4:$D$7,3,FALSE))</f>
        <v>u</v>
      </c>
      <c r="D28" s="229">
        <v>2.0</v>
      </c>
      <c r="E28" s="229">
        <v>1.0</v>
      </c>
      <c r="F28" s="236">
        <v>0.25</v>
      </c>
      <c r="G28" s="217">
        <f t="shared" si="4"/>
        <v>3</v>
      </c>
      <c r="H28" s="143">
        <f>IF($A28=0,"",VLOOKUP($A28,'00_MO'!$A$4:$D$7,4,FALSE))</f>
        <v>105000</v>
      </c>
      <c r="I28" s="143">
        <f t="shared" si="5"/>
        <v>315000</v>
      </c>
    </row>
    <row r="29" ht="14.25" customHeight="1">
      <c r="A29" s="61" t="s">
        <v>625</v>
      </c>
      <c r="B29" s="92" t="str">
        <f>IF($A29=0,"",VLOOKUP($A29,'00_MO'!$A$4:$D$7,2,FALSE))</f>
        <v>Oficial</v>
      </c>
      <c r="C29" s="92" t="str">
        <f>IF($A29=0,"",VLOOKUP($A29,'00_MO'!$A$4:$D$7,3,FALSE))</f>
        <v>u</v>
      </c>
      <c r="D29" s="229">
        <v>3.0</v>
      </c>
      <c r="E29" s="229">
        <v>1.0</v>
      </c>
      <c r="F29" s="236">
        <v>0.25</v>
      </c>
      <c r="G29" s="217">
        <f t="shared" si="4"/>
        <v>4</v>
      </c>
      <c r="H29" s="143">
        <f>IF($A29=0,"",VLOOKUP($A29,'00_MO'!$A$4:$D$7,4,FALSE))</f>
        <v>90000</v>
      </c>
      <c r="I29" s="143">
        <f t="shared" si="5"/>
        <v>360000</v>
      </c>
    </row>
    <row r="30" ht="14.25" customHeight="1">
      <c r="A30" s="61" t="s">
        <v>627</v>
      </c>
      <c r="B30" s="92" t="str">
        <f>IF($A30=0,"",VLOOKUP($A30,'00_MO'!$A$4:$D$7,2,FALSE))</f>
        <v>Ayudante</v>
      </c>
      <c r="C30" s="92" t="str">
        <f>IF($A30=0,"",VLOOKUP($A30,'00_MO'!$A$4:$D$7,3,FALSE))</f>
        <v>u</v>
      </c>
      <c r="D30" s="229">
        <v>3.0</v>
      </c>
      <c r="E30" s="229">
        <v>1.0</v>
      </c>
      <c r="F30" s="236">
        <v>0.25</v>
      </c>
      <c r="G30" s="217">
        <f t="shared" si="4"/>
        <v>4</v>
      </c>
      <c r="H30" s="143">
        <f>IF($A30=0,"",VLOOKUP($A30,'00_MO'!$A$4:$D$7,4,FALSE))</f>
        <v>60000</v>
      </c>
      <c r="I30" s="143">
        <f t="shared" si="5"/>
        <v>240000</v>
      </c>
    </row>
    <row r="31" ht="14.25" customHeight="1">
      <c r="A31" s="204"/>
      <c r="B31" s="92" t="str">
        <f>IF($A31=0,"",VLOOKUP($A31,'00_MO'!$A$4:$D$7,2,FALSE))</f>
        <v/>
      </c>
      <c r="C31" s="92" t="str">
        <f>IF($A31=0,"",VLOOKUP($A31,'00_MO'!$A$4:$D$7,3,FALSE))</f>
        <v/>
      </c>
      <c r="D31" s="204"/>
      <c r="E31" s="229"/>
      <c r="F31" s="206"/>
      <c r="G31" s="217">
        <f t="shared" si="4"/>
        <v>0</v>
      </c>
      <c r="H31" s="143" t="str">
        <f>IF($A31=0,"",VLOOKUP($A31,'00_MO'!$A$4:$D$7,4,FALSE))</f>
        <v/>
      </c>
      <c r="I31" s="143"/>
    </row>
    <row r="32" ht="14.25" customHeight="1">
      <c r="A32" s="204"/>
      <c r="B32" s="92" t="str">
        <f>IF($A32=0,"",VLOOKUP($A32,'00_MO'!$A$4:$D$7,2,FALSE))</f>
        <v/>
      </c>
      <c r="C32" s="92" t="str">
        <f>IF($A32=0,"",VLOOKUP($A32,'00_MO'!$A$4:$D$7,3,FALSE))</f>
        <v/>
      </c>
      <c r="D32" s="204"/>
      <c r="E32" s="204"/>
      <c r="F32" s="206"/>
      <c r="G32" s="217">
        <f t="shared" si="4"/>
        <v>0</v>
      </c>
      <c r="H32" s="143" t="str">
        <f>IF($A32=0,"",VLOOKUP($A32,'00_MO'!$A$4:$D$7,4,FALSE))</f>
        <v/>
      </c>
      <c r="I32" s="143"/>
    </row>
    <row r="33" ht="14.25" customHeight="1">
      <c r="F33" s="208"/>
      <c r="G33" s="3"/>
      <c r="H33" s="143"/>
      <c r="I33" s="143"/>
    </row>
    <row r="34" ht="14.25" customHeight="1">
      <c r="A34" s="222" t="s">
        <v>987</v>
      </c>
      <c r="B34" s="223"/>
      <c r="C34" s="223"/>
      <c r="D34" s="223"/>
      <c r="E34" s="223"/>
      <c r="F34" s="223"/>
      <c r="G34" s="211"/>
      <c r="H34" s="223"/>
      <c r="I34" s="224">
        <f>SUM(I27:I32)</f>
        <v>1155000</v>
      </c>
    </row>
    <row r="35" ht="14.25" customHeight="1">
      <c r="A35" s="232" t="str">
        <f>$I$3</f>
        <v>m²</v>
      </c>
      <c r="B35" s="233"/>
      <c r="C35" s="233"/>
      <c r="D35" s="233"/>
      <c r="E35" s="233"/>
      <c r="F35" s="233"/>
      <c r="G35" s="21"/>
      <c r="H35" s="233"/>
      <c r="I35" s="205">
        <f>$H$3</f>
        <v>310</v>
      </c>
      <c r="J35" s="92"/>
      <c r="K35" s="92"/>
      <c r="L35" s="92"/>
    </row>
    <row r="36" ht="14.25" customHeight="1">
      <c r="A36" s="234" t="s">
        <v>997</v>
      </c>
      <c r="B36" s="232" t="str">
        <f>A35</f>
        <v>m²</v>
      </c>
      <c r="C36" s="233"/>
      <c r="D36" s="233"/>
      <c r="E36" s="233"/>
      <c r="F36" s="233"/>
      <c r="G36" s="21"/>
      <c r="H36" s="233"/>
      <c r="I36" s="235">
        <f>I34/I35</f>
        <v>3725.806452</v>
      </c>
      <c r="J36" s="92"/>
      <c r="K36" s="92"/>
      <c r="L36" s="92"/>
    </row>
    <row r="37" ht="14.25" customHeight="1">
      <c r="G37" s="3"/>
      <c r="I37" s="151"/>
    </row>
    <row r="38" ht="14.25" customHeight="1">
      <c r="G38" s="3"/>
    </row>
    <row r="39" ht="14.25" customHeight="1">
      <c r="A39" s="201" t="s">
        <v>1000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02" t="s">
        <v>988</v>
      </c>
      <c r="B40" s="202" t="s">
        <v>989</v>
      </c>
      <c r="C40" s="202" t="s">
        <v>990</v>
      </c>
      <c r="D40" s="202" t="s">
        <v>991</v>
      </c>
      <c r="E40" s="202" t="s">
        <v>999</v>
      </c>
      <c r="F40" s="202" t="s">
        <v>992</v>
      </c>
      <c r="G40" s="4" t="s">
        <v>993</v>
      </c>
      <c r="H40" s="202" t="s">
        <v>994</v>
      </c>
      <c r="I40" s="202" t="s">
        <v>995</v>
      </c>
    </row>
    <row r="41" ht="14.25" customHeight="1">
      <c r="A41" s="3"/>
      <c r="B41" s="92" t="str">
        <f>IF($A41=0,"",VLOOKUP($A41,'00_Mat'!$A$4:$J$1135,2,FALSE))</f>
        <v/>
      </c>
      <c r="C41" s="92" t="str">
        <f>IF($A41=0,"",VLOOKUP($A41,'00_Mat'!$A$4:$J$1135,3,FALSE))</f>
        <v/>
      </c>
      <c r="D41" s="230"/>
      <c r="E41" s="204"/>
      <c r="F41" s="236"/>
      <c r="G41" s="221">
        <f t="shared" ref="G41:G45" si="6">ROUNDUP((D41+(D41*F41)),0)</f>
        <v>0</v>
      </c>
      <c r="H41" s="143" t="str">
        <f>IF($A41=0,"",VLOOKUP($A41,'00_Mat'!$A$4:$J$1135,5,FALSE))</f>
        <v/>
      </c>
      <c r="I41" s="143">
        <f t="shared" ref="I41:I46" si="7">G41*H41</f>
        <v>0</v>
      </c>
      <c r="J41" s="237"/>
    </row>
    <row r="42" ht="14.25" customHeight="1">
      <c r="A42" s="3"/>
      <c r="B42" s="92" t="str">
        <f>IF($A42=0,"",VLOOKUP($A42,'00_Mat'!$A$4:$J$1135,2,FALSE))</f>
        <v/>
      </c>
      <c r="C42" s="92" t="str">
        <f>IF($A42=0,"",VLOOKUP($A42,'00_Mat'!$A$4:$J$1135,3,FALSE))</f>
        <v/>
      </c>
      <c r="D42" s="230"/>
      <c r="E42" s="204"/>
      <c r="F42" s="236"/>
      <c r="G42" s="221">
        <f t="shared" si="6"/>
        <v>0</v>
      </c>
      <c r="H42" s="143" t="str">
        <f>IF($A42=0,"",VLOOKUP($A42,'00_Mat'!$A$4:$J$1135,5,FALSE))</f>
        <v/>
      </c>
      <c r="I42" s="143">
        <f t="shared" si="7"/>
        <v>0</v>
      </c>
      <c r="J42" s="237"/>
    </row>
    <row r="43" ht="14.25" customHeight="1">
      <c r="A43" s="3"/>
      <c r="B43" s="92" t="str">
        <f>IF($A43=0,"",VLOOKUP($A43,'00_Mat'!$A$4:$J$1135,2,FALSE))</f>
        <v/>
      </c>
      <c r="C43" s="92" t="str">
        <f>IF($A43=0,"",VLOOKUP($A43,'00_Mat'!$A$4:$J$1135,3,FALSE))</f>
        <v/>
      </c>
      <c r="D43" s="230"/>
      <c r="E43" s="204"/>
      <c r="F43" s="236"/>
      <c r="G43" s="221">
        <f t="shared" si="6"/>
        <v>0</v>
      </c>
      <c r="H43" s="143" t="str">
        <f>IF($A43=0,"",VLOOKUP($A43,'00_Mat'!$A$4:$J$1135,5,FALSE))</f>
        <v/>
      </c>
      <c r="I43" s="143">
        <f t="shared" si="7"/>
        <v>0</v>
      </c>
    </row>
    <row r="44" ht="14.25" customHeight="1">
      <c r="A44" s="20"/>
      <c r="B44" s="92" t="str">
        <f>IF($A44=0,"",VLOOKUP($A44,'00_Mat'!$A$4:$J$1135,2,FALSE))</f>
        <v/>
      </c>
      <c r="C44" s="92" t="str">
        <f>IF($A44=0,"",VLOOKUP($A44,'00_Mat'!$A$4:$J$1135,3,FALSE))</f>
        <v/>
      </c>
      <c r="D44" s="230"/>
      <c r="E44" s="204"/>
      <c r="F44" s="236"/>
      <c r="G44" s="221">
        <f t="shared" si="6"/>
        <v>0</v>
      </c>
      <c r="H44" s="143" t="str">
        <f>IF($A44=0,"",VLOOKUP($A44,'00_Mat'!$A$4:$J$1135,5,FALSE))</f>
        <v/>
      </c>
      <c r="I44" s="143">
        <f t="shared" si="7"/>
        <v>0</v>
      </c>
    </row>
    <row r="45" ht="14.25" customHeight="1">
      <c r="B45" s="194" t="str">
        <f>IF($A45=0,"",VLOOKUP($A45,'00_Mat'!$A$4:$J$1135,2,FALSE))</f>
        <v/>
      </c>
      <c r="C45" s="92" t="str">
        <f>IF($A45=0,"",VLOOKUP($A45,'00_Mat'!$A$4:$J$1135,3,FALSE))</f>
        <v/>
      </c>
      <c r="D45" s="230"/>
      <c r="E45" s="204"/>
      <c r="F45" s="236"/>
      <c r="G45" s="221">
        <f t="shared" si="6"/>
        <v>0</v>
      </c>
      <c r="H45" s="231"/>
      <c r="I45" s="143">
        <f t="shared" si="7"/>
        <v>0</v>
      </c>
    </row>
    <row r="46" ht="14.25" customHeight="1">
      <c r="A46" s="204"/>
      <c r="B46" s="92" t="str">
        <f>IF($A46=0,"",VLOOKUP($A46,'00_Mat'!$A$4:$J$1135,2,FALSE))</f>
        <v/>
      </c>
      <c r="C46" s="92" t="str">
        <f>IF($A46=0,"",VLOOKUP($A46,'00_Mat'!$A$4:$J$1135,3,FALSE))</f>
        <v/>
      </c>
      <c r="D46" s="229"/>
      <c r="E46" s="204"/>
      <c r="F46" s="236"/>
      <c r="G46" s="217">
        <f>ROUNDUP(((D46*E46)*(1+F46)),0)</f>
        <v>0</v>
      </c>
      <c r="H46" s="143" t="str">
        <f>IF($A46=0,"",VLOOKUP($A46,'00_Mat'!$A$4:$J$1135,5,FALSE))</f>
        <v/>
      </c>
      <c r="I46" s="143">
        <f t="shared" si="7"/>
        <v>0</v>
      </c>
      <c r="J46" s="153"/>
    </row>
    <row r="47" ht="14.25" customHeight="1">
      <c r="F47" s="208"/>
      <c r="G47" s="3"/>
      <c r="H47" s="143"/>
      <c r="I47" s="143"/>
    </row>
    <row r="48" ht="14.25" customHeight="1">
      <c r="A48" s="222" t="s">
        <v>987</v>
      </c>
      <c r="B48" s="223"/>
      <c r="C48" s="223"/>
      <c r="D48" s="223"/>
      <c r="E48" s="223"/>
      <c r="F48" s="223"/>
      <c r="G48" s="211"/>
      <c r="H48" s="223"/>
      <c r="I48" s="224">
        <f>SUM(I41:I46)</f>
        <v>0</v>
      </c>
    </row>
    <row r="49" ht="14.25" customHeight="1">
      <c r="A49" s="232" t="str">
        <f>$I$3</f>
        <v>m²</v>
      </c>
      <c r="B49" s="233"/>
      <c r="C49" s="233"/>
      <c r="D49" s="233"/>
      <c r="E49" s="233"/>
      <c r="F49" s="233"/>
      <c r="G49" s="21"/>
      <c r="H49" s="233"/>
      <c r="I49" s="205">
        <f>$H$3</f>
        <v>310</v>
      </c>
      <c r="J49" s="92"/>
      <c r="K49" s="92"/>
      <c r="L49" s="92"/>
    </row>
    <row r="50" ht="14.25" customHeight="1">
      <c r="A50" s="234" t="s">
        <v>997</v>
      </c>
      <c r="B50" s="232" t="str">
        <f>A49</f>
        <v>m²</v>
      </c>
      <c r="C50" s="233"/>
      <c r="D50" s="233"/>
      <c r="E50" s="233"/>
      <c r="F50" s="233"/>
      <c r="G50" s="21"/>
      <c r="H50" s="233"/>
      <c r="I50" s="235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01" t="s">
        <v>1010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02" t="s">
        <v>988</v>
      </c>
      <c r="B54" s="202" t="s">
        <v>989</v>
      </c>
      <c r="C54" s="202" t="s">
        <v>990</v>
      </c>
      <c r="D54" s="203" t="s">
        <v>991</v>
      </c>
      <c r="E54" s="197"/>
      <c r="F54" s="202" t="s">
        <v>992</v>
      </c>
      <c r="G54" s="4" t="s">
        <v>993</v>
      </c>
      <c r="H54" s="202" t="s">
        <v>994</v>
      </c>
      <c r="I54" s="202" t="s">
        <v>995</v>
      </c>
    </row>
    <row r="55" ht="14.25" customHeight="1">
      <c r="A55" s="229"/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30">
        <v>1.0</v>
      </c>
      <c r="E55" s="204"/>
      <c r="F55" s="236">
        <v>0.1</v>
      </c>
      <c r="G55" s="221">
        <f t="shared" ref="G55:G60" si="8">ROUNDUP((D55+(D55*F55)),0)</f>
        <v>2</v>
      </c>
      <c r="H55" s="143" t="str">
        <f>IF($A55=0,"",VLOOKUP($A55,'00_Mat'!$A$4:$J$1135,5,FALSE))</f>
        <v/>
      </c>
      <c r="I55" s="143">
        <f t="shared" ref="I55:I58" si="9">G55*H55</f>
        <v>0</v>
      </c>
      <c r="J55" s="237"/>
    </row>
    <row r="56" ht="14.25" customHeight="1">
      <c r="A56" s="3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0">
        <v>10.0</v>
      </c>
      <c r="E56" s="204"/>
      <c r="F56" s="236">
        <v>0.1</v>
      </c>
      <c r="G56" s="221">
        <f t="shared" si="8"/>
        <v>11</v>
      </c>
      <c r="H56" s="143" t="str">
        <f>IF($A56=0,"",VLOOKUP($A56,'00_Mat'!$A$4:$J$1135,5,FALSE))</f>
        <v/>
      </c>
      <c r="I56" s="143">
        <f t="shared" si="9"/>
        <v>0</v>
      </c>
      <c r="J56" s="237"/>
    </row>
    <row r="57" ht="14.25" customHeight="1">
      <c r="A57" s="3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0">
        <v>1.0</v>
      </c>
      <c r="E57" s="204"/>
      <c r="F57" s="236">
        <v>0.1</v>
      </c>
      <c r="G57" s="221">
        <f t="shared" si="8"/>
        <v>2</v>
      </c>
      <c r="H57" s="143" t="str">
        <f>IF($A57=0,"",VLOOKUP($A57,'00_Mat'!$A$4:$J$1135,5,FALSE))</f>
        <v/>
      </c>
      <c r="I57" s="143">
        <f t="shared" si="9"/>
        <v>0</v>
      </c>
    </row>
    <row r="58" ht="14.25" customHeight="1">
      <c r="A58" s="20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0">
        <v>1.0</v>
      </c>
      <c r="E58" s="204"/>
      <c r="F58" s="236">
        <v>0.1</v>
      </c>
      <c r="G58" s="221">
        <f t="shared" si="8"/>
        <v>2</v>
      </c>
      <c r="H58" s="143" t="str">
        <f>IF($A58=0,"",VLOOKUP($A58,'00_Mat'!$A$4:$J$1135,5,FALSE))</f>
        <v/>
      </c>
      <c r="I58" s="143">
        <f t="shared" si="9"/>
        <v>0</v>
      </c>
    </row>
    <row r="59" ht="14.25" customHeight="1">
      <c r="A59" s="204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05"/>
      <c r="E59" s="204"/>
      <c r="F59" s="206"/>
      <c r="G59" s="221">
        <f t="shared" si="8"/>
        <v>0</v>
      </c>
      <c r="H59" s="143" t="str">
        <f>IF($A59=0,"",VLOOKUP($A59,'00_Mat'!$A$4:$J$1135,5,FALSE))</f>
        <v/>
      </c>
      <c r="I59" s="143"/>
    </row>
    <row r="60" ht="14.25" customHeight="1">
      <c r="A60" s="204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05"/>
      <c r="E60" s="204"/>
      <c r="F60" s="206"/>
      <c r="G60" s="221">
        <f t="shared" si="8"/>
        <v>0</v>
      </c>
      <c r="H60" s="143" t="str">
        <f>IF($A60=0,"",VLOOKUP($A60,'00_Mat'!$A$4:$J$1135,5,FALSE))</f>
        <v/>
      </c>
      <c r="I60" s="143"/>
    </row>
    <row r="61" ht="14.25" customHeight="1">
      <c r="F61" s="208"/>
      <c r="G61" s="3"/>
      <c r="H61" s="143"/>
      <c r="I61" s="143"/>
    </row>
    <row r="62" ht="14.25" customHeight="1">
      <c r="A62" s="222" t="s">
        <v>987</v>
      </c>
      <c r="B62" s="223"/>
      <c r="C62" s="223"/>
      <c r="D62" s="223"/>
      <c r="E62" s="223"/>
      <c r="F62" s="223"/>
      <c r="G62" s="211"/>
      <c r="H62" s="223"/>
      <c r="I62" s="224">
        <f>SUM(I55:I60)</f>
        <v>0</v>
      </c>
    </row>
    <row r="63" ht="14.25" customHeight="1">
      <c r="A63" s="232" t="str">
        <f>$I$3</f>
        <v>m²</v>
      </c>
      <c r="B63" s="233"/>
      <c r="C63" s="233"/>
      <c r="D63" s="233"/>
      <c r="E63" s="233"/>
      <c r="F63" s="233"/>
      <c r="G63" s="21"/>
      <c r="H63" s="233"/>
      <c r="I63" s="205">
        <f>$H$3</f>
        <v>310</v>
      </c>
      <c r="J63" s="92"/>
      <c r="K63" s="92"/>
      <c r="L63" s="92"/>
    </row>
    <row r="64" ht="14.25" customHeight="1">
      <c r="A64" s="234" t="s">
        <v>997</v>
      </c>
      <c r="B64" s="232" t="str">
        <f>A63</f>
        <v>m²</v>
      </c>
      <c r="C64" s="233"/>
      <c r="D64" s="233"/>
      <c r="E64" s="233"/>
      <c r="F64" s="233"/>
      <c r="G64" s="21"/>
      <c r="H64" s="233"/>
      <c r="I64" s="235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01" t="s">
        <v>1025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02" t="s">
        <v>988</v>
      </c>
      <c r="B68" s="202" t="s">
        <v>989</v>
      </c>
      <c r="C68" s="202" t="s">
        <v>990</v>
      </c>
      <c r="D68" s="202" t="s">
        <v>991</v>
      </c>
      <c r="E68" s="202" t="s">
        <v>999</v>
      </c>
      <c r="F68" s="202" t="s">
        <v>992</v>
      </c>
      <c r="G68" s="4" t="s">
        <v>993</v>
      </c>
      <c r="H68" s="202" t="s">
        <v>994</v>
      </c>
      <c r="I68" s="202" t="s">
        <v>995</v>
      </c>
    </row>
    <row r="69" ht="14.25" customHeight="1">
      <c r="A69" s="3" t="s">
        <v>736</v>
      </c>
      <c r="B69" s="92" t="str">
        <f>IF($A69=0,"",VLOOKUP($A69,'00_Sub'!$A$4:$D$1007,2,FALSE))</f>
        <v>PISO</v>
      </c>
      <c r="C69" s="92" t="str">
        <f>IF($A69=0,"",VLOOKUP($A69,'00_Sub'!$A$4:$D$1007,3,FALSE))</f>
        <v>m²</v>
      </c>
      <c r="D69" s="205">
        <f>H3</f>
        <v>310</v>
      </c>
      <c r="E69" s="204"/>
      <c r="F69" s="236">
        <v>0.25</v>
      </c>
      <c r="G69" s="221">
        <f t="shared" ref="G69:G74" si="10">ROUNDUP((D69+(D69*F69)),0)</f>
        <v>388</v>
      </c>
      <c r="H69" s="143">
        <f>IF($A69=0,"",VLOOKUP($A69,'00_Sub'!$A$4:$D$1007,4,FALSE))</f>
        <v>10000</v>
      </c>
      <c r="I69" s="143">
        <f>G69*H69</f>
        <v>3880000</v>
      </c>
    </row>
    <row r="70" ht="14.25" customHeight="1">
      <c r="A70" s="204"/>
      <c r="B70" s="92" t="str">
        <f>IF($A70=0,"",VLOOKUP($A70,'00_Sub'!$A$4:$D$1007,2,FALSE))</f>
        <v/>
      </c>
      <c r="C70" s="92" t="str">
        <f>IF($A70=0,"",VLOOKUP($A70,'00_Sub'!$A$4:$D$1007,3,FALSE))</f>
        <v/>
      </c>
      <c r="D70" s="204"/>
      <c r="E70" s="204"/>
      <c r="F70" s="206"/>
      <c r="G70" s="221">
        <f t="shared" si="10"/>
        <v>0</v>
      </c>
      <c r="H70" s="143" t="str">
        <f>IF($A70=0,"",VLOOKUP($A70,'00_Sub'!$A$4:$D$1007,4,FALSE))</f>
        <v/>
      </c>
      <c r="I70" s="143"/>
    </row>
    <row r="71" ht="14.25" customHeight="1">
      <c r="A71" s="204"/>
      <c r="B71" s="92" t="str">
        <f>IF($A71=0,"",VLOOKUP($A71,'00_Sub'!$A$4:$D$1007,2,FALSE))</f>
        <v/>
      </c>
      <c r="C71" s="92" t="str">
        <f>IF($A71=0,"",VLOOKUP($A71,'00_Sub'!$A$4:$D$1007,3,FALSE))</f>
        <v/>
      </c>
      <c r="D71" s="204"/>
      <c r="E71" s="204"/>
      <c r="F71" s="206"/>
      <c r="G71" s="221">
        <f t="shared" si="10"/>
        <v>0</v>
      </c>
      <c r="H71" s="143" t="str">
        <f>IF($A71=0,"",VLOOKUP($A71,'00_Sub'!$A$4:$D$1007,4,FALSE))</f>
        <v/>
      </c>
      <c r="I71" s="143"/>
    </row>
    <row r="72" ht="14.25" customHeight="1">
      <c r="A72" s="204"/>
      <c r="B72" s="92" t="str">
        <f>IF($A72=0,"",VLOOKUP($A72,'00_Sub'!$A$4:$D$1007,2,FALSE))</f>
        <v/>
      </c>
      <c r="C72" s="92" t="str">
        <f>IF($A72=0,"",VLOOKUP($A72,'00_Sub'!$A$4:$D$1007,3,FALSE))</f>
        <v/>
      </c>
      <c r="D72" s="204"/>
      <c r="E72" s="204"/>
      <c r="F72" s="206"/>
      <c r="G72" s="221">
        <f t="shared" si="10"/>
        <v>0</v>
      </c>
      <c r="H72" s="143" t="str">
        <f>IF($A72=0,"",VLOOKUP($A72,'00_Sub'!$A$4:$D$1007,4,FALSE))</f>
        <v/>
      </c>
      <c r="I72" s="143"/>
    </row>
    <row r="73" ht="14.25" customHeight="1">
      <c r="A73" s="204"/>
      <c r="B73" s="92" t="str">
        <f>IF($A73=0,"",VLOOKUP($A73,'00_Sub'!$A$4:$D$1007,2,FALSE))</f>
        <v/>
      </c>
      <c r="C73" s="92" t="str">
        <f>IF($A73=0,"",VLOOKUP($A73,'00_Sub'!$A$4:$D$1007,3,FALSE))</f>
        <v/>
      </c>
      <c r="D73" s="204"/>
      <c r="E73" s="204"/>
      <c r="F73" s="206"/>
      <c r="G73" s="221">
        <f t="shared" si="10"/>
        <v>0</v>
      </c>
      <c r="H73" s="143" t="str">
        <f>IF($A73=0,"",VLOOKUP($A73,'00_Sub'!$A$4:$D$1007,4,FALSE))</f>
        <v/>
      </c>
      <c r="I73" s="143"/>
    </row>
    <row r="74" ht="14.25" customHeight="1">
      <c r="A74" s="204"/>
      <c r="B74" s="92" t="str">
        <f>IF($A74=0,"",VLOOKUP($A74,'00_Sub'!$A$4:$D$1007,2,FALSE))</f>
        <v/>
      </c>
      <c r="C74" s="92" t="str">
        <f>IF($A74=0,"",VLOOKUP($A74,'00_Sub'!$A$4:$D$1007,3,FALSE))</f>
        <v/>
      </c>
      <c r="D74" s="204"/>
      <c r="E74" s="204"/>
      <c r="F74" s="206"/>
      <c r="G74" s="221">
        <f t="shared" si="10"/>
        <v>0</v>
      </c>
      <c r="H74" s="143" t="str">
        <f>IF($A74=0,"",VLOOKUP($A74,'00_Sub'!$A$4:$D$1007,4,FALSE))</f>
        <v/>
      </c>
      <c r="I74" s="143"/>
    </row>
    <row r="75" ht="14.25" customHeight="1">
      <c r="F75" s="208"/>
      <c r="G75" s="3"/>
      <c r="H75" s="143"/>
      <c r="I75" s="143"/>
    </row>
    <row r="76" ht="14.25" customHeight="1">
      <c r="A76" s="222" t="s">
        <v>987</v>
      </c>
      <c r="B76" s="223"/>
      <c r="C76" s="223"/>
      <c r="D76" s="223"/>
      <c r="E76" s="223"/>
      <c r="F76" s="223"/>
      <c r="G76" s="211"/>
      <c r="H76" s="223"/>
      <c r="I76" s="224">
        <f>SUM(I69:I74)</f>
        <v>3880000</v>
      </c>
    </row>
    <row r="77" ht="14.25" customHeight="1">
      <c r="A77" s="232" t="str">
        <f>$I$3</f>
        <v>m²</v>
      </c>
      <c r="B77" s="233"/>
      <c r="C77" s="233"/>
      <c r="D77" s="233"/>
      <c r="E77" s="233"/>
      <c r="F77" s="233"/>
      <c r="G77" s="21"/>
      <c r="H77" s="233"/>
      <c r="I77" s="205">
        <f>$H$3</f>
        <v>310</v>
      </c>
      <c r="J77" s="92"/>
      <c r="K77" s="92"/>
      <c r="L77" s="92"/>
    </row>
    <row r="78" ht="14.25" customHeight="1">
      <c r="A78" s="234" t="s">
        <v>997</v>
      </c>
      <c r="B78" s="232" t="str">
        <f>A77</f>
        <v>m²</v>
      </c>
      <c r="C78" s="233"/>
      <c r="D78" s="233"/>
      <c r="E78" s="233"/>
      <c r="F78" s="233"/>
      <c r="G78" s="21"/>
      <c r="H78" s="233"/>
      <c r="I78" s="235">
        <f>I76/I77</f>
        <v>12516.12903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3">
    <mergeCell ref="B3:F3"/>
    <mergeCell ref="D6:E6"/>
    <mergeCell ref="D54:E54"/>
  </mergeCells>
  <printOptions/>
  <pageMargins bottom="0.75" footer="0.0" header="0.0" left="0.7" right="0.7" top="0.75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0" width="8.71"/>
    <col customWidth="1" min="11" max="11" width="11.29"/>
    <col customWidth="1" min="12" max="12" width="10.14"/>
    <col customWidth="1" min="13" max="13" width="19.29"/>
  </cols>
  <sheetData>
    <row r="1" ht="33.75" customHeight="1">
      <c r="A1" s="91" t="str">
        <f>'01_C&amp;P'!A1</f>
        <v>EDIFICIO LAS HERAS</v>
      </c>
      <c r="B1" s="91"/>
      <c r="C1" s="91"/>
      <c r="G1" s="3"/>
    </row>
    <row r="2" ht="14.25" customHeight="1">
      <c r="G2" s="3"/>
    </row>
    <row r="3" ht="23.25" customHeight="1">
      <c r="A3" s="195">
        <f>'01_C&amp;P'!A32</f>
        <v>46113</v>
      </c>
      <c r="B3" s="196" t="str">
        <f>IF($A3=0,"",VLOOKUP($A3,'01_C&amp;P'!$A$9:$D$192,2,FALSE))</f>
        <v>MAMPOSTERIA.</v>
      </c>
      <c r="C3" s="197"/>
      <c r="D3" s="197"/>
      <c r="E3" s="197"/>
      <c r="F3" s="197"/>
      <c r="G3" s="198"/>
      <c r="H3" s="199">
        <f>IF($A3=0,"",VLOOKUP($A3,'01_C&amp;P'!$A$9:$D$192,4,FALSE))</f>
        <v>360</v>
      </c>
      <c r="I3" s="200" t="str">
        <f>IF($A3=0,"",VLOOKUP($A3,'01_C&amp;P'!$A$9:$D$192,3,FALSE))</f>
        <v>m²</v>
      </c>
      <c r="M3" s="153"/>
    </row>
    <row r="4" ht="14.25" customHeight="1">
      <c r="G4" s="3"/>
      <c r="K4" s="153" t="s">
        <v>1049</v>
      </c>
      <c r="M4" s="153" t="s">
        <v>1050</v>
      </c>
    </row>
    <row r="5" ht="14.25" customHeight="1">
      <c r="A5" s="201" t="s">
        <v>0</v>
      </c>
      <c r="B5" s="94"/>
      <c r="C5" s="94"/>
      <c r="D5" s="94"/>
      <c r="E5" s="94"/>
      <c r="F5" s="94"/>
      <c r="G5" s="2"/>
      <c r="H5" s="94"/>
      <c r="I5" s="94"/>
      <c r="K5" s="153">
        <v>3.0</v>
      </c>
      <c r="M5" s="153">
        <v>120.0</v>
      </c>
    </row>
    <row r="6" ht="14.25" customHeight="1">
      <c r="A6" s="202" t="s">
        <v>988</v>
      </c>
      <c r="B6" s="202" t="s">
        <v>989</v>
      </c>
      <c r="C6" s="202" t="s">
        <v>990</v>
      </c>
      <c r="D6" s="203" t="s">
        <v>991</v>
      </c>
      <c r="E6" s="197"/>
      <c r="F6" s="202" t="s">
        <v>992</v>
      </c>
      <c r="G6" s="4" t="s">
        <v>993</v>
      </c>
      <c r="H6" s="202" t="s">
        <v>994</v>
      </c>
      <c r="I6" s="202" t="s">
        <v>995</v>
      </c>
    </row>
    <row r="7" ht="14.25" customHeight="1">
      <c r="A7" s="252" t="s">
        <v>31</v>
      </c>
      <c r="B7" s="3" t="str">
        <f>IF($A7=0,"",VLOOKUP($A7,'00_Mat'!$A$4:$J$1165,2,FALSE))</f>
        <v>Ladrillo Portante 18 (u)</v>
      </c>
      <c r="C7" s="3" t="str">
        <f>IF($A7=0,"",VLOOKUP($A7,'00_Mat'!$A$4:$J$1165,3,FALSE))</f>
        <v>u</v>
      </c>
      <c r="D7" s="250">
        <f>M9*16</f>
        <v>5760</v>
      </c>
      <c r="E7" s="204"/>
      <c r="F7" s="236">
        <v>0.1</v>
      </c>
      <c r="G7" s="221">
        <f t="shared" ref="G7:G11" si="1">ROUNDUP((D7+(D7*F7)),0)</f>
        <v>6336</v>
      </c>
      <c r="H7" s="143">
        <f>IF($A7=0,"",VLOOKUP($A7,'00_Mat'!$A$4:$J$1135,5,FALSE))</f>
        <v>1377</v>
      </c>
      <c r="I7" s="143">
        <f t="shared" ref="I7:I11" si="2">G7*H7</f>
        <v>8724672</v>
      </c>
      <c r="J7" s="231"/>
    </row>
    <row r="8" ht="14.25" customHeight="1">
      <c r="A8" s="254" t="s">
        <v>11</v>
      </c>
      <c r="B8" s="3" t="str">
        <f>IF($A8=0,"",VLOOKUP($A8,'00_Mat'!$A$4:$J$1165,2,FALSE))</f>
        <v>Bolson de Arena (1m3) </v>
      </c>
      <c r="C8" s="3" t="str">
        <f>IF($A8=0,"",VLOOKUP($A8,'00_Mat'!$A$4:$J$1165,3,FALSE))</f>
        <v>m3</v>
      </c>
      <c r="D8" s="250">
        <f>M9*0.025</f>
        <v>9</v>
      </c>
      <c r="E8" s="204"/>
      <c r="F8" s="236">
        <v>0.15</v>
      </c>
      <c r="G8" s="221">
        <f t="shared" si="1"/>
        <v>11</v>
      </c>
      <c r="H8" s="143">
        <f>IF($A8=0,"",VLOOKUP($A8,'00_Mat'!$A$4:$J$1135,5,FALSE))</f>
        <v>33470</v>
      </c>
      <c r="I8" s="143">
        <f t="shared" si="2"/>
        <v>368170</v>
      </c>
      <c r="M8" s="153" t="s">
        <v>1043</v>
      </c>
    </row>
    <row r="9" ht="14.25" customHeight="1">
      <c r="A9" s="254" t="s">
        <v>19</v>
      </c>
      <c r="B9" s="3" t="str">
        <f>IF($A9=0,"",VLOOKUP($A9,'00_Mat'!$A$4:$J$1165,2,FALSE))</f>
        <v>Bolsa Cemento "Loma Negra" 25 k (u)</v>
      </c>
      <c r="C9" s="3" t="str">
        <f>IF($A9=0,"",VLOOKUP($A9,'00_Mat'!$A$4:$J$1165,3,FALSE))</f>
        <v>u</v>
      </c>
      <c r="D9" s="255">
        <f>(M9*5.45)/25</f>
        <v>78.48</v>
      </c>
      <c r="E9" s="204"/>
      <c r="F9" s="236">
        <v>0.15</v>
      </c>
      <c r="G9" s="221">
        <f t="shared" si="1"/>
        <v>91</v>
      </c>
      <c r="H9" s="143">
        <f>IF($A9=0,"",VLOOKUP($A9,'00_Mat'!$A$4:$J$1135,5,FALSE))</f>
        <v>7000</v>
      </c>
      <c r="I9" s="143">
        <f t="shared" si="2"/>
        <v>637000</v>
      </c>
      <c r="M9" s="176">
        <f>H3</f>
        <v>360</v>
      </c>
    </row>
    <row r="10" ht="14.25" customHeight="1">
      <c r="A10" s="254" t="s">
        <v>25</v>
      </c>
      <c r="B10" s="3" t="str">
        <f>IF($A10=0,"",VLOOKUP($A10,'00_Mat'!$A$4:$J$1165,2,FALSE))</f>
        <v>Bolsa Cal "Cacique" 25 k (u)</v>
      </c>
      <c r="C10" s="3" t="str">
        <f>IF($A10=0,"",VLOOKUP($A10,'00_Mat'!$A$4:$J$1165,3,FALSE))</f>
        <v>u</v>
      </c>
      <c r="D10" s="255">
        <f>(M9*5.33)/25</f>
        <v>76.752</v>
      </c>
      <c r="E10" s="204"/>
      <c r="F10" s="236">
        <v>0.1</v>
      </c>
      <c r="G10" s="221">
        <f t="shared" si="1"/>
        <v>85</v>
      </c>
      <c r="H10" s="143">
        <f>IF($A10=0,"",VLOOKUP($A10,'00_Mat'!$A$4:$J$1135,5,FALSE))</f>
        <v>5371.900826</v>
      </c>
      <c r="I10" s="143">
        <f t="shared" si="2"/>
        <v>456611.5702</v>
      </c>
    </row>
    <row r="11" ht="14.25" customHeight="1">
      <c r="A11" s="254" t="s">
        <v>132</v>
      </c>
      <c r="B11" s="3" t="str">
        <f>IF($A11=0,"",VLOOKUP($A11,'00_Mat'!$A$4:$J$1165,2,FALSE))</f>
        <v>Hierros ADN 420 Φ 6 </v>
      </c>
      <c r="C11" s="3" t="str">
        <f>IF($A11=0,"",VLOOKUP($A11,'00_Mat'!$A$4:$J$1165,3,FALSE))</f>
        <v>u</v>
      </c>
      <c r="D11" s="255">
        <f>(M5*4)/12</f>
        <v>40</v>
      </c>
      <c r="E11" s="204"/>
      <c r="F11" s="236">
        <v>0.1</v>
      </c>
      <c r="G11" s="221">
        <f t="shared" si="1"/>
        <v>44</v>
      </c>
      <c r="H11" s="143">
        <f>IF($A11=0,"",VLOOKUP($A11,'00_Mat'!$A$4:$J$1135,5,FALSE))</f>
        <v>5250</v>
      </c>
      <c r="I11" s="143">
        <f t="shared" si="2"/>
        <v>231000</v>
      </c>
    </row>
    <row r="12" ht="14.25" customHeight="1">
      <c r="A12" s="3"/>
      <c r="B12" s="92"/>
      <c r="C12" s="92"/>
      <c r="D12" s="229"/>
      <c r="E12" s="204"/>
      <c r="F12" s="206"/>
      <c r="G12" s="221"/>
      <c r="H12" s="143"/>
      <c r="I12" s="143"/>
    </row>
    <row r="13" ht="14.25" customHeight="1">
      <c r="A13" s="20"/>
      <c r="B13" s="92"/>
      <c r="C13" s="92"/>
      <c r="D13" s="229"/>
      <c r="E13" s="204"/>
      <c r="F13" s="206"/>
      <c r="G13" s="221"/>
      <c r="H13" s="143"/>
      <c r="I13" s="143"/>
    </row>
    <row r="14" ht="14.25" customHeight="1">
      <c r="A14" s="3"/>
      <c r="B14" s="92"/>
      <c r="C14" s="92"/>
      <c r="D14" s="229"/>
      <c r="E14" s="204"/>
      <c r="F14" s="206"/>
      <c r="G14" s="221"/>
      <c r="H14" s="143"/>
      <c r="I14" s="143"/>
    </row>
    <row r="15" ht="14.25" customHeight="1">
      <c r="A15" s="3"/>
      <c r="B15" s="92"/>
      <c r="C15" s="92"/>
      <c r="D15" s="229"/>
      <c r="E15" s="204"/>
      <c r="F15" s="206"/>
      <c r="G15" s="221"/>
      <c r="H15" s="143"/>
      <c r="I15" s="143"/>
    </row>
    <row r="16" ht="14.25" customHeight="1">
      <c r="A16" s="204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04"/>
      <c r="E16" s="204"/>
      <c r="F16" s="206"/>
      <c r="G16" s="221">
        <f t="shared" ref="G16:G18" si="3">ROUNDUP((D16+(D16*F16)),0)</f>
        <v>0</v>
      </c>
      <c r="H16" s="143" t="str">
        <f>IF($A16=0,"",VLOOKUP($A16,'00_Mat'!$A$4:$J$1135,5,FALSE))</f>
        <v/>
      </c>
      <c r="I16" s="143"/>
    </row>
    <row r="17" ht="14.25" customHeight="1">
      <c r="A17" s="204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04"/>
      <c r="E17" s="204"/>
      <c r="F17" s="206"/>
      <c r="G17" s="221">
        <f t="shared" si="3"/>
        <v>0</v>
      </c>
      <c r="H17" s="143" t="str">
        <f>IF($A17=0,"",VLOOKUP($A17,'00_Mat'!$A$4:$J$1135,5,FALSE))</f>
        <v/>
      </c>
      <c r="I17" s="143"/>
    </row>
    <row r="18" ht="14.25" customHeight="1">
      <c r="A18" s="204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04"/>
      <c r="E18" s="204"/>
      <c r="F18" s="206"/>
      <c r="G18" s="221">
        <f t="shared" si="3"/>
        <v>0</v>
      </c>
      <c r="H18" s="143" t="str">
        <f>IF($A18=0,"",VLOOKUP($A18,'00_Mat'!$A$4:$J$1135,5,FALSE))</f>
        <v/>
      </c>
      <c r="I18" s="143"/>
    </row>
    <row r="19" ht="14.25" customHeight="1">
      <c r="F19" s="208"/>
      <c r="G19" s="3"/>
      <c r="H19" s="143"/>
      <c r="I19" s="143"/>
    </row>
    <row r="20" ht="14.25" customHeight="1">
      <c r="A20" s="222" t="s">
        <v>996</v>
      </c>
      <c r="B20" s="223"/>
      <c r="C20" s="223"/>
      <c r="D20" s="223"/>
      <c r="E20" s="223"/>
      <c r="F20" s="223"/>
      <c r="G20" s="211"/>
      <c r="H20" s="223"/>
      <c r="I20" s="224">
        <f>SUM(I7:I18)</f>
        <v>10417453.57</v>
      </c>
      <c r="J20" s="92"/>
      <c r="K20" s="92"/>
      <c r="L20" s="92"/>
    </row>
    <row r="21" ht="14.25" customHeight="1">
      <c r="A21" s="232" t="str">
        <f>$I$3</f>
        <v>m²</v>
      </c>
      <c r="B21" s="233"/>
      <c r="C21" s="233"/>
      <c r="D21" s="233"/>
      <c r="E21" s="233"/>
      <c r="F21" s="233"/>
      <c r="G21" s="21"/>
      <c r="H21" s="233"/>
      <c r="I21" s="205">
        <f>$H$3</f>
        <v>360</v>
      </c>
      <c r="J21" s="92"/>
      <c r="K21" s="92"/>
      <c r="L21" s="92"/>
    </row>
    <row r="22" ht="14.25" customHeight="1">
      <c r="A22" s="234" t="s">
        <v>997</v>
      </c>
      <c r="B22" s="232" t="str">
        <f>A21</f>
        <v>m²</v>
      </c>
      <c r="C22" s="233"/>
      <c r="D22" s="233"/>
      <c r="E22" s="233"/>
      <c r="F22" s="233"/>
      <c r="G22" s="21"/>
      <c r="H22" s="233"/>
      <c r="I22" s="235">
        <f>I20/I21</f>
        <v>28937.37103</v>
      </c>
      <c r="J22" s="92"/>
      <c r="K22" s="92"/>
      <c r="L22" s="92"/>
    </row>
    <row r="23" ht="14.25" customHeight="1">
      <c r="G23" s="3"/>
      <c r="H23" s="153" t="s">
        <v>1047</v>
      </c>
      <c r="I23" s="151">
        <f>I22/M9</f>
        <v>80.38158619</v>
      </c>
    </row>
    <row r="24" ht="14.25" customHeight="1">
      <c r="G24" s="3"/>
    </row>
    <row r="25" ht="14.25" customHeight="1">
      <c r="A25" s="201" t="s">
        <v>998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02" t="s">
        <v>988</v>
      </c>
      <c r="B26" s="202" t="s">
        <v>989</v>
      </c>
      <c r="C26" s="202" t="s">
        <v>990</v>
      </c>
      <c r="D26" s="202" t="s">
        <v>991</v>
      </c>
      <c r="E26" s="202" t="s">
        <v>999</v>
      </c>
      <c r="F26" s="202" t="s">
        <v>992</v>
      </c>
      <c r="G26" s="4" t="s">
        <v>993</v>
      </c>
      <c r="H26" s="202" t="s">
        <v>994</v>
      </c>
      <c r="I26" s="202" t="s">
        <v>995</v>
      </c>
    </row>
    <row r="27" ht="14.25" customHeight="1">
      <c r="A27" s="61" t="s">
        <v>621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29">
        <v>1.0</v>
      </c>
      <c r="E27" s="229">
        <f t="shared" ref="E27:E30" si="4">$M$9/60</f>
        <v>6</v>
      </c>
      <c r="F27" s="236">
        <v>0.25</v>
      </c>
      <c r="G27" s="217">
        <f t="shared" ref="G27:G32" si="5">ROUNDUP(((D27*E27)*(1+F27)),0)</f>
        <v>8</v>
      </c>
      <c r="H27" s="143">
        <f>IF($A27=0,"",VLOOKUP($A27,'00_MO'!$A$4:$D$7,4,FALSE))</f>
        <v>120000</v>
      </c>
      <c r="I27" s="143">
        <f t="shared" ref="I27:I30" si="6">G27*H27</f>
        <v>960000</v>
      </c>
      <c r="K27" s="153" t="s">
        <v>1051</v>
      </c>
    </row>
    <row r="28" ht="14.25" customHeight="1">
      <c r="A28" s="61" t="s">
        <v>623</v>
      </c>
      <c r="B28" s="92" t="str">
        <f>IF($A28=0,"",VLOOKUP($A28,'00_MO'!$A$4:$D$7,2,FALSE))</f>
        <v>Puntero</v>
      </c>
      <c r="C28" s="92" t="str">
        <f>IF($A28=0,"",VLOOKUP($A28,'00_MO'!$A$4:$D$7,3,FALSE))</f>
        <v>u</v>
      </c>
      <c r="D28" s="229">
        <v>2.0</v>
      </c>
      <c r="E28" s="229">
        <f t="shared" si="4"/>
        <v>6</v>
      </c>
      <c r="F28" s="236">
        <v>0.25</v>
      </c>
      <c r="G28" s="217">
        <f t="shared" si="5"/>
        <v>15</v>
      </c>
      <c r="H28" s="143">
        <f>IF($A28=0,"",VLOOKUP($A28,'00_MO'!$A$4:$D$7,4,FALSE))</f>
        <v>105000</v>
      </c>
      <c r="I28" s="143">
        <f t="shared" si="6"/>
        <v>1575000</v>
      </c>
    </row>
    <row r="29" ht="14.25" customHeight="1">
      <c r="A29" s="61" t="s">
        <v>625</v>
      </c>
      <c r="B29" s="92" t="str">
        <f>IF($A29=0,"",VLOOKUP($A29,'00_MO'!$A$4:$D$7,2,FALSE))</f>
        <v>Oficial</v>
      </c>
      <c r="C29" s="92" t="str">
        <f>IF($A29=0,"",VLOOKUP($A29,'00_MO'!$A$4:$D$7,3,FALSE))</f>
        <v>u</v>
      </c>
      <c r="D29" s="229">
        <v>3.0</v>
      </c>
      <c r="E29" s="229">
        <f t="shared" si="4"/>
        <v>6</v>
      </c>
      <c r="F29" s="236">
        <v>0.25</v>
      </c>
      <c r="G29" s="217">
        <f t="shared" si="5"/>
        <v>23</v>
      </c>
      <c r="H29" s="143">
        <f>IF($A29=0,"",VLOOKUP($A29,'00_MO'!$A$4:$D$7,4,FALSE))</f>
        <v>90000</v>
      </c>
      <c r="I29" s="143">
        <f t="shared" si="6"/>
        <v>2070000</v>
      </c>
      <c r="K29" s="153" t="s">
        <v>1052</v>
      </c>
    </row>
    <row r="30" ht="14.25" customHeight="1">
      <c r="A30" s="61" t="s">
        <v>627</v>
      </c>
      <c r="B30" s="92" t="str">
        <f>IF($A30=0,"",VLOOKUP($A30,'00_MO'!$A$4:$D$7,2,FALSE))</f>
        <v>Ayudante</v>
      </c>
      <c r="C30" s="92" t="str">
        <f>IF($A30=0,"",VLOOKUP($A30,'00_MO'!$A$4:$D$7,3,FALSE))</f>
        <v>u</v>
      </c>
      <c r="D30" s="229">
        <v>3.0</v>
      </c>
      <c r="E30" s="229">
        <f t="shared" si="4"/>
        <v>6</v>
      </c>
      <c r="F30" s="236">
        <v>0.25</v>
      </c>
      <c r="G30" s="217">
        <f t="shared" si="5"/>
        <v>23</v>
      </c>
      <c r="H30" s="143">
        <f>IF($A30=0,"",VLOOKUP($A30,'00_MO'!$A$4:$D$7,4,FALSE))</f>
        <v>60000</v>
      </c>
      <c r="I30" s="143">
        <f t="shared" si="6"/>
        <v>1380000</v>
      </c>
    </row>
    <row r="31" ht="14.25" customHeight="1">
      <c r="A31" s="204"/>
      <c r="B31" s="92" t="str">
        <f>IF($A31=0,"",VLOOKUP($A31,'00_MO'!$A$4:$D$7,2,FALSE))</f>
        <v/>
      </c>
      <c r="C31" s="92" t="str">
        <f>IF($A31=0,"",VLOOKUP($A31,'00_MO'!$A$4:$D$7,3,FALSE))</f>
        <v/>
      </c>
      <c r="D31" s="204"/>
      <c r="E31" s="229"/>
      <c r="F31" s="206"/>
      <c r="G31" s="217">
        <f t="shared" si="5"/>
        <v>0</v>
      </c>
      <c r="H31" s="143" t="str">
        <f>IF($A31=0,"",VLOOKUP($A31,'00_MO'!$A$4:$D$7,4,FALSE))</f>
        <v/>
      </c>
      <c r="I31" s="143"/>
    </row>
    <row r="32" ht="14.25" customHeight="1">
      <c r="A32" s="204"/>
      <c r="B32" s="92" t="str">
        <f>IF($A32=0,"",VLOOKUP($A32,'00_MO'!$A$4:$D$7,2,FALSE))</f>
        <v/>
      </c>
      <c r="C32" s="92" t="str">
        <f>IF($A32=0,"",VLOOKUP($A32,'00_MO'!$A$4:$D$7,3,FALSE))</f>
        <v/>
      </c>
      <c r="D32" s="204"/>
      <c r="E32" s="204"/>
      <c r="F32" s="206"/>
      <c r="G32" s="217">
        <f t="shared" si="5"/>
        <v>0</v>
      </c>
      <c r="H32" s="143" t="str">
        <f>IF($A32=0,"",VLOOKUP($A32,'00_MO'!$A$4:$D$7,4,FALSE))</f>
        <v/>
      </c>
      <c r="I32" s="143"/>
    </row>
    <row r="33" ht="14.25" customHeight="1">
      <c r="F33" s="208"/>
      <c r="G33" s="3"/>
      <c r="H33" s="143"/>
      <c r="I33" s="143"/>
    </row>
    <row r="34" ht="14.25" customHeight="1">
      <c r="A34" s="222" t="s">
        <v>987</v>
      </c>
      <c r="B34" s="223"/>
      <c r="C34" s="223"/>
      <c r="D34" s="223"/>
      <c r="E34" s="223"/>
      <c r="F34" s="223"/>
      <c r="G34" s="211"/>
      <c r="H34" s="223"/>
      <c r="I34" s="224">
        <f>SUM(I27:I32)</f>
        <v>5985000</v>
      </c>
    </row>
    <row r="35" ht="14.25" customHeight="1">
      <c r="A35" s="232" t="str">
        <f>$I$3</f>
        <v>m²</v>
      </c>
      <c r="B35" s="233"/>
      <c r="C35" s="233"/>
      <c r="D35" s="233"/>
      <c r="E35" s="233"/>
      <c r="F35" s="233"/>
      <c r="G35" s="21"/>
      <c r="H35" s="233"/>
      <c r="I35" s="205">
        <f>$H$3</f>
        <v>360</v>
      </c>
      <c r="J35" s="92"/>
      <c r="K35" s="92"/>
      <c r="L35" s="92"/>
    </row>
    <row r="36" ht="14.25" customHeight="1">
      <c r="A36" s="234" t="s">
        <v>997</v>
      </c>
      <c r="B36" s="232" t="str">
        <f>A35</f>
        <v>m²</v>
      </c>
      <c r="C36" s="233"/>
      <c r="D36" s="233"/>
      <c r="E36" s="233"/>
      <c r="F36" s="233"/>
      <c r="G36" s="21"/>
      <c r="H36" s="233"/>
      <c r="I36" s="235">
        <f>I34/I35</f>
        <v>16625</v>
      </c>
      <c r="J36" s="92"/>
      <c r="K36" s="92"/>
      <c r="L36" s="92"/>
    </row>
    <row r="37" ht="14.25" customHeight="1">
      <c r="G37" s="3"/>
      <c r="H37" s="153" t="s">
        <v>1047</v>
      </c>
      <c r="I37" s="151">
        <f>I36/M9</f>
        <v>46.18055556</v>
      </c>
    </row>
    <row r="38" ht="14.25" customHeight="1">
      <c r="G38" s="3"/>
    </row>
    <row r="39" ht="14.25" customHeight="1">
      <c r="A39" s="201" t="s">
        <v>1000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02" t="s">
        <v>988</v>
      </c>
      <c r="B40" s="202" t="s">
        <v>989</v>
      </c>
      <c r="C40" s="202" t="s">
        <v>990</v>
      </c>
      <c r="D40" s="202" t="s">
        <v>991</v>
      </c>
      <c r="E40" s="202" t="s">
        <v>999</v>
      </c>
      <c r="F40" s="202" t="s">
        <v>992</v>
      </c>
      <c r="G40" s="4" t="s">
        <v>993</v>
      </c>
      <c r="H40" s="202" t="s">
        <v>994</v>
      </c>
      <c r="I40" s="202" t="s">
        <v>995</v>
      </c>
    </row>
    <row r="41" ht="14.25" customHeight="1">
      <c r="A41" s="3"/>
      <c r="B41" s="92" t="str">
        <f>IF($A41=0,"",VLOOKUP($A41,'00_Mat'!$A$4:$J$1135,2,FALSE))</f>
        <v/>
      </c>
      <c r="C41" s="92" t="str">
        <f>IF($A41=0,"",VLOOKUP($A41,'00_Mat'!$A$4:$J$1135,3,FALSE))</f>
        <v/>
      </c>
      <c r="D41" s="230"/>
      <c r="E41" s="204"/>
      <c r="F41" s="236"/>
      <c r="G41" s="221">
        <f t="shared" ref="G41:G45" si="7">ROUNDUP((D41+(D41*F41)),0)</f>
        <v>0</v>
      </c>
      <c r="H41" s="143" t="str">
        <f>IF($A41=0,"",VLOOKUP($A41,'00_Mat'!$A$4:$J$1135,5,FALSE))</f>
        <v/>
      </c>
      <c r="I41" s="143">
        <f t="shared" ref="I41:I46" si="8">G41*H41</f>
        <v>0</v>
      </c>
      <c r="J41" s="237"/>
    </row>
    <row r="42" ht="14.25" customHeight="1">
      <c r="A42" s="3"/>
      <c r="B42" s="92" t="str">
        <f>IF($A42=0,"",VLOOKUP($A42,'00_Mat'!$A$4:$J$1135,2,FALSE))</f>
        <v/>
      </c>
      <c r="C42" s="92" t="str">
        <f>IF($A42=0,"",VLOOKUP($A42,'00_Mat'!$A$4:$J$1135,3,FALSE))</f>
        <v/>
      </c>
      <c r="D42" s="230"/>
      <c r="E42" s="204"/>
      <c r="F42" s="236"/>
      <c r="G42" s="221">
        <f t="shared" si="7"/>
        <v>0</v>
      </c>
      <c r="H42" s="143" t="str">
        <f>IF($A42=0,"",VLOOKUP($A42,'00_Mat'!$A$4:$J$1135,5,FALSE))</f>
        <v/>
      </c>
      <c r="I42" s="143">
        <f t="shared" si="8"/>
        <v>0</v>
      </c>
      <c r="J42" s="237"/>
    </row>
    <row r="43" ht="14.25" customHeight="1">
      <c r="A43" s="3"/>
      <c r="B43" s="92" t="str">
        <f>IF($A43=0,"",VLOOKUP($A43,'00_Mat'!$A$4:$J$1135,2,FALSE))</f>
        <v/>
      </c>
      <c r="C43" s="92" t="str">
        <f>IF($A43=0,"",VLOOKUP($A43,'00_Mat'!$A$4:$J$1135,3,FALSE))</f>
        <v/>
      </c>
      <c r="D43" s="230"/>
      <c r="E43" s="204"/>
      <c r="F43" s="236"/>
      <c r="G43" s="221">
        <f t="shared" si="7"/>
        <v>0</v>
      </c>
      <c r="H43" s="143" t="str">
        <f>IF($A43=0,"",VLOOKUP($A43,'00_Mat'!$A$4:$J$1135,5,FALSE))</f>
        <v/>
      </c>
      <c r="I43" s="143">
        <f t="shared" si="8"/>
        <v>0</v>
      </c>
    </row>
    <row r="44" ht="14.25" customHeight="1">
      <c r="A44" s="20"/>
      <c r="B44" s="92" t="str">
        <f>IF($A44=0,"",VLOOKUP($A44,'00_Mat'!$A$4:$J$1135,2,FALSE))</f>
        <v/>
      </c>
      <c r="C44" s="92" t="str">
        <f>IF($A44=0,"",VLOOKUP($A44,'00_Mat'!$A$4:$J$1135,3,FALSE))</f>
        <v/>
      </c>
      <c r="D44" s="230"/>
      <c r="E44" s="204"/>
      <c r="F44" s="236"/>
      <c r="G44" s="221">
        <f t="shared" si="7"/>
        <v>0</v>
      </c>
      <c r="H44" s="143" t="str">
        <f>IF($A44=0,"",VLOOKUP($A44,'00_Mat'!$A$4:$J$1135,5,FALSE))</f>
        <v/>
      </c>
      <c r="I44" s="143">
        <f t="shared" si="8"/>
        <v>0</v>
      </c>
    </row>
    <row r="45" ht="14.25" customHeight="1">
      <c r="B45" s="194" t="str">
        <f>IF($A45=0,"",VLOOKUP($A45,'00_Mat'!$A$4:$J$1135,2,FALSE))</f>
        <v/>
      </c>
      <c r="C45" s="92" t="str">
        <f>IF($A45=0,"",VLOOKUP($A45,'00_Mat'!$A$4:$J$1135,3,FALSE))</f>
        <v/>
      </c>
      <c r="D45" s="230"/>
      <c r="E45" s="204"/>
      <c r="F45" s="236"/>
      <c r="G45" s="221">
        <f t="shared" si="7"/>
        <v>0</v>
      </c>
      <c r="H45" s="231"/>
      <c r="I45" s="143">
        <f t="shared" si="8"/>
        <v>0</v>
      </c>
    </row>
    <row r="46" ht="14.25" customHeight="1">
      <c r="A46" s="204"/>
      <c r="B46" s="92" t="str">
        <f>IF($A46=0,"",VLOOKUP($A46,'00_Mat'!$A$4:$J$1135,2,FALSE))</f>
        <v/>
      </c>
      <c r="C46" s="92" t="str">
        <f>IF($A46=0,"",VLOOKUP($A46,'00_Mat'!$A$4:$J$1135,3,FALSE))</f>
        <v/>
      </c>
      <c r="D46" s="229"/>
      <c r="E46" s="204"/>
      <c r="F46" s="236"/>
      <c r="G46" s="217">
        <f>ROUNDUP(((D46*E46)*(1+F46)),0)</f>
        <v>0</v>
      </c>
      <c r="H46" s="143" t="str">
        <f>IF($A46=0,"",VLOOKUP($A46,'00_Mat'!$A$4:$J$1135,5,FALSE))</f>
        <v/>
      </c>
      <c r="I46" s="143">
        <f t="shared" si="8"/>
        <v>0</v>
      </c>
      <c r="J46" s="153"/>
    </row>
    <row r="47" ht="14.25" customHeight="1">
      <c r="F47" s="208"/>
      <c r="G47" s="3"/>
      <c r="H47" s="143"/>
      <c r="I47" s="143"/>
    </row>
    <row r="48" ht="14.25" customHeight="1">
      <c r="A48" s="222" t="s">
        <v>987</v>
      </c>
      <c r="B48" s="223"/>
      <c r="C48" s="223"/>
      <c r="D48" s="223"/>
      <c r="E48" s="223"/>
      <c r="F48" s="223"/>
      <c r="G48" s="211"/>
      <c r="H48" s="223"/>
      <c r="I48" s="224">
        <f>SUM(I41:I46)</f>
        <v>0</v>
      </c>
    </row>
    <row r="49" ht="14.25" customHeight="1">
      <c r="A49" s="232" t="str">
        <f>$I$3</f>
        <v>m²</v>
      </c>
      <c r="B49" s="233"/>
      <c r="C49" s="233"/>
      <c r="D49" s="233"/>
      <c r="E49" s="233"/>
      <c r="F49" s="233"/>
      <c r="G49" s="21"/>
      <c r="H49" s="233"/>
      <c r="I49" s="205">
        <f>$H$3</f>
        <v>360</v>
      </c>
      <c r="J49" s="92"/>
      <c r="K49" s="92"/>
      <c r="L49" s="92"/>
    </row>
    <row r="50" ht="14.25" customHeight="1">
      <c r="A50" s="234" t="s">
        <v>997</v>
      </c>
      <c r="B50" s="232" t="str">
        <f>A49</f>
        <v>m²</v>
      </c>
      <c r="C50" s="233"/>
      <c r="D50" s="233"/>
      <c r="E50" s="233"/>
      <c r="F50" s="233"/>
      <c r="G50" s="21"/>
      <c r="H50" s="233"/>
      <c r="I50" s="235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01" t="s">
        <v>1010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02" t="s">
        <v>988</v>
      </c>
      <c r="B54" s="202" t="s">
        <v>989</v>
      </c>
      <c r="C54" s="202" t="s">
        <v>990</v>
      </c>
      <c r="D54" s="203" t="s">
        <v>991</v>
      </c>
      <c r="E54" s="197"/>
      <c r="F54" s="202" t="s">
        <v>992</v>
      </c>
      <c r="G54" s="4" t="s">
        <v>993</v>
      </c>
      <c r="H54" s="202" t="s">
        <v>994</v>
      </c>
      <c r="I54" s="202" t="s">
        <v>995</v>
      </c>
    </row>
    <row r="55" ht="14.25" customHeight="1">
      <c r="A55" s="229" t="s">
        <v>1053</v>
      </c>
      <c r="B55" s="92" t="str">
        <f>IF($A55=0,"",VLOOKUP($A55,'00_Mat'!$A$4:$J$1135,2,FALSE))</f>
        <v>Disco corte</v>
      </c>
      <c r="C55" s="92" t="str">
        <f>IF($A55=0,"",VLOOKUP($A55,'00_Mat'!$A$4:$J$1135,3,FALSE))</f>
        <v>u</v>
      </c>
      <c r="D55" s="230">
        <v>1.0</v>
      </c>
      <c r="E55" s="204"/>
      <c r="F55" s="236">
        <v>0.1</v>
      </c>
      <c r="G55" s="221">
        <f t="shared" ref="G55:G60" si="9">ROUNDUP((D55+(D55*F55)),0)</f>
        <v>2</v>
      </c>
      <c r="H55" s="143">
        <f>IF($A55=0,"",VLOOKUP($A55,'00_Mat'!$A$4:$J$1135,5,FALSE))</f>
        <v>40000</v>
      </c>
      <c r="I55" s="143">
        <f t="shared" ref="I55:I58" si="10">G55*H55</f>
        <v>80000</v>
      </c>
      <c r="J55" s="237"/>
    </row>
    <row r="56" ht="14.25" customHeight="1">
      <c r="A56" s="3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0">
        <v>10.0</v>
      </c>
      <c r="E56" s="204"/>
      <c r="F56" s="236">
        <v>0.1</v>
      </c>
      <c r="G56" s="221">
        <f t="shared" si="9"/>
        <v>11</v>
      </c>
      <c r="H56" s="143" t="str">
        <f>IF($A56=0,"",VLOOKUP($A56,'00_Mat'!$A$4:$J$1135,5,FALSE))</f>
        <v/>
      </c>
      <c r="I56" s="143">
        <f t="shared" si="10"/>
        <v>0</v>
      </c>
      <c r="J56" s="237"/>
    </row>
    <row r="57" ht="14.25" customHeight="1">
      <c r="A57" s="3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0">
        <v>1.0</v>
      </c>
      <c r="E57" s="204"/>
      <c r="F57" s="236">
        <v>0.1</v>
      </c>
      <c r="G57" s="221">
        <f t="shared" si="9"/>
        <v>2</v>
      </c>
      <c r="H57" s="143" t="str">
        <f>IF($A57=0,"",VLOOKUP($A57,'00_Mat'!$A$4:$J$1135,5,FALSE))</f>
        <v/>
      </c>
      <c r="I57" s="143">
        <f t="shared" si="10"/>
        <v>0</v>
      </c>
    </row>
    <row r="58" ht="14.25" customHeight="1">
      <c r="A58" s="20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0">
        <v>1.0</v>
      </c>
      <c r="E58" s="204"/>
      <c r="F58" s="236">
        <v>0.1</v>
      </c>
      <c r="G58" s="221">
        <f t="shared" si="9"/>
        <v>2</v>
      </c>
      <c r="H58" s="143" t="str">
        <f>IF($A58=0,"",VLOOKUP($A58,'00_Mat'!$A$4:$J$1135,5,FALSE))</f>
        <v/>
      </c>
      <c r="I58" s="143">
        <f t="shared" si="10"/>
        <v>0</v>
      </c>
    </row>
    <row r="59" ht="14.25" customHeight="1">
      <c r="A59" s="204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05"/>
      <c r="E59" s="204"/>
      <c r="F59" s="206"/>
      <c r="G59" s="221">
        <f t="shared" si="9"/>
        <v>0</v>
      </c>
      <c r="H59" s="143" t="str">
        <f>IF($A59=0,"",VLOOKUP($A59,'00_Mat'!$A$4:$J$1135,5,FALSE))</f>
        <v/>
      </c>
      <c r="I59" s="143"/>
    </row>
    <row r="60" ht="14.25" customHeight="1">
      <c r="A60" s="204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05"/>
      <c r="E60" s="204"/>
      <c r="F60" s="206"/>
      <c r="G60" s="221">
        <f t="shared" si="9"/>
        <v>0</v>
      </c>
      <c r="H60" s="143" t="str">
        <f>IF($A60=0,"",VLOOKUP($A60,'00_Mat'!$A$4:$J$1135,5,FALSE))</f>
        <v/>
      </c>
      <c r="I60" s="143"/>
    </row>
    <row r="61" ht="14.25" customHeight="1">
      <c r="F61" s="208"/>
      <c r="G61" s="3"/>
      <c r="H61" s="143"/>
      <c r="I61" s="143"/>
    </row>
    <row r="62" ht="14.25" customHeight="1">
      <c r="A62" s="222" t="s">
        <v>987</v>
      </c>
      <c r="B62" s="223"/>
      <c r="C62" s="223"/>
      <c r="D62" s="223"/>
      <c r="E62" s="223"/>
      <c r="F62" s="223"/>
      <c r="G62" s="211"/>
      <c r="H62" s="223"/>
      <c r="I62" s="224">
        <f>SUM(I55:I60)</f>
        <v>80000</v>
      </c>
    </row>
    <row r="63" ht="14.25" customHeight="1">
      <c r="A63" s="232" t="str">
        <f>$I$3</f>
        <v>m²</v>
      </c>
      <c r="B63" s="233"/>
      <c r="C63" s="233"/>
      <c r="D63" s="233"/>
      <c r="E63" s="233"/>
      <c r="F63" s="233"/>
      <c r="G63" s="21"/>
      <c r="H63" s="233"/>
      <c r="I63" s="205">
        <f>$H$3</f>
        <v>360</v>
      </c>
      <c r="J63" s="92"/>
      <c r="K63" s="92"/>
      <c r="L63" s="92"/>
    </row>
    <row r="64" ht="14.25" customHeight="1">
      <c r="A64" s="234" t="s">
        <v>997</v>
      </c>
      <c r="B64" s="232" t="str">
        <f>A63</f>
        <v>m²</v>
      </c>
      <c r="C64" s="233"/>
      <c r="D64" s="233"/>
      <c r="E64" s="233"/>
      <c r="F64" s="233"/>
      <c r="G64" s="21"/>
      <c r="H64" s="233"/>
      <c r="I64" s="235">
        <f>I62/I63</f>
        <v>222.2222222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01" t="s">
        <v>1025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02" t="s">
        <v>988</v>
      </c>
      <c r="B68" s="202" t="s">
        <v>989</v>
      </c>
      <c r="C68" s="202" t="s">
        <v>990</v>
      </c>
      <c r="D68" s="202" t="s">
        <v>991</v>
      </c>
      <c r="E68" s="202" t="s">
        <v>999</v>
      </c>
      <c r="F68" s="202" t="s">
        <v>992</v>
      </c>
      <c r="G68" s="4" t="s">
        <v>993</v>
      </c>
      <c r="H68" s="202" t="s">
        <v>994</v>
      </c>
      <c r="I68" s="202" t="s">
        <v>995</v>
      </c>
    </row>
    <row r="69" ht="14.25" customHeight="1">
      <c r="A69" s="204"/>
      <c r="B69" s="92" t="str">
        <f>IF($A69=0,"",VLOOKUP($A69,'00_Sub'!$A$4:$D$1007,2,FALSE))</f>
        <v/>
      </c>
      <c r="C69" s="92" t="str">
        <f>IF($A69=0,"",VLOOKUP($A69,'00_Sub'!$A$4:$D$1007,3,FALSE))</f>
        <v/>
      </c>
      <c r="D69" s="204"/>
      <c r="E69" s="204"/>
      <c r="F69" s="206"/>
      <c r="G69" s="221">
        <f t="shared" ref="G69:G74" si="11">ROUNDUP((D69+(D69*F69)),0)</f>
        <v>0</v>
      </c>
      <c r="H69" s="143" t="str">
        <f>IF($A69=0,"",VLOOKUP($A69,'00_Sub'!$A$4:$D$1007,4,FALSE))</f>
        <v/>
      </c>
      <c r="I69" s="143"/>
    </row>
    <row r="70" ht="14.25" customHeight="1">
      <c r="A70" s="204"/>
      <c r="B70" s="92" t="str">
        <f>IF($A70=0,"",VLOOKUP($A70,'00_Sub'!$A$4:$D$1007,2,FALSE))</f>
        <v/>
      </c>
      <c r="C70" s="92" t="str">
        <f>IF($A70=0,"",VLOOKUP($A70,'00_Sub'!$A$4:$D$1007,3,FALSE))</f>
        <v/>
      </c>
      <c r="D70" s="204"/>
      <c r="E70" s="204"/>
      <c r="F70" s="206"/>
      <c r="G70" s="221">
        <f t="shared" si="11"/>
        <v>0</v>
      </c>
      <c r="H70" s="143" t="str">
        <f>IF($A70=0,"",VLOOKUP($A70,'00_Sub'!$A$4:$D$1007,4,FALSE))</f>
        <v/>
      </c>
      <c r="I70" s="143"/>
    </row>
    <row r="71" ht="14.25" customHeight="1">
      <c r="A71" s="204"/>
      <c r="B71" s="92" t="str">
        <f>IF($A71=0,"",VLOOKUP($A71,'00_Sub'!$A$4:$D$1007,2,FALSE))</f>
        <v/>
      </c>
      <c r="C71" s="92" t="str">
        <f>IF($A71=0,"",VLOOKUP($A71,'00_Sub'!$A$4:$D$1007,3,FALSE))</f>
        <v/>
      </c>
      <c r="D71" s="204"/>
      <c r="E71" s="204"/>
      <c r="F71" s="206"/>
      <c r="G71" s="221">
        <f t="shared" si="11"/>
        <v>0</v>
      </c>
      <c r="H71" s="143" t="str">
        <f>IF($A71=0,"",VLOOKUP($A71,'00_Sub'!$A$4:$D$1007,4,FALSE))</f>
        <v/>
      </c>
      <c r="I71" s="143"/>
    </row>
    <row r="72" ht="14.25" customHeight="1">
      <c r="A72" s="204"/>
      <c r="B72" s="92" t="str">
        <f>IF($A72=0,"",VLOOKUP($A72,'00_Sub'!$A$4:$D$1007,2,FALSE))</f>
        <v/>
      </c>
      <c r="C72" s="92" t="str">
        <f>IF($A72=0,"",VLOOKUP($A72,'00_Sub'!$A$4:$D$1007,3,FALSE))</f>
        <v/>
      </c>
      <c r="D72" s="204"/>
      <c r="E72" s="204"/>
      <c r="F72" s="206"/>
      <c r="G72" s="221">
        <f t="shared" si="11"/>
        <v>0</v>
      </c>
      <c r="H72" s="143" t="str">
        <f>IF($A72=0,"",VLOOKUP($A72,'00_Sub'!$A$4:$D$1007,4,FALSE))</f>
        <v/>
      </c>
      <c r="I72" s="143"/>
    </row>
    <row r="73" ht="14.25" customHeight="1">
      <c r="A73" s="204"/>
      <c r="B73" s="92" t="str">
        <f>IF($A73=0,"",VLOOKUP($A73,'00_Sub'!$A$4:$D$1007,2,FALSE))</f>
        <v/>
      </c>
      <c r="C73" s="92" t="str">
        <f>IF($A73=0,"",VLOOKUP($A73,'00_Sub'!$A$4:$D$1007,3,FALSE))</f>
        <v/>
      </c>
      <c r="D73" s="204"/>
      <c r="E73" s="204"/>
      <c r="F73" s="206"/>
      <c r="G73" s="221">
        <f t="shared" si="11"/>
        <v>0</v>
      </c>
      <c r="H73" s="143" t="str">
        <f>IF($A73=0,"",VLOOKUP($A73,'00_Sub'!$A$4:$D$1007,4,FALSE))</f>
        <v/>
      </c>
      <c r="I73" s="143"/>
    </row>
    <row r="74" ht="14.25" customHeight="1">
      <c r="A74" s="204"/>
      <c r="B74" s="92" t="str">
        <f>IF($A74=0,"",VLOOKUP($A74,'00_Sub'!$A$4:$D$1007,2,FALSE))</f>
        <v/>
      </c>
      <c r="C74" s="92" t="str">
        <f>IF($A74=0,"",VLOOKUP($A74,'00_Sub'!$A$4:$D$1007,3,FALSE))</f>
        <v/>
      </c>
      <c r="D74" s="204"/>
      <c r="E74" s="204"/>
      <c r="F74" s="206"/>
      <c r="G74" s="221">
        <f t="shared" si="11"/>
        <v>0</v>
      </c>
      <c r="H74" s="143" t="str">
        <f>IF($A74=0,"",VLOOKUP($A74,'00_Sub'!$A$4:$D$1007,4,FALSE))</f>
        <v/>
      </c>
      <c r="I74" s="143"/>
    </row>
    <row r="75" ht="14.25" customHeight="1">
      <c r="F75" s="208"/>
      <c r="G75" s="3"/>
      <c r="H75" s="143"/>
      <c r="I75" s="143"/>
    </row>
    <row r="76" ht="14.25" customHeight="1">
      <c r="A76" s="222" t="s">
        <v>987</v>
      </c>
      <c r="B76" s="223"/>
      <c r="C76" s="223"/>
      <c r="D76" s="223"/>
      <c r="E76" s="223"/>
      <c r="F76" s="223"/>
      <c r="G76" s="211"/>
      <c r="H76" s="223"/>
      <c r="I76" s="224">
        <f>SUM(I69:I74)</f>
        <v>0</v>
      </c>
    </row>
    <row r="77" ht="14.25" customHeight="1">
      <c r="A77" s="232" t="str">
        <f>$I$3</f>
        <v>m²</v>
      </c>
      <c r="B77" s="233"/>
      <c r="C77" s="233"/>
      <c r="D77" s="233"/>
      <c r="E77" s="233"/>
      <c r="F77" s="233"/>
      <c r="G77" s="21"/>
      <c r="H77" s="233"/>
      <c r="I77" s="205">
        <f>$H$3</f>
        <v>360</v>
      </c>
      <c r="J77" s="92"/>
      <c r="K77" s="92"/>
      <c r="L77" s="92"/>
    </row>
    <row r="78" ht="14.25" customHeight="1">
      <c r="A78" s="234" t="s">
        <v>997</v>
      </c>
      <c r="B78" s="232" t="str">
        <f>A77</f>
        <v>m²</v>
      </c>
      <c r="C78" s="233"/>
      <c r="D78" s="233"/>
      <c r="E78" s="233"/>
      <c r="F78" s="233"/>
      <c r="G78" s="21"/>
      <c r="H78" s="233"/>
      <c r="I78" s="235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3">
    <mergeCell ref="B3:F3"/>
    <mergeCell ref="D6:E6"/>
    <mergeCell ref="D54:E54"/>
  </mergeCells>
  <printOptions/>
  <pageMargins bottom="0.75" footer="0.0" header="0.0" left="0.7" right="0.7" top="0.75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0" width="8.71"/>
    <col customWidth="1" min="11" max="11" width="11.29"/>
    <col customWidth="1" min="12" max="12" width="10.14"/>
    <col customWidth="1" min="13" max="13" width="19.29"/>
  </cols>
  <sheetData>
    <row r="1" ht="33.75" customHeight="1">
      <c r="A1" s="91" t="str">
        <f>'01_C&amp;P'!A1</f>
        <v>EDIFICIO LAS HERAS</v>
      </c>
      <c r="B1" s="91"/>
      <c r="C1" s="91"/>
      <c r="G1" s="3"/>
    </row>
    <row r="2" ht="14.25" customHeight="1">
      <c r="G2" s="3"/>
    </row>
    <row r="3" ht="23.25" customHeight="1">
      <c r="A3" s="195">
        <f>'01_C&amp;P'!A33</f>
        <v>46143</v>
      </c>
      <c r="B3" s="196" t="str">
        <f>IF($A3=0,"",VLOOKUP($A3,'01_C&amp;P'!$A$9:$D$192,2,FALSE))</f>
        <v>CONTRAPISO . e=12cm</v>
      </c>
      <c r="C3" s="197"/>
      <c r="D3" s="197"/>
      <c r="E3" s="197"/>
      <c r="F3" s="197"/>
      <c r="G3" s="198"/>
      <c r="H3" s="199">
        <f>IF($A3=0,"",VLOOKUP($A3,'01_C&amp;P'!$A$9:$D$192,4,FALSE))</f>
        <v>80</v>
      </c>
      <c r="I3" s="200" t="str">
        <f>IF($A3=0,"",VLOOKUP($A3,'01_C&amp;P'!$A$9:$D$192,3,FALSE))</f>
        <v>m²</v>
      </c>
      <c r="M3" s="153"/>
    </row>
    <row r="4" ht="14.25" customHeight="1">
      <c r="G4" s="3"/>
      <c r="K4" s="153" t="s">
        <v>1042</v>
      </c>
      <c r="M4" s="153" t="s">
        <v>1043</v>
      </c>
    </row>
    <row r="5" ht="14.25" customHeight="1">
      <c r="A5" s="201" t="s">
        <v>0</v>
      </c>
      <c r="B5" s="94"/>
      <c r="C5" s="94"/>
      <c r="D5" s="94"/>
      <c r="E5" s="94"/>
      <c r="F5" s="94"/>
      <c r="G5" s="2"/>
      <c r="H5" s="94"/>
      <c r="I5" s="94"/>
      <c r="K5" s="153">
        <v>0.12</v>
      </c>
      <c r="M5" s="251">
        <f>H3</f>
        <v>80</v>
      </c>
    </row>
    <row r="6" ht="14.25" customHeight="1">
      <c r="A6" s="202" t="s">
        <v>988</v>
      </c>
      <c r="B6" s="202" t="s">
        <v>989</v>
      </c>
      <c r="C6" s="202" t="s">
        <v>990</v>
      </c>
      <c r="D6" s="203" t="s">
        <v>991</v>
      </c>
      <c r="E6" s="197"/>
      <c r="F6" s="202" t="s">
        <v>992</v>
      </c>
      <c r="G6" s="4" t="s">
        <v>993</v>
      </c>
      <c r="H6" s="202" t="s">
        <v>994</v>
      </c>
      <c r="I6" s="202" t="s">
        <v>995</v>
      </c>
    </row>
    <row r="7" ht="14.25" customHeight="1">
      <c r="A7" s="249" t="s">
        <v>1054</v>
      </c>
      <c r="B7" s="3" t="str">
        <f>IF($A7=0,"",VLOOKUP($A7,'00_Mat'!$A$4:$J$1165,2,FALSE))</f>
        <v>Bolson de Arena (1m3) </v>
      </c>
      <c r="C7" s="3" t="str">
        <f>IF($A7=0,"",VLOOKUP($A7,'00_Mat'!$A$4:$J$1165,3,FALSE))</f>
        <v>m3</v>
      </c>
      <c r="D7" s="250">
        <f>L8</f>
        <v>9.6</v>
      </c>
      <c r="E7" s="204"/>
      <c r="F7" s="236">
        <v>0.1</v>
      </c>
      <c r="G7" s="221">
        <f t="shared" ref="G7:G11" si="1">ROUNDUP((D7+(D7*F7)),0)</f>
        <v>11</v>
      </c>
      <c r="H7" s="143">
        <f>IF($A7=0,"",VLOOKUP($A7,'00_Mat'!$A$4:$J$1135,5,FALSE))</f>
        <v>33470</v>
      </c>
      <c r="I7" s="143">
        <f t="shared" ref="I7:I11" si="2">G7*H7</f>
        <v>368170</v>
      </c>
      <c r="J7" s="231"/>
      <c r="L7" s="153" t="s">
        <v>10</v>
      </c>
    </row>
    <row r="8" ht="14.25" customHeight="1">
      <c r="A8" s="249" t="s">
        <v>1055</v>
      </c>
      <c r="B8" s="3" t="str">
        <f>IF($A8=0,"",VLOOKUP($A8,'00_Mat'!$A$4:$J$1165,2,FALSE))</f>
        <v>Bolsa Cemento "Loma Negra" 25 k (u)</v>
      </c>
      <c r="C8" s="3" t="str">
        <f>IF($A8=0,"",VLOOKUP($A8,'00_Mat'!$A$4:$J$1165,3,FALSE))</f>
        <v>u</v>
      </c>
      <c r="D8" s="250">
        <f>15*L8</f>
        <v>144</v>
      </c>
      <c r="E8" s="204"/>
      <c r="F8" s="236">
        <v>0.1</v>
      </c>
      <c r="G8" s="221">
        <f t="shared" si="1"/>
        <v>159</v>
      </c>
      <c r="H8" s="143">
        <f>IF($A8=0,"",VLOOKUP($A8,'00_Mat'!$A$4:$J$1135,5,FALSE))</f>
        <v>7000</v>
      </c>
      <c r="I8" s="143">
        <f t="shared" si="2"/>
        <v>1113000</v>
      </c>
      <c r="L8" s="194">
        <f>H3*K5</f>
        <v>9.6</v>
      </c>
    </row>
    <row r="9" ht="14.25" customHeight="1">
      <c r="A9" s="3" t="s">
        <v>42</v>
      </c>
      <c r="B9" s="3" t="str">
        <f>IF($A9=0,"",VLOOKUP($A9,'00_Mat'!$A$4:$J$1165,2,FALSE))</f>
        <v>Ladrillo Comun </v>
      </c>
      <c r="C9" s="3" t="str">
        <f>IF($A9=0,"",VLOOKUP($A9,'00_Mat'!$A$4:$J$1165,3,FALSE))</f>
        <v>u</v>
      </c>
      <c r="D9" s="253">
        <v>50.0</v>
      </c>
      <c r="E9" s="204"/>
      <c r="F9" s="236">
        <v>0.25</v>
      </c>
      <c r="G9" s="221">
        <f t="shared" si="1"/>
        <v>63</v>
      </c>
      <c r="H9" s="143">
        <f>IF($A9=0,"",VLOOKUP($A9,'00_Mat'!$A$4:$J$1135,5,FALSE))</f>
        <v>190.61</v>
      </c>
      <c r="I9" s="143">
        <f t="shared" si="2"/>
        <v>12008.43</v>
      </c>
    </row>
    <row r="10" ht="14.25" customHeight="1">
      <c r="A10" s="3"/>
      <c r="B10" s="3" t="str">
        <f>IF($A10=0,"",VLOOKUP($A10,'00_Mat'!$A$4:$J$1165,2,FALSE))</f>
        <v/>
      </c>
      <c r="C10" s="3" t="str">
        <f>IF($A10=0,"",VLOOKUP($A10,'00_Mat'!$A$4:$J$1165,3,FALSE))</f>
        <v/>
      </c>
      <c r="D10" s="255"/>
      <c r="E10" s="204"/>
      <c r="F10" s="236"/>
      <c r="G10" s="221">
        <f t="shared" si="1"/>
        <v>0</v>
      </c>
      <c r="H10" s="143" t="str">
        <f>IF($A10=0,"",VLOOKUP($A10,'00_Mat'!$A$4:$J$1135,5,FALSE))</f>
        <v/>
      </c>
      <c r="I10" s="143">
        <f t="shared" si="2"/>
        <v>0</v>
      </c>
    </row>
    <row r="11" ht="14.25" customHeight="1">
      <c r="A11" s="254"/>
      <c r="B11" s="3" t="str">
        <f>IF($A11=0,"",VLOOKUP($A11,'00_Mat'!$A$4:$J$1165,2,FALSE))</f>
        <v/>
      </c>
      <c r="C11" s="3" t="str">
        <f>IF($A11=0,"",VLOOKUP($A11,'00_Mat'!$A$4:$J$1165,3,FALSE))</f>
        <v/>
      </c>
      <c r="D11" s="255"/>
      <c r="E11" s="204"/>
      <c r="F11" s="236"/>
      <c r="G11" s="221">
        <f t="shared" si="1"/>
        <v>0</v>
      </c>
      <c r="H11" s="143" t="str">
        <f>IF($A11=0,"",VLOOKUP($A11,'00_Mat'!$A$4:$J$1135,5,FALSE))</f>
        <v/>
      </c>
      <c r="I11" s="143">
        <f t="shared" si="2"/>
        <v>0</v>
      </c>
    </row>
    <row r="12" ht="14.25" customHeight="1">
      <c r="A12" s="3"/>
      <c r="B12" s="92"/>
      <c r="C12" s="92"/>
      <c r="D12" s="229"/>
      <c r="E12" s="204"/>
      <c r="F12" s="206"/>
      <c r="G12" s="221"/>
      <c r="H12" s="143"/>
      <c r="I12" s="143"/>
    </row>
    <row r="13" ht="14.25" customHeight="1">
      <c r="A13" s="20"/>
      <c r="B13" s="92"/>
      <c r="C13" s="92"/>
      <c r="D13" s="229"/>
      <c r="E13" s="204"/>
      <c r="F13" s="206"/>
      <c r="G13" s="221"/>
      <c r="H13" s="143"/>
      <c r="I13" s="143"/>
    </row>
    <row r="14" ht="14.25" customHeight="1">
      <c r="A14" s="3"/>
      <c r="B14" s="92"/>
      <c r="C14" s="92"/>
      <c r="D14" s="229"/>
      <c r="E14" s="204"/>
      <c r="F14" s="206"/>
      <c r="G14" s="221"/>
      <c r="H14" s="143"/>
      <c r="I14" s="143"/>
    </row>
    <row r="15" ht="14.25" customHeight="1">
      <c r="A15" s="3"/>
      <c r="B15" s="92"/>
      <c r="C15" s="92"/>
      <c r="D15" s="229"/>
      <c r="E15" s="204"/>
      <c r="F15" s="206"/>
      <c r="G15" s="221"/>
      <c r="H15" s="143"/>
      <c r="I15" s="143"/>
    </row>
    <row r="16" ht="14.25" customHeight="1">
      <c r="A16" s="204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04"/>
      <c r="E16" s="204"/>
      <c r="F16" s="206"/>
      <c r="G16" s="221">
        <f t="shared" ref="G16:G18" si="3">ROUNDUP((D16+(D16*F16)),0)</f>
        <v>0</v>
      </c>
      <c r="H16" s="143" t="str">
        <f>IF($A16=0,"",VLOOKUP($A16,'00_Mat'!$A$4:$J$1135,5,FALSE))</f>
        <v/>
      </c>
      <c r="I16" s="143"/>
    </row>
    <row r="17" ht="14.25" customHeight="1">
      <c r="A17" s="204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04"/>
      <c r="E17" s="204"/>
      <c r="F17" s="206"/>
      <c r="G17" s="221">
        <f t="shared" si="3"/>
        <v>0</v>
      </c>
      <c r="H17" s="143" t="str">
        <f>IF($A17=0,"",VLOOKUP($A17,'00_Mat'!$A$4:$J$1135,5,FALSE))</f>
        <v/>
      </c>
      <c r="I17" s="143"/>
    </row>
    <row r="18" ht="14.25" customHeight="1">
      <c r="A18" s="204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04"/>
      <c r="E18" s="204"/>
      <c r="F18" s="206"/>
      <c r="G18" s="221">
        <f t="shared" si="3"/>
        <v>0</v>
      </c>
      <c r="H18" s="143" t="str">
        <f>IF($A18=0,"",VLOOKUP($A18,'00_Mat'!$A$4:$J$1135,5,FALSE))</f>
        <v/>
      </c>
      <c r="I18" s="143"/>
    </row>
    <row r="19" ht="14.25" customHeight="1">
      <c r="F19" s="208"/>
      <c r="G19" s="3"/>
      <c r="H19" s="143"/>
      <c r="I19" s="143"/>
    </row>
    <row r="20" ht="14.25" customHeight="1">
      <c r="A20" s="222" t="s">
        <v>996</v>
      </c>
      <c r="B20" s="223"/>
      <c r="C20" s="223"/>
      <c r="D20" s="223"/>
      <c r="E20" s="223"/>
      <c r="F20" s="223"/>
      <c r="G20" s="211"/>
      <c r="H20" s="223"/>
      <c r="I20" s="224">
        <f>SUM(I7:I18)</f>
        <v>1493178.43</v>
      </c>
      <c r="J20" s="92"/>
      <c r="K20" s="92"/>
      <c r="L20" s="92"/>
    </row>
    <row r="21" ht="14.25" customHeight="1">
      <c r="A21" s="232" t="str">
        <f>$I$3</f>
        <v>m²</v>
      </c>
      <c r="B21" s="233"/>
      <c r="C21" s="233"/>
      <c r="D21" s="233"/>
      <c r="E21" s="233"/>
      <c r="F21" s="233"/>
      <c r="G21" s="21"/>
      <c r="H21" s="233"/>
      <c r="I21" s="205">
        <f>$H$3</f>
        <v>80</v>
      </c>
      <c r="J21" s="92"/>
      <c r="K21" s="92"/>
      <c r="L21" s="92"/>
    </row>
    <row r="22" ht="14.25" customHeight="1">
      <c r="A22" s="234" t="s">
        <v>997</v>
      </c>
      <c r="B22" s="232" t="str">
        <f>A21</f>
        <v>m²</v>
      </c>
      <c r="C22" s="233"/>
      <c r="D22" s="233"/>
      <c r="E22" s="233"/>
      <c r="F22" s="233"/>
      <c r="G22" s="21"/>
      <c r="H22" s="233"/>
      <c r="I22" s="235">
        <f>I20/I21</f>
        <v>18664.73038</v>
      </c>
      <c r="J22" s="92"/>
      <c r="K22" s="92"/>
      <c r="L22" s="92"/>
    </row>
    <row r="23" ht="14.25" customHeight="1">
      <c r="G23" s="3"/>
      <c r="I23" s="151"/>
    </row>
    <row r="24" ht="14.25" customHeight="1">
      <c r="G24" s="3"/>
    </row>
    <row r="25" ht="14.25" customHeight="1">
      <c r="A25" s="201" t="s">
        <v>998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02" t="s">
        <v>988</v>
      </c>
      <c r="B26" s="202" t="s">
        <v>989</v>
      </c>
      <c r="C26" s="202" t="s">
        <v>990</v>
      </c>
      <c r="D26" s="202" t="s">
        <v>991</v>
      </c>
      <c r="E26" s="202" t="s">
        <v>999</v>
      </c>
      <c r="F26" s="202" t="s">
        <v>992</v>
      </c>
      <c r="G26" s="4" t="s">
        <v>993</v>
      </c>
      <c r="H26" s="202" t="s">
        <v>994</v>
      </c>
      <c r="I26" s="202" t="s">
        <v>995</v>
      </c>
    </row>
    <row r="27" ht="14.25" customHeight="1">
      <c r="A27" s="61" t="s">
        <v>621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29">
        <v>1.0</v>
      </c>
      <c r="E27" s="229">
        <v>1.0</v>
      </c>
      <c r="F27" s="236">
        <v>0.25</v>
      </c>
      <c r="G27" s="217">
        <f t="shared" ref="G27:G32" si="4">ROUNDUP(((D27*E27)*(1+F27)),0)</f>
        <v>2</v>
      </c>
      <c r="H27" s="143">
        <f>IF($A27=0,"",VLOOKUP($A27,'00_MO'!$A$4:$D$7,4,FALSE))</f>
        <v>120000</v>
      </c>
      <c r="I27" s="143">
        <f t="shared" ref="I27:I30" si="5">G27*H27</f>
        <v>240000</v>
      </c>
      <c r="K27" s="153" t="s">
        <v>1056</v>
      </c>
    </row>
    <row r="28" ht="14.25" customHeight="1">
      <c r="A28" s="61" t="s">
        <v>623</v>
      </c>
      <c r="B28" s="92" t="str">
        <f>IF($A28=0,"",VLOOKUP($A28,'00_MO'!$A$4:$D$7,2,FALSE))</f>
        <v>Puntero</v>
      </c>
      <c r="C28" s="92" t="str">
        <f>IF($A28=0,"",VLOOKUP($A28,'00_MO'!$A$4:$D$7,3,FALSE))</f>
        <v>u</v>
      </c>
      <c r="D28" s="229">
        <v>2.0</v>
      </c>
      <c r="E28" s="229">
        <v>1.0</v>
      </c>
      <c r="F28" s="236">
        <v>0.25</v>
      </c>
      <c r="G28" s="217">
        <f t="shared" si="4"/>
        <v>3</v>
      </c>
      <c r="H28" s="143">
        <f>IF($A28=0,"",VLOOKUP($A28,'00_MO'!$A$4:$D$7,4,FALSE))</f>
        <v>105000</v>
      </c>
      <c r="I28" s="143">
        <f t="shared" si="5"/>
        <v>315000</v>
      </c>
    </row>
    <row r="29" ht="14.25" customHeight="1">
      <c r="A29" s="61" t="s">
        <v>625</v>
      </c>
      <c r="B29" s="92" t="str">
        <f>IF($A29=0,"",VLOOKUP($A29,'00_MO'!$A$4:$D$7,2,FALSE))</f>
        <v>Oficial</v>
      </c>
      <c r="C29" s="92" t="str">
        <f>IF($A29=0,"",VLOOKUP($A29,'00_MO'!$A$4:$D$7,3,FALSE))</f>
        <v>u</v>
      </c>
      <c r="D29" s="229">
        <v>3.0</v>
      </c>
      <c r="E29" s="229">
        <v>1.0</v>
      </c>
      <c r="F29" s="236">
        <v>0.25</v>
      </c>
      <c r="G29" s="217">
        <f t="shared" si="4"/>
        <v>4</v>
      </c>
      <c r="H29" s="143">
        <f>IF($A29=0,"",VLOOKUP($A29,'00_MO'!$A$4:$D$7,4,FALSE))</f>
        <v>90000</v>
      </c>
      <c r="I29" s="143">
        <f t="shared" si="5"/>
        <v>360000</v>
      </c>
    </row>
    <row r="30" ht="14.25" customHeight="1">
      <c r="A30" s="61" t="s">
        <v>627</v>
      </c>
      <c r="B30" s="92" t="str">
        <f>IF($A30=0,"",VLOOKUP($A30,'00_MO'!$A$4:$D$7,2,FALSE))</f>
        <v>Ayudante</v>
      </c>
      <c r="C30" s="92" t="str">
        <f>IF($A30=0,"",VLOOKUP($A30,'00_MO'!$A$4:$D$7,3,FALSE))</f>
        <v>u</v>
      </c>
      <c r="D30" s="229">
        <v>3.0</v>
      </c>
      <c r="E30" s="229">
        <v>1.0</v>
      </c>
      <c r="F30" s="236">
        <v>0.25</v>
      </c>
      <c r="G30" s="217">
        <f t="shared" si="4"/>
        <v>4</v>
      </c>
      <c r="H30" s="143">
        <f>IF($A30=0,"",VLOOKUP($A30,'00_MO'!$A$4:$D$7,4,FALSE))</f>
        <v>60000</v>
      </c>
      <c r="I30" s="143">
        <f t="shared" si="5"/>
        <v>240000</v>
      </c>
    </row>
    <row r="31" ht="14.25" customHeight="1">
      <c r="A31" s="204"/>
      <c r="B31" s="92" t="str">
        <f>IF($A31=0,"",VLOOKUP($A31,'00_MO'!$A$4:$D$7,2,FALSE))</f>
        <v/>
      </c>
      <c r="C31" s="92" t="str">
        <f>IF($A31=0,"",VLOOKUP($A31,'00_MO'!$A$4:$D$7,3,FALSE))</f>
        <v/>
      </c>
      <c r="D31" s="204"/>
      <c r="E31" s="229"/>
      <c r="F31" s="206"/>
      <c r="G31" s="217">
        <f t="shared" si="4"/>
        <v>0</v>
      </c>
      <c r="H31" s="143" t="str">
        <f>IF($A31=0,"",VLOOKUP($A31,'00_MO'!$A$4:$D$7,4,FALSE))</f>
        <v/>
      </c>
      <c r="I31" s="143"/>
    </row>
    <row r="32" ht="14.25" customHeight="1">
      <c r="A32" s="204"/>
      <c r="B32" s="92" t="str">
        <f>IF($A32=0,"",VLOOKUP($A32,'00_MO'!$A$4:$D$7,2,FALSE))</f>
        <v/>
      </c>
      <c r="C32" s="92" t="str">
        <f>IF($A32=0,"",VLOOKUP($A32,'00_MO'!$A$4:$D$7,3,FALSE))</f>
        <v/>
      </c>
      <c r="D32" s="204"/>
      <c r="E32" s="204"/>
      <c r="F32" s="206"/>
      <c r="G32" s="217">
        <f t="shared" si="4"/>
        <v>0</v>
      </c>
      <c r="H32" s="143" t="str">
        <f>IF($A32=0,"",VLOOKUP($A32,'00_MO'!$A$4:$D$7,4,FALSE))</f>
        <v/>
      </c>
      <c r="I32" s="143"/>
    </row>
    <row r="33" ht="14.25" customHeight="1">
      <c r="F33" s="208"/>
      <c r="G33" s="3"/>
      <c r="H33" s="143"/>
      <c r="I33" s="143"/>
    </row>
    <row r="34" ht="14.25" customHeight="1">
      <c r="A34" s="222" t="s">
        <v>987</v>
      </c>
      <c r="B34" s="223"/>
      <c r="C34" s="223"/>
      <c r="D34" s="223"/>
      <c r="E34" s="223"/>
      <c r="F34" s="223"/>
      <c r="G34" s="211"/>
      <c r="H34" s="223"/>
      <c r="I34" s="224">
        <f>SUM(I27:I32)</f>
        <v>1155000</v>
      </c>
    </row>
    <row r="35" ht="14.25" customHeight="1">
      <c r="A35" s="232" t="str">
        <f>$I$3</f>
        <v>m²</v>
      </c>
      <c r="B35" s="233"/>
      <c r="C35" s="233"/>
      <c r="D35" s="233"/>
      <c r="E35" s="233"/>
      <c r="F35" s="233"/>
      <c r="G35" s="21"/>
      <c r="H35" s="233"/>
      <c r="I35" s="205">
        <f>$H$3</f>
        <v>80</v>
      </c>
      <c r="J35" s="92"/>
      <c r="K35" s="92"/>
      <c r="L35" s="92"/>
    </row>
    <row r="36" ht="14.25" customHeight="1">
      <c r="A36" s="234" t="s">
        <v>997</v>
      </c>
      <c r="B36" s="232" t="str">
        <f>A35</f>
        <v>m²</v>
      </c>
      <c r="C36" s="233"/>
      <c r="D36" s="233"/>
      <c r="E36" s="233"/>
      <c r="F36" s="233"/>
      <c r="G36" s="21"/>
      <c r="H36" s="233"/>
      <c r="I36" s="235">
        <f>I34/I35</f>
        <v>14437.5</v>
      </c>
      <c r="J36" s="92"/>
      <c r="K36" s="92"/>
      <c r="L36" s="92"/>
    </row>
    <row r="37" ht="14.25" customHeight="1">
      <c r="G37" s="3"/>
      <c r="H37" s="153" t="s">
        <v>1047</v>
      </c>
      <c r="I37" s="151">
        <f>I36/M5</f>
        <v>180.46875</v>
      </c>
    </row>
    <row r="38" ht="14.25" customHeight="1">
      <c r="G38" s="3"/>
    </row>
    <row r="39" ht="14.25" customHeight="1">
      <c r="A39" s="201" t="s">
        <v>1000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02" t="s">
        <v>988</v>
      </c>
      <c r="B40" s="202" t="s">
        <v>989</v>
      </c>
      <c r="C40" s="202" t="s">
        <v>990</v>
      </c>
      <c r="D40" s="202" t="s">
        <v>991</v>
      </c>
      <c r="E40" s="202" t="s">
        <v>999</v>
      </c>
      <c r="F40" s="202" t="s">
        <v>992</v>
      </c>
      <c r="G40" s="4" t="s">
        <v>993</v>
      </c>
      <c r="H40" s="202" t="s">
        <v>994</v>
      </c>
      <c r="I40" s="202" t="s">
        <v>995</v>
      </c>
    </row>
    <row r="41" ht="14.25" customHeight="1">
      <c r="A41" s="3"/>
      <c r="B41" s="92" t="str">
        <f>IF($A41=0,"",VLOOKUP($A41,'00_Mat'!$A$4:$J$1135,2,FALSE))</f>
        <v/>
      </c>
      <c r="C41" s="92" t="str">
        <f>IF($A41=0,"",VLOOKUP($A41,'00_Mat'!$A$4:$J$1135,3,FALSE))</f>
        <v/>
      </c>
      <c r="D41" s="230"/>
      <c r="E41" s="204"/>
      <c r="F41" s="236"/>
      <c r="G41" s="221">
        <f t="shared" ref="G41:G45" si="6">ROUNDUP((D41+(D41*F41)),0)</f>
        <v>0</v>
      </c>
      <c r="H41" s="143" t="str">
        <f>IF($A41=0,"",VLOOKUP($A41,'00_Mat'!$A$4:$J$1135,5,FALSE))</f>
        <v/>
      </c>
      <c r="I41" s="143">
        <f t="shared" ref="I41:I46" si="7">G41*H41</f>
        <v>0</v>
      </c>
      <c r="J41" s="237"/>
    </row>
    <row r="42" ht="14.25" customHeight="1">
      <c r="A42" s="3"/>
      <c r="B42" s="92" t="str">
        <f>IF($A42=0,"",VLOOKUP($A42,'00_Mat'!$A$4:$J$1135,2,FALSE))</f>
        <v/>
      </c>
      <c r="C42" s="92" t="str">
        <f>IF($A42=0,"",VLOOKUP($A42,'00_Mat'!$A$4:$J$1135,3,FALSE))</f>
        <v/>
      </c>
      <c r="D42" s="230"/>
      <c r="E42" s="204"/>
      <c r="F42" s="236"/>
      <c r="G42" s="221">
        <f t="shared" si="6"/>
        <v>0</v>
      </c>
      <c r="H42" s="143" t="str">
        <f>IF($A42=0,"",VLOOKUP($A42,'00_Mat'!$A$4:$J$1135,5,FALSE))</f>
        <v/>
      </c>
      <c r="I42" s="143">
        <f t="shared" si="7"/>
        <v>0</v>
      </c>
      <c r="J42" s="237"/>
    </row>
    <row r="43" ht="14.25" customHeight="1">
      <c r="A43" s="3"/>
      <c r="B43" s="92" t="str">
        <f>IF($A43=0,"",VLOOKUP($A43,'00_Mat'!$A$4:$J$1135,2,FALSE))</f>
        <v/>
      </c>
      <c r="C43" s="92" t="str">
        <f>IF($A43=0,"",VLOOKUP($A43,'00_Mat'!$A$4:$J$1135,3,FALSE))</f>
        <v/>
      </c>
      <c r="D43" s="230"/>
      <c r="E43" s="204"/>
      <c r="F43" s="236"/>
      <c r="G43" s="221">
        <f t="shared" si="6"/>
        <v>0</v>
      </c>
      <c r="H43" s="143" t="str">
        <f>IF($A43=0,"",VLOOKUP($A43,'00_Mat'!$A$4:$J$1135,5,FALSE))</f>
        <v/>
      </c>
      <c r="I43" s="143">
        <f t="shared" si="7"/>
        <v>0</v>
      </c>
    </row>
    <row r="44" ht="14.25" customHeight="1">
      <c r="A44" s="20"/>
      <c r="B44" s="92" t="str">
        <f>IF($A44=0,"",VLOOKUP($A44,'00_Mat'!$A$4:$J$1135,2,FALSE))</f>
        <v/>
      </c>
      <c r="C44" s="92" t="str">
        <f>IF($A44=0,"",VLOOKUP($A44,'00_Mat'!$A$4:$J$1135,3,FALSE))</f>
        <v/>
      </c>
      <c r="D44" s="230"/>
      <c r="E44" s="204"/>
      <c r="F44" s="236"/>
      <c r="G44" s="221">
        <f t="shared" si="6"/>
        <v>0</v>
      </c>
      <c r="H44" s="143" t="str">
        <f>IF($A44=0,"",VLOOKUP($A44,'00_Mat'!$A$4:$J$1135,5,FALSE))</f>
        <v/>
      </c>
      <c r="I44" s="143">
        <f t="shared" si="7"/>
        <v>0</v>
      </c>
    </row>
    <row r="45" ht="14.25" customHeight="1">
      <c r="B45" s="194" t="str">
        <f>IF($A45=0,"",VLOOKUP($A45,'00_Mat'!$A$4:$J$1135,2,FALSE))</f>
        <v/>
      </c>
      <c r="C45" s="92" t="str">
        <f>IF($A45=0,"",VLOOKUP($A45,'00_Mat'!$A$4:$J$1135,3,FALSE))</f>
        <v/>
      </c>
      <c r="D45" s="230"/>
      <c r="E45" s="204"/>
      <c r="F45" s="236"/>
      <c r="G45" s="221">
        <f t="shared" si="6"/>
        <v>0</v>
      </c>
      <c r="H45" s="231"/>
      <c r="I45" s="143">
        <f t="shared" si="7"/>
        <v>0</v>
      </c>
    </row>
    <row r="46" ht="14.25" customHeight="1">
      <c r="A46" s="204"/>
      <c r="B46" s="92" t="str">
        <f>IF($A46=0,"",VLOOKUP($A46,'00_Mat'!$A$4:$J$1135,2,FALSE))</f>
        <v/>
      </c>
      <c r="C46" s="92" t="str">
        <f>IF($A46=0,"",VLOOKUP($A46,'00_Mat'!$A$4:$J$1135,3,FALSE))</f>
        <v/>
      </c>
      <c r="D46" s="229"/>
      <c r="E46" s="204"/>
      <c r="F46" s="236"/>
      <c r="G46" s="217">
        <f>ROUNDUP(((D46*E46)*(1+F46)),0)</f>
        <v>0</v>
      </c>
      <c r="H46" s="143" t="str">
        <f>IF($A46=0,"",VLOOKUP($A46,'00_Mat'!$A$4:$J$1135,5,FALSE))</f>
        <v/>
      </c>
      <c r="I46" s="143">
        <f t="shared" si="7"/>
        <v>0</v>
      </c>
      <c r="J46" s="153"/>
    </row>
    <row r="47" ht="14.25" customHeight="1">
      <c r="F47" s="208"/>
      <c r="G47" s="3"/>
      <c r="H47" s="143"/>
      <c r="I47" s="143"/>
    </row>
    <row r="48" ht="14.25" customHeight="1">
      <c r="A48" s="222" t="s">
        <v>987</v>
      </c>
      <c r="B48" s="223"/>
      <c r="C48" s="223"/>
      <c r="D48" s="223"/>
      <c r="E48" s="223"/>
      <c r="F48" s="223"/>
      <c r="G48" s="211"/>
      <c r="H48" s="223"/>
      <c r="I48" s="224">
        <f>SUM(I41:I46)</f>
        <v>0</v>
      </c>
    </row>
    <row r="49" ht="14.25" customHeight="1">
      <c r="A49" s="232" t="str">
        <f>$I$3</f>
        <v>m²</v>
      </c>
      <c r="B49" s="233"/>
      <c r="C49" s="233"/>
      <c r="D49" s="233"/>
      <c r="E49" s="233"/>
      <c r="F49" s="233"/>
      <c r="G49" s="21"/>
      <c r="H49" s="233"/>
      <c r="I49" s="205">
        <f>$H$3</f>
        <v>80</v>
      </c>
      <c r="J49" s="92"/>
      <c r="K49" s="92"/>
      <c r="L49" s="92"/>
    </row>
    <row r="50" ht="14.25" customHeight="1">
      <c r="A50" s="234" t="s">
        <v>997</v>
      </c>
      <c r="B50" s="232" t="str">
        <f>A49</f>
        <v>m²</v>
      </c>
      <c r="C50" s="233"/>
      <c r="D50" s="233"/>
      <c r="E50" s="233"/>
      <c r="F50" s="233"/>
      <c r="G50" s="21"/>
      <c r="H50" s="233"/>
      <c r="I50" s="235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01" t="s">
        <v>1010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02" t="s">
        <v>988</v>
      </c>
      <c r="B54" s="202" t="s">
        <v>989</v>
      </c>
      <c r="C54" s="202" t="s">
        <v>990</v>
      </c>
      <c r="D54" s="203" t="s">
        <v>991</v>
      </c>
      <c r="E54" s="197"/>
      <c r="F54" s="202" t="s">
        <v>992</v>
      </c>
      <c r="G54" s="4" t="s">
        <v>993</v>
      </c>
      <c r="H54" s="202" t="s">
        <v>994</v>
      </c>
      <c r="I54" s="202" t="s">
        <v>995</v>
      </c>
    </row>
    <row r="55" ht="14.25" customHeight="1">
      <c r="A55" s="229"/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30">
        <v>1.0</v>
      </c>
      <c r="E55" s="204"/>
      <c r="F55" s="236">
        <v>0.1</v>
      </c>
      <c r="G55" s="221">
        <f t="shared" ref="G55:G60" si="8">ROUNDUP((D55+(D55*F55)),0)</f>
        <v>2</v>
      </c>
      <c r="H55" s="143" t="str">
        <f>IF($A55=0,"",VLOOKUP($A55,'00_Mat'!$A$4:$J$1135,5,FALSE))</f>
        <v/>
      </c>
      <c r="I55" s="143">
        <f t="shared" ref="I55:I58" si="9">G55*H55</f>
        <v>0</v>
      </c>
      <c r="J55" s="237"/>
    </row>
    <row r="56" ht="14.25" customHeight="1">
      <c r="A56" s="3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0">
        <v>10.0</v>
      </c>
      <c r="E56" s="204"/>
      <c r="F56" s="236">
        <v>0.1</v>
      </c>
      <c r="G56" s="221">
        <f t="shared" si="8"/>
        <v>11</v>
      </c>
      <c r="H56" s="143" t="str">
        <f>IF($A56=0,"",VLOOKUP($A56,'00_Mat'!$A$4:$J$1135,5,FALSE))</f>
        <v/>
      </c>
      <c r="I56" s="143">
        <f t="shared" si="9"/>
        <v>0</v>
      </c>
      <c r="J56" s="237"/>
    </row>
    <row r="57" ht="14.25" customHeight="1">
      <c r="A57" s="3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0">
        <v>1.0</v>
      </c>
      <c r="E57" s="204"/>
      <c r="F57" s="236">
        <v>0.1</v>
      </c>
      <c r="G57" s="221">
        <f t="shared" si="8"/>
        <v>2</v>
      </c>
      <c r="H57" s="143" t="str">
        <f>IF($A57=0,"",VLOOKUP($A57,'00_Mat'!$A$4:$J$1135,5,FALSE))</f>
        <v/>
      </c>
      <c r="I57" s="143">
        <f t="shared" si="9"/>
        <v>0</v>
      </c>
    </row>
    <row r="58" ht="14.25" customHeight="1">
      <c r="A58" s="20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0">
        <v>1.0</v>
      </c>
      <c r="E58" s="204"/>
      <c r="F58" s="236">
        <v>0.1</v>
      </c>
      <c r="G58" s="221">
        <f t="shared" si="8"/>
        <v>2</v>
      </c>
      <c r="H58" s="143" t="str">
        <f>IF($A58=0,"",VLOOKUP($A58,'00_Mat'!$A$4:$J$1135,5,FALSE))</f>
        <v/>
      </c>
      <c r="I58" s="143">
        <f t="shared" si="9"/>
        <v>0</v>
      </c>
    </row>
    <row r="59" ht="14.25" customHeight="1">
      <c r="A59" s="204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05"/>
      <c r="E59" s="204"/>
      <c r="F59" s="206"/>
      <c r="G59" s="221">
        <f t="shared" si="8"/>
        <v>0</v>
      </c>
      <c r="H59" s="143" t="str">
        <f>IF($A59=0,"",VLOOKUP($A59,'00_Mat'!$A$4:$J$1135,5,FALSE))</f>
        <v/>
      </c>
      <c r="I59" s="143"/>
    </row>
    <row r="60" ht="14.25" customHeight="1">
      <c r="A60" s="204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05"/>
      <c r="E60" s="204"/>
      <c r="F60" s="206"/>
      <c r="G60" s="221">
        <f t="shared" si="8"/>
        <v>0</v>
      </c>
      <c r="H60" s="143" t="str">
        <f>IF($A60=0,"",VLOOKUP($A60,'00_Mat'!$A$4:$J$1135,5,FALSE))</f>
        <v/>
      </c>
      <c r="I60" s="143"/>
    </row>
    <row r="61" ht="14.25" customHeight="1">
      <c r="F61" s="208"/>
      <c r="G61" s="3"/>
      <c r="H61" s="143"/>
      <c r="I61" s="143"/>
    </row>
    <row r="62" ht="14.25" customHeight="1">
      <c r="A62" s="222" t="s">
        <v>987</v>
      </c>
      <c r="B62" s="223"/>
      <c r="C62" s="223"/>
      <c r="D62" s="223"/>
      <c r="E62" s="223"/>
      <c r="F62" s="223"/>
      <c r="G62" s="211"/>
      <c r="H62" s="223"/>
      <c r="I62" s="224">
        <f>SUM(I55:I60)</f>
        <v>0</v>
      </c>
    </row>
    <row r="63" ht="14.25" customHeight="1">
      <c r="A63" s="232" t="str">
        <f>$I$3</f>
        <v>m²</v>
      </c>
      <c r="B63" s="233"/>
      <c r="C63" s="233"/>
      <c r="D63" s="233"/>
      <c r="E63" s="233"/>
      <c r="F63" s="233"/>
      <c r="G63" s="21"/>
      <c r="H63" s="233"/>
      <c r="I63" s="205">
        <f>$H$3</f>
        <v>80</v>
      </c>
      <c r="J63" s="92"/>
      <c r="K63" s="92"/>
      <c r="L63" s="92"/>
    </row>
    <row r="64" ht="14.25" customHeight="1">
      <c r="A64" s="234" t="s">
        <v>997</v>
      </c>
      <c r="B64" s="232" t="str">
        <f>A63</f>
        <v>m²</v>
      </c>
      <c r="C64" s="233"/>
      <c r="D64" s="233"/>
      <c r="E64" s="233"/>
      <c r="F64" s="233"/>
      <c r="G64" s="21"/>
      <c r="H64" s="233"/>
      <c r="I64" s="235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01" t="s">
        <v>1025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02" t="s">
        <v>988</v>
      </c>
      <c r="B68" s="202" t="s">
        <v>989</v>
      </c>
      <c r="C68" s="202" t="s">
        <v>990</v>
      </c>
      <c r="D68" s="202" t="s">
        <v>991</v>
      </c>
      <c r="E68" s="202" t="s">
        <v>999</v>
      </c>
      <c r="F68" s="202" t="s">
        <v>992</v>
      </c>
      <c r="G68" s="4" t="s">
        <v>993</v>
      </c>
      <c r="H68" s="202" t="s">
        <v>994</v>
      </c>
      <c r="I68" s="202" t="s">
        <v>995</v>
      </c>
    </row>
    <row r="69" ht="14.25" customHeight="1">
      <c r="A69" s="20" t="s">
        <v>743</v>
      </c>
      <c r="B69" s="92" t="str">
        <f>IF($A69=0,"",VLOOKUP($A69,'00_Sub'!$A$4:$D$1007,2,FALSE))</f>
        <v>BOMBEO HORMIGON CELULAR. Incluye mano de obra y bomba.</v>
      </c>
      <c r="C69" s="92" t="str">
        <f>IF($A69=0,"",VLOOKUP($A69,'00_Sub'!$A$4:$D$1007,3,FALSE))</f>
        <v>m²</v>
      </c>
      <c r="D69" s="205">
        <f>H3</f>
        <v>80</v>
      </c>
      <c r="E69" s="204"/>
      <c r="F69" s="236">
        <v>0.25</v>
      </c>
      <c r="G69" s="221">
        <f t="shared" ref="G69:G74" si="10">ROUNDUP((D69+(D69*F69)),0)</f>
        <v>100</v>
      </c>
      <c r="H69" s="143">
        <f>IF($A69=0,"",VLOOKUP($A69,'00_Sub'!$A$4:$D$1007,4,FALSE))</f>
        <v>12000</v>
      </c>
      <c r="I69" s="143">
        <f>G69*H69</f>
        <v>1200000</v>
      </c>
    </row>
    <row r="70" ht="14.25" customHeight="1">
      <c r="A70" s="204"/>
      <c r="B70" s="92" t="str">
        <f>IF($A70=0,"",VLOOKUP($A70,'00_Sub'!$A$4:$D$1007,2,FALSE))</f>
        <v/>
      </c>
      <c r="C70" s="92" t="str">
        <f>IF($A70=0,"",VLOOKUP($A70,'00_Sub'!$A$4:$D$1007,3,FALSE))</f>
        <v/>
      </c>
      <c r="D70" s="204"/>
      <c r="E70" s="204"/>
      <c r="F70" s="206"/>
      <c r="G70" s="221">
        <f t="shared" si="10"/>
        <v>0</v>
      </c>
      <c r="H70" s="143" t="str">
        <f>IF($A70=0,"",VLOOKUP($A70,'00_Sub'!$A$4:$D$1007,4,FALSE))</f>
        <v/>
      </c>
      <c r="I70" s="143"/>
    </row>
    <row r="71" ht="14.25" customHeight="1">
      <c r="A71" s="204"/>
      <c r="B71" s="92" t="str">
        <f>IF($A71=0,"",VLOOKUP($A71,'00_Sub'!$A$4:$D$1007,2,FALSE))</f>
        <v/>
      </c>
      <c r="C71" s="92" t="str">
        <f>IF($A71=0,"",VLOOKUP($A71,'00_Sub'!$A$4:$D$1007,3,FALSE))</f>
        <v/>
      </c>
      <c r="D71" s="204"/>
      <c r="E71" s="204"/>
      <c r="F71" s="206"/>
      <c r="G71" s="221">
        <f t="shared" si="10"/>
        <v>0</v>
      </c>
      <c r="H71" s="143" t="str">
        <f>IF($A71=0,"",VLOOKUP($A71,'00_Sub'!$A$4:$D$1007,4,FALSE))</f>
        <v/>
      </c>
      <c r="I71" s="143"/>
    </row>
    <row r="72" ht="14.25" customHeight="1">
      <c r="A72" s="204"/>
      <c r="B72" s="92" t="str">
        <f>IF($A72=0,"",VLOOKUP($A72,'00_Sub'!$A$4:$D$1007,2,FALSE))</f>
        <v/>
      </c>
      <c r="C72" s="92" t="str">
        <f>IF($A72=0,"",VLOOKUP($A72,'00_Sub'!$A$4:$D$1007,3,FALSE))</f>
        <v/>
      </c>
      <c r="D72" s="204"/>
      <c r="E72" s="204"/>
      <c r="F72" s="206"/>
      <c r="G72" s="221">
        <f t="shared" si="10"/>
        <v>0</v>
      </c>
      <c r="H72" s="143" t="str">
        <f>IF($A72=0,"",VLOOKUP($A72,'00_Sub'!$A$4:$D$1007,4,FALSE))</f>
        <v/>
      </c>
      <c r="I72" s="143"/>
    </row>
    <row r="73" ht="14.25" customHeight="1">
      <c r="A73" s="204"/>
      <c r="B73" s="92" t="str">
        <f>IF($A73=0,"",VLOOKUP($A73,'00_Sub'!$A$4:$D$1007,2,FALSE))</f>
        <v/>
      </c>
      <c r="C73" s="92" t="str">
        <f>IF($A73=0,"",VLOOKUP($A73,'00_Sub'!$A$4:$D$1007,3,FALSE))</f>
        <v/>
      </c>
      <c r="D73" s="204"/>
      <c r="E73" s="204"/>
      <c r="F73" s="206"/>
      <c r="G73" s="221">
        <f t="shared" si="10"/>
        <v>0</v>
      </c>
      <c r="H73" s="143" t="str">
        <f>IF($A73=0,"",VLOOKUP($A73,'00_Sub'!$A$4:$D$1007,4,FALSE))</f>
        <v/>
      </c>
      <c r="I73" s="143"/>
    </row>
    <row r="74" ht="14.25" customHeight="1">
      <c r="A74" s="204"/>
      <c r="B74" s="92" t="str">
        <f>IF($A74=0,"",VLOOKUP($A74,'00_Sub'!$A$4:$D$1007,2,FALSE))</f>
        <v/>
      </c>
      <c r="C74" s="92" t="str">
        <f>IF($A74=0,"",VLOOKUP($A74,'00_Sub'!$A$4:$D$1007,3,FALSE))</f>
        <v/>
      </c>
      <c r="D74" s="204"/>
      <c r="E74" s="204"/>
      <c r="F74" s="206"/>
      <c r="G74" s="221">
        <f t="shared" si="10"/>
        <v>0</v>
      </c>
      <c r="H74" s="143" t="str">
        <f>IF($A74=0,"",VLOOKUP($A74,'00_Sub'!$A$4:$D$1007,4,FALSE))</f>
        <v/>
      </c>
      <c r="I74" s="143"/>
    </row>
    <row r="75" ht="14.25" customHeight="1">
      <c r="F75" s="208"/>
      <c r="G75" s="3"/>
      <c r="H75" s="143"/>
      <c r="I75" s="143"/>
    </row>
    <row r="76" ht="14.25" customHeight="1">
      <c r="A76" s="222" t="s">
        <v>987</v>
      </c>
      <c r="B76" s="223"/>
      <c r="C76" s="223"/>
      <c r="D76" s="223"/>
      <c r="E76" s="223"/>
      <c r="F76" s="223"/>
      <c r="G76" s="211"/>
      <c r="H76" s="223"/>
      <c r="I76" s="224">
        <f>SUM(I69:I74)</f>
        <v>1200000</v>
      </c>
    </row>
    <row r="77" ht="14.25" customHeight="1">
      <c r="A77" s="232" t="str">
        <f>$I$3</f>
        <v>m²</v>
      </c>
      <c r="B77" s="233"/>
      <c r="C77" s="233"/>
      <c r="D77" s="233"/>
      <c r="E77" s="233"/>
      <c r="F77" s="233"/>
      <c r="G77" s="21"/>
      <c r="H77" s="233"/>
      <c r="I77" s="205">
        <f>$H$3</f>
        <v>80</v>
      </c>
      <c r="J77" s="92"/>
      <c r="K77" s="92"/>
      <c r="L77" s="92"/>
    </row>
    <row r="78" ht="14.25" customHeight="1">
      <c r="A78" s="234" t="s">
        <v>997</v>
      </c>
      <c r="B78" s="232" t="str">
        <f>A77</f>
        <v>m²</v>
      </c>
      <c r="C78" s="233"/>
      <c r="D78" s="233"/>
      <c r="E78" s="233"/>
      <c r="F78" s="233"/>
      <c r="G78" s="21"/>
      <c r="H78" s="233"/>
      <c r="I78" s="235">
        <f>I76/I77</f>
        <v>15000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3">
    <mergeCell ref="B3:F3"/>
    <mergeCell ref="D6:E6"/>
    <mergeCell ref="D54:E54"/>
  </mergeCells>
  <printOptions/>
  <pageMargins bottom="0.75" footer="0.0" header="0.0" left="0.7" right="0.7" top="0.75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86"/>
    <col customWidth="1" min="10" max="12" width="8.71"/>
  </cols>
  <sheetData>
    <row r="1" ht="33.75" customHeight="1">
      <c r="A1" s="91" t="str">
        <f>'01_C&amp;P'!A1</f>
        <v>EDIFICIO LAS HERAS</v>
      </c>
      <c r="B1" s="91"/>
      <c r="C1" s="91"/>
      <c r="G1" s="3"/>
    </row>
    <row r="2" ht="14.25" customHeight="1">
      <c r="G2" s="3"/>
    </row>
    <row r="3" ht="23.25" customHeight="1">
      <c r="A3" s="195">
        <f>'01_C&amp;P'!A34</f>
        <v>46174</v>
      </c>
      <c r="B3" s="196" t="str">
        <f>IF($A3=0,"",VLOOKUP($A3,'01_C&amp;P'!$A$9:$D$192,2,FALSE))</f>
        <v>CARPETA . e=3cm</v>
      </c>
      <c r="C3" s="197"/>
      <c r="D3" s="197"/>
      <c r="E3" s="197"/>
      <c r="F3" s="197"/>
      <c r="G3" s="198"/>
      <c r="H3" s="199">
        <f>IF($A3=0,"",VLOOKUP($A3,'01_C&amp;P'!$A$9:$D$192,4,FALSE))</f>
        <v>80</v>
      </c>
      <c r="I3" s="200" t="str">
        <f>IF($A3=0,"",VLOOKUP($A3,'01_C&amp;P'!$A$9:$D$192,3,FALSE))</f>
        <v>m²</v>
      </c>
    </row>
    <row r="4" ht="14.25" customHeight="1">
      <c r="G4" s="3"/>
      <c r="K4" s="153" t="s">
        <v>1042</v>
      </c>
      <c r="M4" s="153" t="s">
        <v>1043</v>
      </c>
    </row>
    <row r="5" ht="14.25" customHeight="1">
      <c r="A5" s="201" t="s">
        <v>0</v>
      </c>
      <c r="B5" s="94"/>
      <c r="C5" s="94"/>
      <c r="D5" s="94"/>
      <c r="E5" s="94"/>
      <c r="F5" s="94"/>
      <c r="G5" s="2"/>
      <c r="H5" s="94"/>
      <c r="I5" s="94"/>
      <c r="K5" s="153">
        <v>0.03</v>
      </c>
      <c r="M5" s="251">
        <f>H3</f>
        <v>80</v>
      </c>
    </row>
    <row r="6" ht="14.25" customHeight="1">
      <c r="A6" s="202" t="s">
        <v>988</v>
      </c>
      <c r="B6" s="202" t="s">
        <v>989</v>
      </c>
      <c r="C6" s="202" t="s">
        <v>990</v>
      </c>
      <c r="D6" s="203" t="s">
        <v>991</v>
      </c>
      <c r="E6" s="197"/>
      <c r="F6" s="202" t="s">
        <v>992</v>
      </c>
      <c r="G6" s="4" t="s">
        <v>993</v>
      </c>
      <c r="H6" s="202" t="s">
        <v>994</v>
      </c>
      <c r="I6" s="202" t="s">
        <v>995</v>
      </c>
    </row>
    <row r="7" ht="14.25" customHeight="1">
      <c r="A7" s="254" t="s">
        <v>19</v>
      </c>
      <c r="B7" s="3" t="str">
        <f>IF($A7=0,"",VLOOKUP($A7,'00_Mat'!$A$4:$J$1134,2,FALSE))</f>
        <v>Bolsa Cemento "Loma Negra" 25 k (u)</v>
      </c>
      <c r="C7" s="3" t="str">
        <f>IF($A7=0,"",VLOOKUP($A7,'00_Mat'!$A$4:$J$1134,3,FALSE))</f>
        <v>u</v>
      </c>
      <c r="D7" s="256">
        <f>(M5*12)/25</f>
        <v>38.4</v>
      </c>
      <c r="E7" s="204"/>
      <c r="F7" s="236">
        <v>0.1</v>
      </c>
      <c r="G7" s="221">
        <f t="shared" ref="G7:G18" si="1">ROUNDUP((D7+(D7*F7)),0)</f>
        <v>43</v>
      </c>
      <c r="H7" s="143">
        <f>IF($A7=0,"",VLOOKUP($A7,'00_Mat'!$A$4:$J$1135,5,FALSE))</f>
        <v>7000</v>
      </c>
      <c r="I7" s="143">
        <f t="shared" ref="I7:I8" si="2">G7*H7</f>
        <v>301000</v>
      </c>
      <c r="L7" s="153" t="s">
        <v>1057</v>
      </c>
    </row>
    <row r="8" ht="14.25" customHeight="1">
      <c r="A8" s="254" t="s">
        <v>11</v>
      </c>
      <c r="B8" s="3" t="str">
        <f>IF($A8=0,"",VLOOKUP($A8,'00_Mat'!$A$4:$J$1134,2,FALSE))</f>
        <v>Bolson de Arena (1m3) </v>
      </c>
      <c r="C8" s="3" t="str">
        <f>IF($A8=0,"",VLOOKUP($A8,'00_Mat'!$A$4:$J$1134,3,FALSE))</f>
        <v>m3</v>
      </c>
      <c r="D8" s="256">
        <f>L8*1</f>
        <v>2.4</v>
      </c>
      <c r="E8" s="204"/>
      <c r="F8" s="236">
        <v>0.1</v>
      </c>
      <c r="G8" s="221">
        <f t="shared" si="1"/>
        <v>3</v>
      </c>
      <c r="H8" s="143">
        <f>IF($A8=0,"",VLOOKUP($A8,'00_Mat'!$A$4:$J$1135,5,FALSE))</f>
        <v>33470</v>
      </c>
      <c r="I8" s="143">
        <f t="shared" si="2"/>
        <v>100410</v>
      </c>
      <c r="L8" s="194">
        <f>M5*K5</f>
        <v>2.4</v>
      </c>
    </row>
    <row r="9" ht="14.25" customHeight="1">
      <c r="A9" s="204"/>
      <c r="B9" s="92" t="str">
        <f>IF($A9=0,"",VLOOKUP($A9,'00_Mat'!$A$4:$J$1135,2,FALSE))</f>
        <v/>
      </c>
      <c r="C9" s="92" t="str">
        <f>IF($A9=0,"",VLOOKUP($A9,'00_Mat'!$A$4:$J$1135,3,FALSE))</f>
        <v/>
      </c>
      <c r="D9" s="204"/>
      <c r="E9" s="204"/>
      <c r="F9" s="206"/>
      <c r="G9" s="221">
        <f t="shared" si="1"/>
        <v>0</v>
      </c>
      <c r="H9" s="143" t="str">
        <f>IF($A9=0,"",VLOOKUP($A9,'00_Mat'!$A$4:$J$1135,5,FALSE))</f>
        <v/>
      </c>
      <c r="I9" s="143"/>
    </row>
    <row r="10" ht="14.25" customHeight="1">
      <c r="A10" s="204"/>
      <c r="B10" s="92" t="str">
        <f>IF($A10=0,"",VLOOKUP($A10,'00_Mat'!$A$4:$J$1135,2,FALSE))</f>
        <v/>
      </c>
      <c r="C10" s="92" t="str">
        <f>IF($A10=0,"",VLOOKUP($A10,'00_Mat'!$A$4:$J$1135,3,FALSE))</f>
        <v/>
      </c>
      <c r="D10" s="204"/>
      <c r="E10" s="204"/>
      <c r="F10" s="206"/>
      <c r="G10" s="221">
        <f t="shared" si="1"/>
        <v>0</v>
      </c>
      <c r="H10" s="143" t="str">
        <f>IF($A10=0,"",VLOOKUP($A10,'00_Mat'!$A$4:$J$1135,5,FALSE))</f>
        <v/>
      </c>
      <c r="I10" s="143"/>
      <c r="L10" s="86" t="s">
        <v>1058</v>
      </c>
    </row>
    <row r="11" ht="14.25" customHeight="1">
      <c r="A11" s="204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04"/>
      <c r="E11" s="204"/>
      <c r="F11" s="206"/>
      <c r="G11" s="221">
        <f t="shared" si="1"/>
        <v>0</v>
      </c>
      <c r="H11" s="143" t="str">
        <f>IF($A11=0,"",VLOOKUP($A11,'00_Mat'!$A$4:$J$1135,5,FALSE))</f>
        <v/>
      </c>
      <c r="I11" s="143"/>
    </row>
    <row r="12" ht="14.25" customHeight="1">
      <c r="A12" s="204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04"/>
      <c r="E12" s="204"/>
      <c r="F12" s="206"/>
      <c r="G12" s="221">
        <f t="shared" si="1"/>
        <v>0</v>
      </c>
      <c r="H12" s="143" t="str">
        <f>IF($A12=0,"",VLOOKUP($A12,'00_Mat'!$A$4:$J$1135,5,FALSE))</f>
        <v/>
      </c>
      <c r="I12" s="143"/>
    </row>
    <row r="13" ht="14.25" customHeight="1">
      <c r="A13" s="204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04"/>
      <c r="E13" s="204"/>
      <c r="F13" s="206"/>
      <c r="G13" s="221">
        <f t="shared" si="1"/>
        <v>0</v>
      </c>
      <c r="H13" s="143" t="str">
        <f>IF($A13=0,"",VLOOKUP($A13,'00_Mat'!$A$4:$J$1135,5,FALSE))</f>
        <v/>
      </c>
      <c r="I13" s="143"/>
    </row>
    <row r="14" ht="14.25" customHeight="1">
      <c r="A14" s="204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04"/>
      <c r="E14" s="204"/>
      <c r="F14" s="206"/>
      <c r="G14" s="221">
        <f t="shared" si="1"/>
        <v>0</v>
      </c>
      <c r="H14" s="143" t="str">
        <f>IF($A14=0,"",VLOOKUP($A14,'00_Mat'!$A$4:$J$1135,5,FALSE))</f>
        <v/>
      </c>
      <c r="I14" s="143"/>
    </row>
    <row r="15" ht="14.25" customHeight="1">
      <c r="A15" s="204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04"/>
      <c r="E15" s="204"/>
      <c r="F15" s="206"/>
      <c r="G15" s="221">
        <f t="shared" si="1"/>
        <v>0</v>
      </c>
      <c r="H15" s="143" t="str">
        <f>IF($A15=0,"",VLOOKUP($A15,'00_Mat'!$A$4:$J$1135,5,FALSE))</f>
        <v/>
      </c>
      <c r="I15" s="143"/>
    </row>
    <row r="16" ht="14.25" customHeight="1">
      <c r="A16" s="204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04"/>
      <c r="E16" s="204"/>
      <c r="F16" s="206"/>
      <c r="G16" s="221">
        <f t="shared" si="1"/>
        <v>0</v>
      </c>
      <c r="H16" s="143" t="str">
        <f>IF($A16=0,"",VLOOKUP($A16,'00_Mat'!$A$4:$J$1135,5,FALSE))</f>
        <v/>
      </c>
      <c r="I16" s="143"/>
    </row>
    <row r="17" ht="14.25" customHeight="1">
      <c r="A17" s="204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04"/>
      <c r="E17" s="204"/>
      <c r="F17" s="206"/>
      <c r="G17" s="221">
        <f t="shared" si="1"/>
        <v>0</v>
      </c>
      <c r="H17" s="143" t="str">
        <f>IF($A17=0,"",VLOOKUP($A17,'00_Mat'!$A$4:$J$1135,5,FALSE))</f>
        <v/>
      </c>
      <c r="I17" s="143"/>
    </row>
    <row r="18" ht="14.25" customHeight="1">
      <c r="A18" s="204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04"/>
      <c r="E18" s="204"/>
      <c r="F18" s="206"/>
      <c r="G18" s="221">
        <f t="shared" si="1"/>
        <v>0</v>
      </c>
      <c r="H18" s="143" t="str">
        <f>IF($A18=0,"",VLOOKUP($A18,'00_Mat'!$A$4:$J$1135,5,FALSE))</f>
        <v/>
      </c>
      <c r="I18" s="143"/>
    </row>
    <row r="19" ht="14.25" customHeight="1">
      <c r="F19" s="208"/>
      <c r="G19" s="3"/>
      <c r="H19" s="143"/>
      <c r="I19" s="143"/>
    </row>
    <row r="20" ht="14.25" customHeight="1">
      <c r="A20" s="222" t="s">
        <v>996</v>
      </c>
      <c r="B20" s="223"/>
      <c r="C20" s="223"/>
      <c r="D20" s="223"/>
      <c r="E20" s="223"/>
      <c r="F20" s="223"/>
      <c r="G20" s="211"/>
      <c r="H20" s="223"/>
      <c r="I20" s="224">
        <f>SUM(I7:I18)</f>
        <v>401410</v>
      </c>
      <c r="J20" s="92"/>
      <c r="K20" s="92"/>
      <c r="L20" s="92"/>
    </row>
    <row r="21" ht="14.25" customHeight="1">
      <c r="A21" s="232" t="str">
        <f>$I$3</f>
        <v>m²</v>
      </c>
      <c r="B21" s="233"/>
      <c r="C21" s="233"/>
      <c r="D21" s="233"/>
      <c r="E21" s="233"/>
      <c r="F21" s="233"/>
      <c r="G21" s="21"/>
      <c r="H21" s="233"/>
      <c r="I21" s="205">
        <f>$H$3</f>
        <v>80</v>
      </c>
      <c r="J21" s="92"/>
      <c r="K21" s="92"/>
      <c r="L21" s="92"/>
    </row>
    <row r="22" ht="14.25" customHeight="1">
      <c r="A22" s="234" t="s">
        <v>997</v>
      </c>
      <c r="B22" s="232" t="str">
        <f>A21</f>
        <v>m²</v>
      </c>
      <c r="C22" s="233"/>
      <c r="D22" s="233"/>
      <c r="E22" s="233"/>
      <c r="F22" s="233"/>
      <c r="G22" s="21"/>
      <c r="H22" s="233"/>
      <c r="I22" s="235">
        <f>I20/I21</f>
        <v>5017.625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01" t="s">
        <v>998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02" t="s">
        <v>988</v>
      </c>
      <c r="B26" s="202" t="s">
        <v>989</v>
      </c>
      <c r="C26" s="202" t="s">
        <v>990</v>
      </c>
      <c r="D26" s="202" t="s">
        <v>991</v>
      </c>
      <c r="E26" s="202" t="s">
        <v>999</v>
      </c>
      <c r="F26" s="202" t="s">
        <v>992</v>
      </c>
      <c r="G26" s="4" t="s">
        <v>993</v>
      </c>
      <c r="H26" s="202" t="s">
        <v>994</v>
      </c>
      <c r="I26" s="202" t="s">
        <v>995</v>
      </c>
    </row>
    <row r="27" ht="14.25" customHeight="1">
      <c r="A27" s="61" t="s">
        <v>621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29">
        <v>1.0</v>
      </c>
      <c r="E27" s="229">
        <f>H3/60</f>
        <v>1.333333333</v>
      </c>
      <c r="F27" s="236">
        <v>0.25</v>
      </c>
      <c r="G27" s="217">
        <f t="shared" ref="G27:G32" si="3">ROUNDUP(((D27*E27)*(1+F27)),0)</f>
        <v>2</v>
      </c>
      <c r="H27" s="143">
        <f>IF($A27=0,"",VLOOKUP($A27,'00_MO'!$A$4:$D$7,4,FALSE))</f>
        <v>120000</v>
      </c>
      <c r="I27" s="143">
        <f t="shared" ref="I27:I30" si="4">G27*H27</f>
        <v>240000</v>
      </c>
      <c r="L27" s="194">
        <f>4*15</f>
        <v>60</v>
      </c>
    </row>
    <row r="28" ht="14.25" customHeight="1">
      <c r="A28" s="61" t="s">
        <v>623</v>
      </c>
      <c r="B28" s="92" t="str">
        <f>IF($A28=0,"",VLOOKUP($A28,'00_MO'!$A$4:$D$7,2,FALSE))</f>
        <v>Puntero</v>
      </c>
      <c r="C28" s="92" t="str">
        <f>IF($A28=0,"",VLOOKUP($A28,'00_MO'!$A$4:$D$7,3,FALSE))</f>
        <v>u</v>
      </c>
      <c r="D28" s="229">
        <v>2.0</v>
      </c>
      <c r="E28" s="229">
        <f>E27</f>
        <v>1.333333333</v>
      </c>
      <c r="F28" s="236">
        <v>0.25</v>
      </c>
      <c r="G28" s="217">
        <f t="shared" si="3"/>
        <v>4</v>
      </c>
      <c r="H28" s="143">
        <f>IF($A28=0,"",VLOOKUP($A28,'00_MO'!$A$4:$D$7,4,FALSE))</f>
        <v>105000</v>
      </c>
      <c r="I28" s="143">
        <f t="shared" si="4"/>
        <v>420000</v>
      </c>
    </row>
    <row r="29" ht="14.25" customHeight="1">
      <c r="A29" s="61" t="s">
        <v>625</v>
      </c>
      <c r="B29" s="92" t="str">
        <f>IF($A29=0,"",VLOOKUP($A29,'00_MO'!$A$4:$D$7,2,FALSE))</f>
        <v>Oficial</v>
      </c>
      <c r="C29" s="92" t="str">
        <f>IF($A29=0,"",VLOOKUP($A29,'00_MO'!$A$4:$D$7,3,FALSE))</f>
        <v>u</v>
      </c>
      <c r="D29" s="229">
        <v>3.0</v>
      </c>
      <c r="E29" s="229">
        <f>E27</f>
        <v>1.333333333</v>
      </c>
      <c r="F29" s="236">
        <v>0.25</v>
      </c>
      <c r="G29" s="217">
        <f t="shared" si="3"/>
        <v>5</v>
      </c>
      <c r="H29" s="143">
        <f>IF($A29=0,"",VLOOKUP($A29,'00_MO'!$A$4:$D$7,4,FALSE))</f>
        <v>90000</v>
      </c>
      <c r="I29" s="143">
        <f t="shared" si="4"/>
        <v>450000</v>
      </c>
    </row>
    <row r="30" ht="14.25" customHeight="1">
      <c r="A30" s="61" t="s">
        <v>627</v>
      </c>
      <c r="B30" s="92" t="str">
        <f>IF($A30=0,"",VLOOKUP($A30,'00_MO'!$A$4:$D$7,2,FALSE))</f>
        <v>Ayudante</v>
      </c>
      <c r="C30" s="92" t="str">
        <f>IF($A30=0,"",VLOOKUP($A30,'00_MO'!$A$4:$D$7,3,FALSE))</f>
        <v>u</v>
      </c>
      <c r="D30" s="229">
        <v>3.0</v>
      </c>
      <c r="E30" s="229">
        <f>E27</f>
        <v>1.333333333</v>
      </c>
      <c r="F30" s="236">
        <v>0.25</v>
      </c>
      <c r="G30" s="217">
        <f t="shared" si="3"/>
        <v>5</v>
      </c>
      <c r="H30" s="143">
        <f>IF($A30=0,"",VLOOKUP($A30,'00_MO'!$A$4:$D$7,4,FALSE))</f>
        <v>60000</v>
      </c>
      <c r="I30" s="143">
        <f t="shared" si="4"/>
        <v>300000</v>
      </c>
    </row>
    <row r="31" ht="14.25" customHeight="1">
      <c r="A31" s="204"/>
      <c r="B31" s="92" t="str">
        <f>IF($A31=0,"",VLOOKUP($A31,'00_MO'!$A$4:$D$7,2,FALSE))</f>
        <v/>
      </c>
      <c r="C31" s="92" t="str">
        <f>IF($A31=0,"",VLOOKUP($A31,'00_MO'!$A$4:$D$7,3,FALSE))</f>
        <v/>
      </c>
      <c r="D31" s="204"/>
      <c r="E31" s="204"/>
      <c r="F31" s="206"/>
      <c r="G31" s="217">
        <f t="shared" si="3"/>
        <v>0</v>
      </c>
      <c r="H31" s="143" t="str">
        <f>IF($A31=0,"",VLOOKUP($A31,'00_MO'!$A$4:$D$7,4,FALSE))</f>
        <v/>
      </c>
      <c r="I31" s="143"/>
    </row>
    <row r="32" ht="14.25" customHeight="1">
      <c r="A32" s="204"/>
      <c r="B32" s="92" t="str">
        <f>IF($A32=0,"",VLOOKUP($A32,'00_MO'!$A$4:$D$7,2,FALSE))</f>
        <v/>
      </c>
      <c r="C32" s="92" t="str">
        <f>IF($A32=0,"",VLOOKUP($A32,'00_MO'!$A$4:$D$7,3,FALSE))</f>
        <v/>
      </c>
      <c r="D32" s="204"/>
      <c r="E32" s="204"/>
      <c r="F32" s="206"/>
      <c r="G32" s="217">
        <f t="shared" si="3"/>
        <v>0</v>
      </c>
      <c r="H32" s="143" t="str">
        <f>IF($A32=0,"",VLOOKUP($A32,'00_MO'!$A$4:$D$7,4,FALSE))</f>
        <v/>
      </c>
      <c r="I32" s="143"/>
    </row>
    <row r="33" ht="14.25" customHeight="1">
      <c r="F33" s="208"/>
      <c r="G33" s="3"/>
      <c r="H33" s="143"/>
      <c r="I33" s="143"/>
    </row>
    <row r="34" ht="14.25" customHeight="1">
      <c r="A34" s="222" t="s">
        <v>987</v>
      </c>
      <c r="B34" s="223"/>
      <c r="C34" s="223"/>
      <c r="D34" s="223"/>
      <c r="E34" s="223"/>
      <c r="F34" s="223"/>
      <c r="G34" s="211"/>
      <c r="H34" s="223"/>
      <c r="I34" s="224">
        <f>SUM(I27:I32)</f>
        <v>1410000</v>
      </c>
    </row>
    <row r="35" ht="14.25" customHeight="1">
      <c r="A35" s="232" t="str">
        <f>$I$3</f>
        <v>m²</v>
      </c>
      <c r="B35" s="233"/>
      <c r="C35" s="233"/>
      <c r="D35" s="233"/>
      <c r="E35" s="233"/>
      <c r="F35" s="233"/>
      <c r="G35" s="21"/>
      <c r="H35" s="233"/>
      <c r="I35" s="205">
        <f>$H$3</f>
        <v>80</v>
      </c>
      <c r="J35" s="92"/>
      <c r="K35" s="92"/>
      <c r="L35" s="92"/>
    </row>
    <row r="36" ht="14.25" customHeight="1">
      <c r="A36" s="234" t="s">
        <v>997</v>
      </c>
      <c r="B36" s="232" t="str">
        <f>A35</f>
        <v>m²</v>
      </c>
      <c r="C36" s="233"/>
      <c r="D36" s="233"/>
      <c r="E36" s="233"/>
      <c r="F36" s="233"/>
      <c r="G36" s="21"/>
      <c r="H36" s="233"/>
      <c r="I36" s="235">
        <f>I34/I35</f>
        <v>17625</v>
      </c>
      <c r="J36" s="92"/>
      <c r="K36" s="92"/>
      <c r="L36" s="92"/>
    </row>
    <row r="37" ht="14.25" customHeight="1">
      <c r="G37" s="3"/>
      <c r="I37" s="151"/>
    </row>
    <row r="38" ht="14.25" customHeight="1">
      <c r="G38" s="3"/>
    </row>
    <row r="39" ht="14.25" customHeight="1">
      <c r="A39" s="201" t="s">
        <v>1000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02" t="s">
        <v>988</v>
      </c>
      <c r="B40" s="202" t="s">
        <v>989</v>
      </c>
      <c r="C40" s="202" t="s">
        <v>990</v>
      </c>
      <c r="D40" s="202" t="s">
        <v>991</v>
      </c>
      <c r="E40" s="202" t="s">
        <v>999</v>
      </c>
      <c r="F40" s="202" t="s">
        <v>992</v>
      </c>
      <c r="G40" s="4" t="s">
        <v>993</v>
      </c>
      <c r="H40" s="202" t="s">
        <v>994</v>
      </c>
      <c r="I40" s="202" t="s">
        <v>995</v>
      </c>
    </row>
    <row r="41" ht="14.25" customHeight="1">
      <c r="A41" s="204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04"/>
      <c r="E41" s="204"/>
      <c r="F41" s="206"/>
      <c r="G41" s="217">
        <f t="shared" ref="G41:G46" si="5">ROUNDUP(((D41*E41)*(1+F41)),0)</f>
        <v>0</v>
      </c>
      <c r="H41" s="143" t="str">
        <f>IF($A41=0,"",VLOOKUP($A41,'00_Eq'!$A$4:$D$100,4,FALSE))</f>
        <v/>
      </c>
      <c r="I41" s="143">
        <f>G41*H41</f>
        <v>0</v>
      </c>
    </row>
    <row r="42" ht="14.25" customHeight="1">
      <c r="A42" s="204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04"/>
      <c r="E42" s="204"/>
      <c r="F42" s="206"/>
      <c r="G42" s="217">
        <f t="shared" si="5"/>
        <v>0</v>
      </c>
      <c r="H42" s="143" t="str">
        <f>IF($A42=0,"",VLOOKUP($A42,'00_Eq'!$A$4:$D$100,4,FALSE))</f>
        <v/>
      </c>
      <c r="I42" s="143"/>
    </row>
    <row r="43" ht="14.25" customHeight="1">
      <c r="A43" s="204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04"/>
      <c r="E43" s="204"/>
      <c r="F43" s="206"/>
      <c r="G43" s="217">
        <f t="shared" si="5"/>
        <v>0</v>
      </c>
      <c r="H43" s="143" t="str">
        <f>IF($A43=0,"",VLOOKUP($A43,'00_Eq'!$A$4:$D$100,4,FALSE))</f>
        <v/>
      </c>
      <c r="I43" s="143"/>
    </row>
    <row r="44" ht="14.25" customHeight="1">
      <c r="A44" s="204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04"/>
      <c r="E44" s="204"/>
      <c r="F44" s="206"/>
      <c r="G44" s="217">
        <f t="shared" si="5"/>
        <v>0</v>
      </c>
      <c r="H44" s="143" t="str">
        <f>IF($A44=0,"",VLOOKUP($A44,'00_Eq'!$A$4:$D$100,4,FALSE))</f>
        <v/>
      </c>
      <c r="I44" s="143"/>
    </row>
    <row r="45" ht="14.25" customHeight="1">
      <c r="A45" s="204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04"/>
      <c r="E45" s="204"/>
      <c r="F45" s="206"/>
      <c r="G45" s="217">
        <f t="shared" si="5"/>
        <v>0</v>
      </c>
      <c r="H45" s="143" t="str">
        <f>IF($A45=0,"",VLOOKUP($A45,'00_Eq'!$A$4:$D$100,4,FALSE))</f>
        <v/>
      </c>
      <c r="I45" s="143"/>
    </row>
    <row r="46" ht="14.25" customHeight="1">
      <c r="A46" s="204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04"/>
      <c r="E46" s="204"/>
      <c r="F46" s="206"/>
      <c r="G46" s="217">
        <f t="shared" si="5"/>
        <v>0</v>
      </c>
      <c r="H46" s="143" t="str">
        <f>IF($A46=0,"",VLOOKUP($A46,'00_Eq'!$A$4:$D$100,4,FALSE))</f>
        <v/>
      </c>
      <c r="I46" s="143"/>
    </row>
    <row r="47" ht="14.25" customHeight="1">
      <c r="F47" s="208"/>
      <c r="G47" s="3"/>
      <c r="H47" s="143"/>
      <c r="I47" s="143"/>
    </row>
    <row r="48" ht="14.25" customHeight="1">
      <c r="A48" s="222" t="s">
        <v>987</v>
      </c>
      <c r="B48" s="223"/>
      <c r="C48" s="223"/>
      <c r="D48" s="223"/>
      <c r="E48" s="223"/>
      <c r="F48" s="223"/>
      <c r="G48" s="211"/>
      <c r="H48" s="223"/>
      <c r="I48" s="224">
        <f>SUM(I41:I46)</f>
        <v>0</v>
      </c>
    </row>
    <row r="49" ht="14.25" customHeight="1">
      <c r="A49" s="232" t="str">
        <f>$I$3</f>
        <v>m²</v>
      </c>
      <c r="B49" s="233"/>
      <c r="C49" s="233"/>
      <c r="D49" s="233"/>
      <c r="E49" s="233"/>
      <c r="F49" s="233"/>
      <c r="G49" s="21"/>
      <c r="H49" s="233"/>
      <c r="I49" s="205">
        <f>$H$3</f>
        <v>80</v>
      </c>
      <c r="J49" s="92"/>
      <c r="K49" s="92"/>
      <c r="L49" s="92"/>
    </row>
    <row r="50" ht="14.25" customHeight="1">
      <c r="A50" s="234" t="s">
        <v>997</v>
      </c>
      <c r="B50" s="232" t="str">
        <f>A49</f>
        <v>m²</v>
      </c>
      <c r="C50" s="233"/>
      <c r="D50" s="233"/>
      <c r="E50" s="233"/>
      <c r="F50" s="233"/>
      <c r="G50" s="21"/>
      <c r="H50" s="233"/>
      <c r="I50" s="235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01" t="s">
        <v>1010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02" t="s">
        <v>988</v>
      </c>
      <c r="B54" s="202" t="s">
        <v>989</v>
      </c>
      <c r="C54" s="202" t="s">
        <v>990</v>
      </c>
      <c r="D54" s="202" t="s">
        <v>991</v>
      </c>
      <c r="E54" s="202"/>
      <c r="F54" s="202" t="s">
        <v>992</v>
      </c>
      <c r="G54" s="4" t="s">
        <v>993</v>
      </c>
      <c r="H54" s="202" t="s">
        <v>994</v>
      </c>
      <c r="I54" s="202" t="s">
        <v>995</v>
      </c>
    </row>
    <row r="55" ht="14.25" customHeight="1">
      <c r="A55" s="204"/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05"/>
      <c r="E55" s="204"/>
      <c r="F55" s="206"/>
      <c r="G55" s="221">
        <f t="shared" ref="G55:G60" si="6">ROUNDUP((D55+(D55*F55)),0)</f>
        <v>0</v>
      </c>
      <c r="H55" s="143" t="str">
        <f>IF($A55=0,"",VLOOKUP($A55,'00_Mat'!$A$4:$J$1135,5,FALSE))</f>
        <v/>
      </c>
      <c r="I55" s="143">
        <f t="shared" ref="I55:I56" si="7">G55*H55</f>
        <v>0</v>
      </c>
    </row>
    <row r="56" ht="14.25" customHeight="1">
      <c r="A56" s="204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05"/>
      <c r="E56" s="204"/>
      <c r="F56" s="206"/>
      <c r="G56" s="221">
        <f t="shared" si="6"/>
        <v>0</v>
      </c>
      <c r="H56" s="143" t="str">
        <f>IF($A56=0,"",VLOOKUP($A56,'00_Mat'!$A$4:$J$1135,5,FALSE))</f>
        <v/>
      </c>
      <c r="I56" s="143">
        <f t="shared" si="7"/>
        <v>0</v>
      </c>
    </row>
    <row r="57" ht="14.25" customHeight="1">
      <c r="A57" s="204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05"/>
      <c r="E57" s="204"/>
      <c r="F57" s="206"/>
      <c r="G57" s="221">
        <f t="shared" si="6"/>
        <v>0</v>
      </c>
      <c r="H57" s="143" t="str">
        <f>IF($A57=0,"",VLOOKUP($A57,'00_Mat'!$A$4:$J$1135,5,FALSE))</f>
        <v/>
      </c>
      <c r="I57" s="143"/>
    </row>
    <row r="58" ht="14.25" customHeight="1">
      <c r="A58" s="204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05"/>
      <c r="E58" s="204"/>
      <c r="F58" s="206"/>
      <c r="G58" s="221">
        <f t="shared" si="6"/>
        <v>0</v>
      </c>
      <c r="H58" s="143" t="str">
        <f>IF($A58=0,"",VLOOKUP($A58,'00_Mat'!$A$4:$J$1135,5,FALSE))</f>
        <v/>
      </c>
      <c r="I58" s="143"/>
    </row>
    <row r="59" ht="14.25" customHeight="1">
      <c r="A59" s="204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05"/>
      <c r="E59" s="204"/>
      <c r="F59" s="206"/>
      <c r="G59" s="221">
        <f t="shared" si="6"/>
        <v>0</v>
      </c>
      <c r="H59" s="143" t="str">
        <f>IF($A59=0,"",VLOOKUP($A59,'00_Mat'!$A$4:$J$1135,5,FALSE))</f>
        <v/>
      </c>
      <c r="I59" s="143"/>
    </row>
    <row r="60" ht="14.25" customHeight="1">
      <c r="A60" s="204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05"/>
      <c r="E60" s="204"/>
      <c r="F60" s="206"/>
      <c r="G60" s="221">
        <f t="shared" si="6"/>
        <v>0</v>
      </c>
      <c r="H60" s="143" t="str">
        <f>IF($A60=0,"",VLOOKUP($A60,'00_Mat'!$A$4:$J$1135,5,FALSE))</f>
        <v/>
      </c>
      <c r="I60" s="143"/>
    </row>
    <row r="61" ht="14.25" customHeight="1">
      <c r="F61" s="208"/>
      <c r="G61" s="3"/>
      <c r="H61" s="143"/>
      <c r="I61" s="143"/>
    </row>
    <row r="62" ht="14.25" customHeight="1">
      <c r="A62" s="222" t="s">
        <v>987</v>
      </c>
      <c r="B62" s="223"/>
      <c r="C62" s="223"/>
      <c r="D62" s="223"/>
      <c r="E62" s="223"/>
      <c r="F62" s="223"/>
      <c r="G62" s="211"/>
      <c r="H62" s="223"/>
      <c r="I62" s="224">
        <f>SUM(I55:I60)</f>
        <v>0</v>
      </c>
    </row>
    <row r="63" ht="14.25" customHeight="1">
      <c r="A63" s="232" t="str">
        <f>$I$3</f>
        <v>m²</v>
      </c>
      <c r="B63" s="233"/>
      <c r="C63" s="233"/>
      <c r="D63" s="233"/>
      <c r="E63" s="233"/>
      <c r="F63" s="233"/>
      <c r="G63" s="21"/>
      <c r="H63" s="233"/>
      <c r="I63" s="205">
        <f>$H$3</f>
        <v>80</v>
      </c>
      <c r="J63" s="92"/>
      <c r="K63" s="92"/>
      <c r="L63" s="92"/>
    </row>
    <row r="64" ht="14.25" customHeight="1">
      <c r="A64" s="234" t="s">
        <v>997</v>
      </c>
      <c r="B64" s="232" t="str">
        <f>A63</f>
        <v>m²</v>
      </c>
      <c r="C64" s="233"/>
      <c r="D64" s="233"/>
      <c r="E64" s="233"/>
      <c r="F64" s="233"/>
      <c r="G64" s="21"/>
      <c r="H64" s="233"/>
      <c r="I64" s="235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01" t="s">
        <v>1025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02" t="s">
        <v>988</v>
      </c>
      <c r="B68" s="202" t="s">
        <v>989</v>
      </c>
      <c r="C68" s="202" t="s">
        <v>990</v>
      </c>
      <c r="D68" s="202" t="s">
        <v>991</v>
      </c>
      <c r="E68" s="202" t="s">
        <v>999</v>
      </c>
      <c r="F68" s="202" t="s">
        <v>992</v>
      </c>
      <c r="G68" s="4" t="s">
        <v>993</v>
      </c>
      <c r="H68" s="202" t="s">
        <v>994</v>
      </c>
      <c r="I68" s="202" t="s">
        <v>995</v>
      </c>
    </row>
    <row r="69" ht="14.25" customHeight="1">
      <c r="A69" s="204"/>
      <c r="B69" s="92" t="str">
        <f>IF($A69=0,"",VLOOKUP($A69,'00_Sub'!$A$4:$D$1007,2,FALSE))</f>
        <v/>
      </c>
      <c r="C69" s="92" t="str">
        <f>IF($A69=0,"",VLOOKUP($A69,'00_Sub'!$A$4:$D$1007,3,FALSE))</f>
        <v/>
      </c>
      <c r="D69" s="204"/>
      <c r="E69" s="204"/>
      <c r="F69" s="206"/>
      <c r="G69" s="221">
        <f t="shared" ref="G69:G74" si="8">ROUNDUP((D69+(D69*F69)),0)</f>
        <v>0</v>
      </c>
      <c r="H69" s="143" t="str">
        <f>IF($A69=0,"",VLOOKUP($A69,'00_Sub'!$A$4:$D$1007,4,FALSE))</f>
        <v/>
      </c>
      <c r="I69" s="143"/>
    </row>
    <row r="70" ht="14.25" customHeight="1">
      <c r="A70" s="204"/>
      <c r="B70" s="92" t="str">
        <f>IF($A70=0,"",VLOOKUP($A70,'00_Sub'!$A$4:$D$1007,2,FALSE))</f>
        <v/>
      </c>
      <c r="C70" s="92" t="str">
        <f>IF($A70=0,"",VLOOKUP($A70,'00_Sub'!$A$4:$D$1007,3,FALSE))</f>
        <v/>
      </c>
      <c r="D70" s="204"/>
      <c r="E70" s="204"/>
      <c r="F70" s="206"/>
      <c r="G70" s="221">
        <f t="shared" si="8"/>
        <v>0</v>
      </c>
      <c r="H70" s="143" t="str">
        <f>IF($A70=0,"",VLOOKUP($A70,'00_Sub'!$A$4:$D$1007,4,FALSE))</f>
        <v/>
      </c>
      <c r="I70" s="143"/>
    </row>
    <row r="71" ht="14.25" customHeight="1">
      <c r="A71" s="204"/>
      <c r="B71" s="92" t="str">
        <f>IF($A71=0,"",VLOOKUP($A71,'00_Sub'!$A$4:$D$1007,2,FALSE))</f>
        <v/>
      </c>
      <c r="C71" s="92" t="str">
        <f>IF($A71=0,"",VLOOKUP($A71,'00_Sub'!$A$4:$D$1007,3,FALSE))</f>
        <v/>
      </c>
      <c r="D71" s="204"/>
      <c r="E71" s="204"/>
      <c r="F71" s="206"/>
      <c r="G71" s="221">
        <f t="shared" si="8"/>
        <v>0</v>
      </c>
      <c r="H71" s="143" t="str">
        <f>IF($A71=0,"",VLOOKUP($A71,'00_Sub'!$A$4:$D$1007,4,FALSE))</f>
        <v/>
      </c>
      <c r="I71" s="143"/>
    </row>
    <row r="72" ht="14.25" customHeight="1">
      <c r="A72" s="204"/>
      <c r="B72" s="92" t="str">
        <f>IF($A72=0,"",VLOOKUP($A72,'00_Sub'!$A$4:$D$1007,2,FALSE))</f>
        <v/>
      </c>
      <c r="C72" s="92" t="str">
        <f>IF($A72=0,"",VLOOKUP($A72,'00_Sub'!$A$4:$D$1007,3,FALSE))</f>
        <v/>
      </c>
      <c r="D72" s="204"/>
      <c r="E72" s="204"/>
      <c r="F72" s="206"/>
      <c r="G72" s="221">
        <f t="shared" si="8"/>
        <v>0</v>
      </c>
      <c r="H72" s="143" t="str">
        <f>IF($A72=0,"",VLOOKUP($A72,'00_Sub'!$A$4:$D$1007,4,FALSE))</f>
        <v/>
      </c>
      <c r="I72" s="143"/>
    </row>
    <row r="73" ht="14.25" customHeight="1">
      <c r="A73" s="204"/>
      <c r="B73" s="92" t="str">
        <f>IF($A73=0,"",VLOOKUP($A73,'00_Sub'!$A$4:$D$1007,2,FALSE))</f>
        <v/>
      </c>
      <c r="C73" s="92" t="str">
        <f>IF($A73=0,"",VLOOKUP($A73,'00_Sub'!$A$4:$D$1007,3,FALSE))</f>
        <v/>
      </c>
      <c r="D73" s="204"/>
      <c r="E73" s="204"/>
      <c r="F73" s="206"/>
      <c r="G73" s="221">
        <f t="shared" si="8"/>
        <v>0</v>
      </c>
      <c r="H73" s="143" t="str">
        <f>IF($A73=0,"",VLOOKUP($A73,'00_Sub'!$A$4:$D$1007,4,FALSE))</f>
        <v/>
      </c>
      <c r="I73" s="143"/>
    </row>
    <row r="74" ht="14.25" customHeight="1">
      <c r="A74" s="204"/>
      <c r="B74" s="92" t="str">
        <f>IF($A74=0,"",VLOOKUP($A74,'00_Sub'!$A$4:$D$1007,2,FALSE))</f>
        <v/>
      </c>
      <c r="C74" s="92" t="str">
        <f>IF($A74=0,"",VLOOKUP($A74,'00_Sub'!$A$4:$D$1007,3,FALSE))</f>
        <v/>
      </c>
      <c r="D74" s="204"/>
      <c r="E74" s="204"/>
      <c r="F74" s="206"/>
      <c r="G74" s="221">
        <f t="shared" si="8"/>
        <v>0</v>
      </c>
      <c r="H74" s="143" t="str">
        <f>IF($A74=0,"",VLOOKUP($A74,'00_Sub'!$A$4:$D$1007,4,FALSE))</f>
        <v/>
      </c>
      <c r="I74" s="143"/>
    </row>
    <row r="75" ht="14.25" customHeight="1">
      <c r="F75" s="208"/>
      <c r="G75" s="3"/>
      <c r="H75" s="143"/>
      <c r="I75" s="143"/>
    </row>
    <row r="76" ht="14.25" customHeight="1">
      <c r="A76" s="222" t="s">
        <v>987</v>
      </c>
      <c r="B76" s="223"/>
      <c r="C76" s="223"/>
      <c r="D76" s="223"/>
      <c r="E76" s="223"/>
      <c r="F76" s="223"/>
      <c r="G76" s="211"/>
      <c r="H76" s="223"/>
      <c r="I76" s="224">
        <f>SUM(I69:I74)</f>
        <v>0</v>
      </c>
    </row>
    <row r="77" ht="14.25" customHeight="1">
      <c r="A77" s="232" t="str">
        <f>$I$3</f>
        <v>m²</v>
      </c>
      <c r="B77" s="233"/>
      <c r="C77" s="233"/>
      <c r="D77" s="233"/>
      <c r="E77" s="233"/>
      <c r="F77" s="233"/>
      <c r="G77" s="21"/>
      <c r="H77" s="233"/>
      <c r="I77" s="205">
        <f>$H$3</f>
        <v>80</v>
      </c>
      <c r="J77" s="92"/>
      <c r="K77" s="92"/>
      <c r="L77" s="92"/>
    </row>
    <row r="78" ht="14.25" customHeight="1">
      <c r="A78" s="234" t="s">
        <v>997</v>
      </c>
      <c r="B78" s="232" t="str">
        <f>A77</f>
        <v>m²</v>
      </c>
      <c r="C78" s="233"/>
      <c r="D78" s="233"/>
      <c r="E78" s="233"/>
      <c r="F78" s="233"/>
      <c r="G78" s="21"/>
      <c r="H78" s="233"/>
      <c r="I78" s="235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58.43"/>
    <col customWidth="1" min="3" max="3" width="8.14"/>
    <col customWidth="1" min="4" max="4" width="8.71"/>
    <col customWidth="1" min="5" max="5" width="6.57"/>
    <col customWidth="1" min="6" max="6" width="10.57"/>
    <col customWidth="1" min="7" max="7" width="12.71"/>
    <col customWidth="1" min="8" max="8" width="16.0"/>
    <col customWidth="1" min="9" max="9" width="15.86"/>
    <col customWidth="1" min="10" max="12" width="8.71"/>
  </cols>
  <sheetData>
    <row r="1" ht="33.75" customHeight="1">
      <c r="A1" s="91" t="str">
        <f>'01_C&amp;P'!A1</f>
        <v>EDIFICIO LAS HERAS</v>
      </c>
      <c r="B1" s="91"/>
      <c r="C1" s="91"/>
      <c r="G1" s="3"/>
    </row>
    <row r="2" ht="14.25" customHeight="1">
      <c r="G2" s="3"/>
    </row>
    <row r="3" ht="23.25" customHeight="1">
      <c r="A3" s="195">
        <f>'01_C&amp;P'!A35</f>
        <v>46204</v>
      </c>
      <c r="B3" s="196" t="str">
        <f>IF($A3=0,"",VLOOKUP($A3,'01_C&amp;P'!$A$9:$D$192,2,FALSE))</f>
        <v>REVOQUE INTERIOR. (GRUESO FRATAZADO)</v>
      </c>
      <c r="C3" s="197"/>
      <c r="D3" s="197"/>
      <c r="E3" s="197"/>
      <c r="F3" s="197"/>
      <c r="G3" s="198"/>
      <c r="H3" s="199">
        <f>IF($A3=0,"",VLOOKUP($A3,'01_C&amp;P'!$A$9:$D$192,4,FALSE))</f>
        <v>180</v>
      </c>
      <c r="I3" s="200" t="str">
        <f>IF($A3=0,"",VLOOKUP($A3,'01_C&amp;P'!$A$9:$D$192,3,FALSE))</f>
        <v>m²</v>
      </c>
    </row>
    <row r="4" ht="14.25" customHeight="1">
      <c r="G4" s="3"/>
    </row>
    <row r="5" ht="14.25" customHeight="1">
      <c r="A5" s="201" t="s">
        <v>0</v>
      </c>
      <c r="B5" s="94"/>
      <c r="C5" s="94"/>
      <c r="D5" s="94"/>
      <c r="E5" s="94"/>
      <c r="F5" s="94"/>
      <c r="G5" s="2"/>
      <c r="H5" s="94"/>
      <c r="I5" s="94"/>
    </row>
    <row r="6" ht="14.25" customHeight="1">
      <c r="A6" s="202" t="s">
        <v>988</v>
      </c>
      <c r="B6" s="202" t="s">
        <v>989</v>
      </c>
      <c r="C6" s="202" t="s">
        <v>990</v>
      </c>
      <c r="D6" s="203" t="s">
        <v>991</v>
      </c>
      <c r="E6" s="197"/>
      <c r="F6" s="202" t="s">
        <v>992</v>
      </c>
      <c r="G6" s="4" t="s">
        <v>993</v>
      </c>
      <c r="H6" s="202" t="s">
        <v>994</v>
      </c>
      <c r="I6" s="202" t="s">
        <v>995</v>
      </c>
    </row>
    <row r="7" ht="14.25" customHeight="1">
      <c r="A7" s="254" t="s">
        <v>11</v>
      </c>
      <c r="B7" s="3" t="str">
        <f>IF($A7=0,"",VLOOKUP($A7,'00_Mat'!$A$4:$J$1134,2,FALSE))</f>
        <v>Bolson de Arena (1m3) </v>
      </c>
      <c r="C7" s="3" t="str">
        <f>IF($A7=0,"",VLOOKUP($A7,'00_Mat'!$A$4:$J$1134,3,FALSE))</f>
        <v>m3</v>
      </c>
      <c r="D7" s="250">
        <f>H3*(0.017)</f>
        <v>3.06</v>
      </c>
      <c r="E7" s="254"/>
      <c r="F7" s="257">
        <v>0.5</v>
      </c>
      <c r="G7" s="221">
        <f t="shared" ref="G7:G18" si="1">ROUNDUP((D7+(D7*F7)),0)</f>
        <v>5</v>
      </c>
      <c r="H7" s="143">
        <f>IF($A7=0,"",VLOOKUP($A7,'00_Mat'!$A$4:$J$1135,5,FALSE))</f>
        <v>33470</v>
      </c>
      <c r="I7" s="143">
        <f t="shared" ref="I7:I11" si="2">G7*H7</f>
        <v>167350</v>
      </c>
    </row>
    <row r="8" ht="14.25" customHeight="1">
      <c r="A8" s="254" t="s">
        <v>19</v>
      </c>
      <c r="B8" s="3" t="str">
        <f>IF($A8=0,"",VLOOKUP($A8,'00_Mat'!$A$4:$J$1134,2,FALSE))</f>
        <v>Bolsa Cemento "Loma Negra" 25 k (u)</v>
      </c>
      <c r="C8" s="3" t="str">
        <f>IF($A8=0,"",VLOOKUP($A8,'00_Mat'!$A$4:$J$1134,3,FALSE))</f>
        <v>u</v>
      </c>
      <c r="D8" s="250">
        <f>(H3*(1.85)/25)</f>
        <v>13.32</v>
      </c>
      <c r="E8" s="254"/>
      <c r="F8" s="257">
        <v>0.5</v>
      </c>
      <c r="G8" s="221">
        <f t="shared" si="1"/>
        <v>20</v>
      </c>
      <c r="H8" s="143">
        <f>IF($A8=0,"",VLOOKUP($A8,'00_Mat'!$A$4:$J$1135,5,FALSE))</f>
        <v>7000</v>
      </c>
      <c r="I8" s="143">
        <f t="shared" si="2"/>
        <v>140000</v>
      </c>
    </row>
    <row r="9" ht="14.25" customHeight="1">
      <c r="A9" s="254" t="s">
        <v>25</v>
      </c>
      <c r="B9" s="3" t="str">
        <f>IF($A9=0,"",VLOOKUP($A9,'00_Mat'!$A$4:$J$1134,2,FALSE))</f>
        <v>Bolsa Cal "Cacique" 25 k (u)</v>
      </c>
      <c r="C9" s="3" t="str">
        <f>IF($A9=0,"",VLOOKUP($A9,'00_Mat'!$A$4:$J$1134,3,FALSE))</f>
        <v>u</v>
      </c>
      <c r="D9" s="250">
        <f>(H3*(3.53)/25)</f>
        <v>25.416</v>
      </c>
      <c r="E9" s="254"/>
      <c r="F9" s="257">
        <v>0.5</v>
      </c>
      <c r="G9" s="221">
        <f t="shared" si="1"/>
        <v>39</v>
      </c>
      <c r="H9" s="143">
        <f>IF($A9=0,"",VLOOKUP($A9,'00_Mat'!$A$4:$J$1135,5,FALSE))</f>
        <v>5371.900826</v>
      </c>
      <c r="I9" s="143">
        <f t="shared" si="2"/>
        <v>209504.1322</v>
      </c>
      <c r="K9" s="85" t="s">
        <v>1059</v>
      </c>
      <c r="L9" s="258"/>
      <c r="M9" s="258"/>
    </row>
    <row r="10" ht="14.25" customHeight="1">
      <c r="A10" s="204"/>
      <c r="B10" s="92" t="str">
        <f>IF($A10=0,"",VLOOKUP($A10,'00_Mat'!$A$4:$J$1135,2,FALSE))</f>
        <v/>
      </c>
      <c r="C10" s="92" t="str">
        <f>IF($A10=0,"",VLOOKUP($A10,'00_Mat'!$A$4:$J$1135,3,FALSE))</f>
        <v/>
      </c>
      <c r="D10" s="205"/>
      <c r="E10" s="204"/>
      <c r="F10" s="206"/>
      <c r="G10" s="221">
        <f t="shared" si="1"/>
        <v>0</v>
      </c>
      <c r="H10" s="143" t="str">
        <f>IF($A10=0,"",VLOOKUP($A10,'00_Mat'!$A$4:$J$1135,5,FALSE))</f>
        <v/>
      </c>
      <c r="I10" s="143">
        <f t="shared" si="2"/>
        <v>0</v>
      </c>
    </row>
    <row r="11" ht="14.25" customHeight="1">
      <c r="A11" s="204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05"/>
      <c r="E11" s="204"/>
      <c r="F11" s="206"/>
      <c r="G11" s="221">
        <f t="shared" si="1"/>
        <v>0</v>
      </c>
      <c r="H11" s="143" t="str">
        <f>IF($A11=0,"",VLOOKUP($A11,'00_Mat'!$A$4:$J$1135,5,FALSE))</f>
        <v/>
      </c>
      <c r="I11" s="143">
        <f t="shared" si="2"/>
        <v>0</v>
      </c>
    </row>
    <row r="12" ht="14.25" customHeight="1">
      <c r="A12" s="204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04"/>
      <c r="E12" s="204"/>
      <c r="F12" s="206"/>
      <c r="G12" s="221">
        <f t="shared" si="1"/>
        <v>0</v>
      </c>
      <c r="H12" s="143" t="str">
        <f>IF($A12=0,"",VLOOKUP($A12,'00_Mat'!$A$4:$J$1135,5,FALSE))</f>
        <v/>
      </c>
      <c r="I12" s="143"/>
    </row>
    <row r="13" ht="14.25" customHeight="1">
      <c r="A13" s="204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04"/>
      <c r="E13" s="204"/>
      <c r="F13" s="206"/>
      <c r="G13" s="221">
        <f t="shared" si="1"/>
        <v>0</v>
      </c>
      <c r="H13" s="143" t="str">
        <f>IF($A13=0,"",VLOOKUP($A13,'00_Mat'!$A$4:$J$1135,5,FALSE))</f>
        <v/>
      </c>
      <c r="I13" s="143"/>
    </row>
    <row r="14" ht="14.25" customHeight="1">
      <c r="A14" s="204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04"/>
      <c r="E14" s="204"/>
      <c r="F14" s="206"/>
      <c r="G14" s="221">
        <f t="shared" si="1"/>
        <v>0</v>
      </c>
      <c r="H14" s="143" t="str">
        <f>IF($A14=0,"",VLOOKUP($A14,'00_Mat'!$A$4:$J$1135,5,FALSE))</f>
        <v/>
      </c>
      <c r="I14" s="143"/>
    </row>
    <row r="15" ht="14.25" customHeight="1">
      <c r="A15" s="204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04"/>
      <c r="E15" s="204"/>
      <c r="F15" s="206"/>
      <c r="G15" s="221">
        <f t="shared" si="1"/>
        <v>0</v>
      </c>
      <c r="H15" s="143" t="str">
        <f>IF($A15=0,"",VLOOKUP($A15,'00_Mat'!$A$4:$J$1135,5,FALSE))</f>
        <v/>
      </c>
      <c r="I15" s="143"/>
    </row>
    <row r="16" ht="14.25" customHeight="1">
      <c r="A16" s="204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04"/>
      <c r="E16" s="204"/>
      <c r="F16" s="206"/>
      <c r="G16" s="221">
        <f t="shared" si="1"/>
        <v>0</v>
      </c>
      <c r="H16" s="143" t="str">
        <f>IF($A16=0,"",VLOOKUP($A16,'00_Mat'!$A$4:$J$1135,5,FALSE))</f>
        <v/>
      </c>
      <c r="I16" s="143"/>
    </row>
    <row r="17" ht="14.25" customHeight="1">
      <c r="A17" s="204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04"/>
      <c r="E17" s="204"/>
      <c r="F17" s="206"/>
      <c r="G17" s="221">
        <f t="shared" si="1"/>
        <v>0</v>
      </c>
      <c r="H17" s="143" t="str">
        <f>IF($A17=0,"",VLOOKUP($A17,'00_Mat'!$A$4:$J$1135,5,FALSE))</f>
        <v/>
      </c>
      <c r="I17" s="143"/>
    </row>
    <row r="18" ht="14.25" customHeight="1">
      <c r="A18" s="204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04"/>
      <c r="E18" s="204"/>
      <c r="F18" s="206"/>
      <c r="G18" s="221">
        <f t="shared" si="1"/>
        <v>0</v>
      </c>
      <c r="H18" s="143" t="str">
        <f>IF($A18=0,"",VLOOKUP($A18,'00_Mat'!$A$4:$J$1135,5,FALSE))</f>
        <v/>
      </c>
      <c r="I18" s="143"/>
    </row>
    <row r="19" ht="14.25" customHeight="1">
      <c r="F19" s="208"/>
      <c r="G19" s="3"/>
      <c r="H19" s="143"/>
      <c r="I19" s="143"/>
    </row>
    <row r="20" ht="14.25" customHeight="1">
      <c r="A20" s="222" t="s">
        <v>996</v>
      </c>
      <c r="B20" s="223"/>
      <c r="C20" s="223"/>
      <c r="D20" s="223"/>
      <c r="E20" s="223"/>
      <c r="F20" s="223"/>
      <c r="G20" s="211"/>
      <c r="H20" s="223"/>
      <c r="I20" s="224">
        <f>SUM(I7:I18)</f>
        <v>516854.1322</v>
      </c>
      <c r="J20" s="92"/>
      <c r="K20" s="92"/>
      <c r="L20" s="92"/>
    </row>
    <row r="21" ht="14.25" customHeight="1">
      <c r="A21" s="232" t="str">
        <f>$I$3</f>
        <v>m²</v>
      </c>
      <c r="B21" s="233"/>
      <c r="C21" s="233"/>
      <c r="D21" s="233"/>
      <c r="E21" s="233"/>
      <c r="F21" s="233"/>
      <c r="G21" s="21"/>
      <c r="H21" s="233"/>
      <c r="I21" s="205">
        <f>$H$3</f>
        <v>180</v>
      </c>
      <c r="J21" s="92"/>
      <c r="K21" s="92"/>
      <c r="L21" s="92"/>
    </row>
    <row r="22" ht="14.25" customHeight="1">
      <c r="A22" s="234" t="s">
        <v>997</v>
      </c>
      <c r="B22" s="232" t="str">
        <f>A21</f>
        <v>m²</v>
      </c>
      <c r="C22" s="233"/>
      <c r="D22" s="233"/>
      <c r="E22" s="233"/>
      <c r="F22" s="233"/>
      <c r="G22" s="21"/>
      <c r="H22" s="233"/>
      <c r="I22" s="235">
        <f>I20/I21</f>
        <v>2871.411846</v>
      </c>
      <c r="J22" s="92"/>
      <c r="K22" s="92"/>
      <c r="L22" s="92"/>
    </row>
    <row r="23" ht="14.25" customHeight="1">
      <c r="G23" s="3"/>
      <c r="I23" s="151"/>
    </row>
    <row r="24" ht="14.25" customHeight="1">
      <c r="G24" s="3"/>
    </row>
    <row r="25" ht="14.25" customHeight="1">
      <c r="A25" s="201" t="s">
        <v>998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02" t="s">
        <v>988</v>
      </c>
      <c r="B26" s="202" t="s">
        <v>989</v>
      </c>
      <c r="C26" s="202" t="s">
        <v>990</v>
      </c>
      <c r="D26" s="202" t="s">
        <v>991</v>
      </c>
      <c r="E26" s="202" t="s">
        <v>999</v>
      </c>
      <c r="F26" s="202" t="s">
        <v>992</v>
      </c>
      <c r="G26" s="4" t="s">
        <v>993</v>
      </c>
      <c r="H26" s="202" t="s">
        <v>994</v>
      </c>
      <c r="I26" s="202" t="s">
        <v>995</v>
      </c>
      <c r="K26" s="3" t="s">
        <v>1060</v>
      </c>
    </row>
    <row r="27" ht="14.25" customHeight="1">
      <c r="A27" s="61" t="s">
        <v>621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29">
        <v>1.0</v>
      </c>
      <c r="E27" s="229">
        <f>(H3/60)*1.5</f>
        <v>4.5</v>
      </c>
      <c r="F27" s="236">
        <v>0.3</v>
      </c>
      <c r="G27" s="217">
        <f t="shared" ref="G27:G32" si="3">ROUNDUP(((D27*E27)*(1+F27)),0)</f>
        <v>6</v>
      </c>
      <c r="H27" s="143">
        <f>IF($A27=0,"",VLOOKUP($A27,'00_MO'!$A$4:$D$7,4,FALSE))</f>
        <v>120000</v>
      </c>
      <c r="I27" s="143">
        <f t="shared" ref="I27:I30" si="4">G27*H27</f>
        <v>720000</v>
      </c>
      <c r="K27" s="153" t="s">
        <v>1061</v>
      </c>
    </row>
    <row r="28" ht="14.25" customHeight="1">
      <c r="A28" s="61" t="s">
        <v>623</v>
      </c>
      <c r="B28" s="92" t="str">
        <f>IF($A28=0,"",VLOOKUP($A28,'00_MO'!$A$4:$D$7,2,FALSE))</f>
        <v>Puntero</v>
      </c>
      <c r="C28" s="92" t="str">
        <f>IF($A28=0,"",VLOOKUP($A28,'00_MO'!$A$4:$D$7,3,FALSE))</f>
        <v>u</v>
      </c>
      <c r="D28" s="229">
        <v>2.0</v>
      </c>
      <c r="E28" s="229">
        <f>E27</f>
        <v>4.5</v>
      </c>
      <c r="F28" s="236">
        <v>0.3</v>
      </c>
      <c r="G28" s="217">
        <f t="shared" si="3"/>
        <v>12</v>
      </c>
      <c r="H28" s="143">
        <f>IF($A28=0,"",VLOOKUP($A28,'00_MO'!$A$4:$D$7,4,FALSE))</f>
        <v>105000</v>
      </c>
      <c r="I28" s="143">
        <f t="shared" si="4"/>
        <v>1260000</v>
      </c>
      <c r="K28" s="194">
        <f>4*15</f>
        <v>60</v>
      </c>
    </row>
    <row r="29" ht="14.25" customHeight="1">
      <c r="A29" s="61" t="s">
        <v>625</v>
      </c>
      <c r="B29" s="92" t="str">
        <f>IF($A29=0,"",VLOOKUP($A29,'00_MO'!$A$4:$D$7,2,FALSE))</f>
        <v>Oficial</v>
      </c>
      <c r="C29" s="92" t="str">
        <f>IF($A29=0,"",VLOOKUP($A29,'00_MO'!$A$4:$D$7,3,FALSE))</f>
        <v>u</v>
      </c>
      <c r="D29" s="229">
        <v>3.0</v>
      </c>
      <c r="E29" s="229">
        <f>E27</f>
        <v>4.5</v>
      </c>
      <c r="F29" s="236">
        <v>0.3</v>
      </c>
      <c r="G29" s="217">
        <f t="shared" si="3"/>
        <v>18</v>
      </c>
      <c r="H29" s="143">
        <f>IF($A29=0,"",VLOOKUP($A29,'00_MO'!$A$4:$D$7,4,FALSE))</f>
        <v>90000</v>
      </c>
      <c r="I29" s="143">
        <f t="shared" si="4"/>
        <v>1620000</v>
      </c>
    </row>
    <row r="30" ht="14.25" customHeight="1">
      <c r="A30" s="61" t="s">
        <v>627</v>
      </c>
      <c r="B30" s="92" t="str">
        <f>IF($A30=0,"",VLOOKUP($A30,'00_MO'!$A$4:$D$7,2,FALSE))</f>
        <v>Ayudante</v>
      </c>
      <c r="C30" s="92" t="str">
        <f>IF($A30=0,"",VLOOKUP($A30,'00_MO'!$A$4:$D$7,3,FALSE))</f>
        <v>u</v>
      </c>
      <c r="D30" s="229">
        <v>3.0</v>
      </c>
      <c r="E30" s="229">
        <f>E27</f>
        <v>4.5</v>
      </c>
      <c r="F30" s="236">
        <v>0.3</v>
      </c>
      <c r="G30" s="217">
        <f t="shared" si="3"/>
        <v>18</v>
      </c>
      <c r="H30" s="143">
        <f>IF($A30=0,"",VLOOKUP($A30,'00_MO'!$A$4:$D$7,4,FALSE))</f>
        <v>60000</v>
      </c>
      <c r="I30" s="143">
        <f t="shared" si="4"/>
        <v>1080000</v>
      </c>
      <c r="K30" s="85" t="s">
        <v>1062</v>
      </c>
      <c r="L30" s="258"/>
      <c r="M30" s="258"/>
    </row>
    <row r="31" ht="14.25" customHeight="1">
      <c r="A31" s="204"/>
      <c r="B31" s="92" t="str">
        <f>IF($A31=0,"",VLOOKUP($A31,'00_MO'!$A$4:$D$7,2,FALSE))</f>
        <v/>
      </c>
      <c r="C31" s="92" t="str">
        <f>IF($A31=0,"",VLOOKUP($A31,'00_MO'!$A$4:$D$7,3,FALSE))</f>
        <v/>
      </c>
      <c r="D31" s="204"/>
      <c r="E31" s="204"/>
      <c r="F31" s="206"/>
      <c r="G31" s="217">
        <f t="shared" si="3"/>
        <v>0</v>
      </c>
      <c r="H31" s="143" t="str">
        <f>IF($A31=0,"",VLOOKUP($A31,'00_MO'!$A$4:$D$7,4,FALSE))</f>
        <v/>
      </c>
      <c r="I31" s="143"/>
    </row>
    <row r="32" ht="14.25" customHeight="1">
      <c r="A32" s="204"/>
      <c r="B32" s="92" t="str">
        <f>IF($A32=0,"",VLOOKUP($A32,'00_MO'!$A$4:$D$7,2,FALSE))</f>
        <v/>
      </c>
      <c r="C32" s="92" t="str">
        <f>IF($A32=0,"",VLOOKUP($A32,'00_MO'!$A$4:$D$7,3,FALSE))</f>
        <v/>
      </c>
      <c r="D32" s="204"/>
      <c r="E32" s="204"/>
      <c r="F32" s="206"/>
      <c r="G32" s="217">
        <f t="shared" si="3"/>
        <v>0</v>
      </c>
      <c r="H32" s="143" t="str">
        <f>IF($A32=0,"",VLOOKUP($A32,'00_MO'!$A$4:$D$7,4,FALSE))</f>
        <v/>
      </c>
      <c r="I32" s="143"/>
    </row>
    <row r="33" ht="14.25" customHeight="1">
      <c r="F33" s="208"/>
      <c r="G33" s="3"/>
      <c r="H33" s="143"/>
      <c r="I33" s="143"/>
    </row>
    <row r="34" ht="14.25" customHeight="1">
      <c r="A34" s="222" t="s">
        <v>987</v>
      </c>
      <c r="B34" s="223"/>
      <c r="C34" s="223"/>
      <c r="D34" s="223"/>
      <c r="E34" s="223"/>
      <c r="F34" s="223"/>
      <c r="G34" s="211"/>
      <c r="H34" s="223"/>
      <c r="I34" s="224">
        <f>SUM(I27:I32)</f>
        <v>4680000</v>
      </c>
    </row>
    <row r="35" ht="14.25" customHeight="1">
      <c r="A35" s="232" t="str">
        <f>$I$3</f>
        <v>m²</v>
      </c>
      <c r="B35" s="233"/>
      <c r="C35" s="233"/>
      <c r="D35" s="233"/>
      <c r="E35" s="233"/>
      <c r="F35" s="233"/>
      <c r="G35" s="21"/>
      <c r="H35" s="233"/>
      <c r="I35" s="205">
        <f>$H$3</f>
        <v>180</v>
      </c>
      <c r="J35" s="92"/>
      <c r="K35" s="92"/>
      <c r="L35" s="92"/>
    </row>
    <row r="36" ht="14.25" customHeight="1">
      <c r="A36" s="234" t="s">
        <v>997</v>
      </c>
      <c r="B36" s="232" t="str">
        <f>A35</f>
        <v>m²</v>
      </c>
      <c r="C36" s="233"/>
      <c r="D36" s="233"/>
      <c r="E36" s="233"/>
      <c r="F36" s="233"/>
      <c r="G36" s="21"/>
      <c r="H36" s="233"/>
      <c r="I36" s="235">
        <f>I34/I35</f>
        <v>26000</v>
      </c>
      <c r="J36" s="92"/>
      <c r="K36" s="92"/>
      <c r="L36" s="92"/>
    </row>
    <row r="37" ht="14.25" customHeight="1">
      <c r="G37" s="3"/>
      <c r="I37" s="151"/>
    </row>
    <row r="38" ht="14.25" customHeight="1">
      <c r="G38" s="3"/>
    </row>
    <row r="39" ht="14.25" customHeight="1">
      <c r="A39" s="201" t="s">
        <v>1000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02" t="s">
        <v>988</v>
      </c>
      <c r="B40" s="202" t="s">
        <v>989</v>
      </c>
      <c r="C40" s="202" t="s">
        <v>990</v>
      </c>
      <c r="D40" s="202" t="s">
        <v>991</v>
      </c>
      <c r="E40" s="202" t="s">
        <v>999</v>
      </c>
      <c r="F40" s="202" t="s">
        <v>992</v>
      </c>
      <c r="G40" s="4" t="s">
        <v>993</v>
      </c>
      <c r="H40" s="202" t="s">
        <v>994</v>
      </c>
      <c r="I40" s="202" t="s">
        <v>995</v>
      </c>
    </row>
    <row r="41" ht="14.25" customHeight="1">
      <c r="A41" s="204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04"/>
      <c r="E41" s="204"/>
      <c r="F41" s="206"/>
      <c r="G41" s="217">
        <f t="shared" ref="G41:G46" si="5">ROUNDUP(((D41*E41)*(1+F41)),0)</f>
        <v>0</v>
      </c>
      <c r="H41" s="143" t="str">
        <f>IF($A41=0,"",VLOOKUP($A41,'00_Eq'!$A$4:$D$100,4,FALSE))</f>
        <v/>
      </c>
      <c r="I41" s="143"/>
    </row>
    <row r="42" ht="14.25" customHeight="1">
      <c r="A42" s="204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04"/>
      <c r="E42" s="204"/>
      <c r="F42" s="206"/>
      <c r="G42" s="217">
        <f t="shared" si="5"/>
        <v>0</v>
      </c>
      <c r="H42" s="143" t="str">
        <f>IF($A42=0,"",VLOOKUP($A42,'00_Eq'!$A$4:$D$100,4,FALSE))</f>
        <v/>
      </c>
      <c r="I42" s="143"/>
    </row>
    <row r="43" ht="14.25" customHeight="1">
      <c r="A43" s="204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04"/>
      <c r="E43" s="204"/>
      <c r="F43" s="206"/>
      <c r="G43" s="217">
        <f t="shared" si="5"/>
        <v>0</v>
      </c>
      <c r="H43" s="143" t="str">
        <f>IF($A43=0,"",VLOOKUP($A43,'00_Eq'!$A$4:$D$100,4,FALSE))</f>
        <v/>
      </c>
      <c r="I43" s="143"/>
    </row>
    <row r="44" ht="14.25" customHeight="1">
      <c r="A44" s="204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04"/>
      <c r="E44" s="204"/>
      <c r="F44" s="206"/>
      <c r="G44" s="217">
        <f t="shared" si="5"/>
        <v>0</v>
      </c>
      <c r="H44" s="143" t="str">
        <f>IF($A44=0,"",VLOOKUP($A44,'00_Eq'!$A$4:$D$100,4,FALSE))</f>
        <v/>
      </c>
      <c r="I44" s="143"/>
    </row>
    <row r="45" ht="14.25" customHeight="1">
      <c r="A45" s="204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04"/>
      <c r="E45" s="204"/>
      <c r="F45" s="206"/>
      <c r="G45" s="217">
        <f t="shared" si="5"/>
        <v>0</v>
      </c>
      <c r="H45" s="143" t="str">
        <f>IF($A45=0,"",VLOOKUP($A45,'00_Eq'!$A$4:$D$100,4,FALSE))</f>
        <v/>
      </c>
      <c r="I45" s="143"/>
    </row>
    <row r="46" ht="14.25" customHeight="1">
      <c r="A46" s="204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04"/>
      <c r="E46" s="204"/>
      <c r="F46" s="206"/>
      <c r="G46" s="217">
        <f t="shared" si="5"/>
        <v>0</v>
      </c>
      <c r="H46" s="143" t="str">
        <f>IF($A46=0,"",VLOOKUP($A46,'00_Eq'!$A$4:$D$100,4,FALSE))</f>
        <v/>
      </c>
      <c r="I46" s="143"/>
    </row>
    <row r="47" ht="14.25" customHeight="1">
      <c r="F47" s="208"/>
      <c r="G47" s="3"/>
      <c r="H47" s="143"/>
      <c r="I47" s="143"/>
    </row>
    <row r="48" ht="14.25" customHeight="1">
      <c r="A48" s="222" t="s">
        <v>987</v>
      </c>
      <c r="B48" s="223"/>
      <c r="C48" s="223"/>
      <c r="D48" s="223"/>
      <c r="E48" s="223"/>
      <c r="F48" s="223"/>
      <c r="G48" s="211"/>
      <c r="H48" s="223"/>
      <c r="I48" s="224">
        <f>SUM(I41:I46)</f>
        <v>0</v>
      </c>
    </row>
    <row r="49" ht="14.25" customHeight="1">
      <c r="A49" s="232" t="str">
        <f>$I$3</f>
        <v>m²</v>
      </c>
      <c r="B49" s="233"/>
      <c r="C49" s="233"/>
      <c r="D49" s="233"/>
      <c r="E49" s="233"/>
      <c r="F49" s="233"/>
      <c r="G49" s="21"/>
      <c r="H49" s="233"/>
      <c r="I49" s="205">
        <f>$H$3</f>
        <v>180</v>
      </c>
      <c r="J49" s="92"/>
      <c r="K49" s="92"/>
      <c r="L49" s="92"/>
    </row>
    <row r="50" ht="14.25" customHeight="1">
      <c r="A50" s="234" t="s">
        <v>997</v>
      </c>
      <c r="B50" s="232" t="str">
        <f>A49</f>
        <v>m²</v>
      </c>
      <c r="C50" s="233"/>
      <c r="D50" s="233"/>
      <c r="E50" s="233"/>
      <c r="F50" s="233"/>
      <c r="G50" s="21"/>
      <c r="H50" s="233"/>
      <c r="I50" s="235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01" t="s">
        <v>1010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02" t="s">
        <v>988</v>
      </c>
      <c r="B54" s="202" t="s">
        <v>989</v>
      </c>
      <c r="C54" s="202" t="s">
        <v>990</v>
      </c>
      <c r="D54" s="202" t="s">
        <v>991</v>
      </c>
      <c r="E54" s="202"/>
      <c r="F54" s="202" t="s">
        <v>992</v>
      </c>
      <c r="G54" s="4" t="s">
        <v>993</v>
      </c>
      <c r="H54" s="202" t="s">
        <v>994</v>
      </c>
      <c r="I54" s="202" t="s">
        <v>995</v>
      </c>
    </row>
    <row r="55" ht="14.25" customHeight="1">
      <c r="A55" s="204"/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05"/>
      <c r="E55" s="204"/>
      <c r="F55" s="206"/>
      <c r="G55" s="221">
        <f t="shared" ref="G55:G60" si="6">ROUNDUP((D55+(D55*F55)),0)</f>
        <v>0</v>
      </c>
      <c r="H55" s="143" t="str">
        <f>IF($A55=0,"",VLOOKUP($A55,'00_Mat'!$A$4:$J$1135,5,FALSE))</f>
        <v/>
      </c>
      <c r="I55" s="143"/>
    </row>
    <row r="56" ht="14.25" customHeight="1">
      <c r="A56" s="204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05"/>
      <c r="E56" s="204"/>
      <c r="F56" s="206"/>
      <c r="G56" s="221">
        <f t="shared" si="6"/>
        <v>0</v>
      </c>
      <c r="H56" s="143" t="str">
        <f>IF($A56=0,"",VLOOKUP($A56,'00_Mat'!$A$4:$J$1135,5,FALSE))</f>
        <v/>
      </c>
      <c r="I56" s="143"/>
    </row>
    <row r="57" ht="14.25" customHeight="1">
      <c r="A57" s="204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05"/>
      <c r="E57" s="204"/>
      <c r="F57" s="206"/>
      <c r="G57" s="221">
        <f t="shared" si="6"/>
        <v>0</v>
      </c>
      <c r="H57" s="143" t="str">
        <f>IF($A57=0,"",VLOOKUP($A57,'00_Mat'!$A$4:$J$1135,5,FALSE))</f>
        <v/>
      </c>
      <c r="I57" s="143"/>
    </row>
    <row r="58" ht="14.25" customHeight="1">
      <c r="A58" s="204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05"/>
      <c r="E58" s="204"/>
      <c r="F58" s="206"/>
      <c r="G58" s="221">
        <f t="shared" si="6"/>
        <v>0</v>
      </c>
      <c r="H58" s="143" t="str">
        <f>IF($A58=0,"",VLOOKUP($A58,'00_Mat'!$A$4:$J$1135,5,FALSE))</f>
        <v/>
      </c>
      <c r="I58" s="143"/>
    </row>
    <row r="59" ht="14.25" customHeight="1">
      <c r="A59" s="204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05"/>
      <c r="E59" s="204"/>
      <c r="F59" s="206"/>
      <c r="G59" s="221">
        <f t="shared" si="6"/>
        <v>0</v>
      </c>
      <c r="H59" s="143" t="str">
        <f>IF($A59=0,"",VLOOKUP($A59,'00_Mat'!$A$4:$J$1135,5,FALSE))</f>
        <v/>
      </c>
      <c r="I59" s="143"/>
    </row>
    <row r="60" ht="14.25" customHeight="1">
      <c r="A60" s="204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05"/>
      <c r="E60" s="204"/>
      <c r="F60" s="206"/>
      <c r="G60" s="221">
        <f t="shared" si="6"/>
        <v>0</v>
      </c>
      <c r="H60" s="143" t="str">
        <f>IF($A60=0,"",VLOOKUP($A60,'00_Mat'!$A$4:$J$1135,5,FALSE))</f>
        <v/>
      </c>
      <c r="I60" s="143"/>
    </row>
    <row r="61" ht="14.25" customHeight="1">
      <c r="F61" s="208"/>
      <c r="G61" s="3"/>
      <c r="H61" s="143"/>
      <c r="I61" s="143"/>
    </row>
    <row r="62" ht="14.25" customHeight="1">
      <c r="A62" s="222" t="s">
        <v>987</v>
      </c>
      <c r="B62" s="223"/>
      <c r="C62" s="223"/>
      <c r="D62" s="223"/>
      <c r="E62" s="223"/>
      <c r="F62" s="223"/>
      <c r="G62" s="211"/>
      <c r="H62" s="223"/>
      <c r="I62" s="224">
        <f>SUM(I55:I60)</f>
        <v>0</v>
      </c>
    </row>
    <row r="63" ht="14.25" customHeight="1">
      <c r="A63" s="232" t="str">
        <f>$I$3</f>
        <v>m²</v>
      </c>
      <c r="B63" s="233"/>
      <c r="C63" s="233"/>
      <c r="D63" s="233"/>
      <c r="E63" s="233"/>
      <c r="F63" s="233"/>
      <c r="G63" s="21"/>
      <c r="H63" s="233"/>
      <c r="I63" s="205">
        <f>$H$3</f>
        <v>180</v>
      </c>
      <c r="J63" s="92"/>
      <c r="K63" s="92"/>
      <c r="L63" s="92"/>
    </row>
    <row r="64" ht="14.25" customHeight="1">
      <c r="A64" s="234" t="s">
        <v>997</v>
      </c>
      <c r="B64" s="232" t="str">
        <f>A63</f>
        <v>m²</v>
      </c>
      <c r="C64" s="233"/>
      <c r="D64" s="233"/>
      <c r="E64" s="233"/>
      <c r="F64" s="233"/>
      <c r="G64" s="21"/>
      <c r="H64" s="233"/>
      <c r="I64" s="235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01" t="s">
        <v>1025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02" t="s">
        <v>988</v>
      </c>
      <c r="B68" s="202" t="s">
        <v>989</v>
      </c>
      <c r="C68" s="202" t="s">
        <v>990</v>
      </c>
      <c r="D68" s="202" t="s">
        <v>991</v>
      </c>
      <c r="E68" s="202" t="s">
        <v>999</v>
      </c>
      <c r="F68" s="202" t="s">
        <v>992</v>
      </c>
      <c r="G68" s="4" t="s">
        <v>993</v>
      </c>
      <c r="H68" s="202" t="s">
        <v>994</v>
      </c>
      <c r="I68" s="202" t="s">
        <v>995</v>
      </c>
    </row>
    <row r="69" ht="14.25" customHeight="1">
      <c r="A69" s="204"/>
      <c r="B69" s="92" t="str">
        <f>IF($A69=0,"",VLOOKUP($A69,'00_Sub'!$A$4:$D$1007,2,FALSE))</f>
        <v/>
      </c>
      <c r="C69" s="92" t="str">
        <f>IF($A69=0,"",VLOOKUP($A69,'00_Sub'!$A$4:$D$1007,3,FALSE))</f>
        <v/>
      </c>
      <c r="D69" s="204"/>
      <c r="E69" s="204"/>
      <c r="F69" s="206"/>
      <c r="G69" s="221">
        <f t="shared" ref="G69:G74" si="7">ROUNDUP((D69+(D69*F69)),0)</f>
        <v>0</v>
      </c>
      <c r="H69" s="143" t="str">
        <f>IF($A69=0,"",VLOOKUP($A69,'00_Sub'!$A$4:$D$1007,4,FALSE))</f>
        <v/>
      </c>
      <c r="I69" s="143"/>
    </row>
    <row r="70" ht="14.25" customHeight="1">
      <c r="A70" s="204"/>
      <c r="B70" s="92" t="str">
        <f>IF($A70=0,"",VLOOKUP($A70,'00_Sub'!$A$4:$D$1007,2,FALSE))</f>
        <v/>
      </c>
      <c r="C70" s="92" t="str">
        <f>IF($A70=0,"",VLOOKUP($A70,'00_Sub'!$A$4:$D$1007,3,FALSE))</f>
        <v/>
      </c>
      <c r="D70" s="204"/>
      <c r="E70" s="204"/>
      <c r="F70" s="206"/>
      <c r="G70" s="221">
        <f t="shared" si="7"/>
        <v>0</v>
      </c>
      <c r="H70" s="143" t="str">
        <f>IF($A70=0,"",VLOOKUP($A70,'00_Sub'!$A$4:$D$1007,4,FALSE))</f>
        <v/>
      </c>
      <c r="I70" s="143"/>
    </row>
    <row r="71" ht="14.25" customHeight="1">
      <c r="A71" s="204"/>
      <c r="B71" s="92" t="str">
        <f>IF($A71=0,"",VLOOKUP($A71,'00_Sub'!$A$4:$D$1007,2,FALSE))</f>
        <v/>
      </c>
      <c r="C71" s="92" t="str">
        <f>IF($A71=0,"",VLOOKUP($A71,'00_Sub'!$A$4:$D$1007,3,FALSE))</f>
        <v/>
      </c>
      <c r="D71" s="204"/>
      <c r="E71" s="204"/>
      <c r="F71" s="206"/>
      <c r="G71" s="221">
        <f t="shared" si="7"/>
        <v>0</v>
      </c>
      <c r="H71" s="143" t="str">
        <f>IF($A71=0,"",VLOOKUP($A71,'00_Sub'!$A$4:$D$1007,4,FALSE))</f>
        <v/>
      </c>
      <c r="I71" s="143"/>
    </row>
    <row r="72" ht="14.25" customHeight="1">
      <c r="A72" s="204"/>
      <c r="B72" s="92" t="str">
        <f>IF($A72=0,"",VLOOKUP($A72,'00_Sub'!$A$4:$D$1007,2,FALSE))</f>
        <v/>
      </c>
      <c r="C72" s="92" t="str">
        <f>IF($A72=0,"",VLOOKUP($A72,'00_Sub'!$A$4:$D$1007,3,FALSE))</f>
        <v/>
      </c>
      <c r="D72" s="204"/>
      <c r="E72" s="204"/>
      <c r="F72" s="206"/>
      <c r="G72" s="221">
        <f t="shared" si="7"/>
        <v>0</v>
      </c>
      <c r="H72" s="143" t="str">
        <f>IF($A72=0,"",VLOOKUP($A72,'00_Sub'!$A$4:$D$1007,4,FALSE))</f>
        <v/>
      </c>
      <c r="I72" s="143"/>
    </row>
    <row r="73" ht="14.25" customHeight="1">
      <c r="A73" s="204"/>
      <c r="B73" s="92" t="str">
        <f>IF($A73=0,"",VLOOKUP($A73,'00_Sub'!$A$4:$D$1007,2,FALSE))</f>
        <v/>
      </c>
      <c r="C73" s="92" t="str">
        <f>IF($A73=0,"",VLOOKUP($A73,'00_Sub'!$A$4:$D$1007,3,FALSE))</f>
        <v/>
      </c>
      <c r="D73" s="204"/>
      <c r="E73" s="204"/>
      <c r="F73" s="206"/>
      <c r="G73" s="221">
        <f t="shared" si="7"/>
        <v>0</v>
      </c>
      <c r="H73" s="143" t="str">
        <f>IF($A73=0,"",VLOOKUP($A73,'00_Sub'!$A$4:$D$1007,4,FALSE))</f>
        <v/>
      </c>
      <c r="I73" s="143"/>
    </row>
    <row r="74" ht="14.25" customHeight="1">
      <c r="A74" s="204"/>
      <c r="B74" s="92" t="str">
        <f>IF($A74=0,"",VLOOKUP($A74,'00_Sub'!$A$4:$D$1007,2,FALSE))</f>
        <v/>
      </c>
      <c r="C74" s="92" t="str">
        <f>IF($A74=0,"",VLOOKUP($A74,'00_Sub'!$A$4:$D$1007,3,FALSE))</f>
        <v/>
      </c>
      <c r="D74" s="204"/>
      <c r="E74" s="204"/>
      <c r="F74" s="206"/>
      <c r="G74" s="221">
        <f t="shared" si="7"/>
        <v>0</v>
      </c>
      <c r="H74" s="143" t="str">
        <f>IF($A74=0,"",VLOOKUP($A74,'00_Sub'!$A$4:$D$1007,4,FALSE))</f>
        <v/>
      </c>
      <c r="I74" s="143"/>
    </row>
    <row r="75" ht="14.25" customHeight="1">
      <c r="F75" s="208"/>
      <c r="G75" s="3"/>
      <c r="H75" s="143"/>
      <c r="I75" s="143"/>
    </row>
    <row r="76" ht="14.25" customHeight="1">
      <c r="A76" s="222" t="s">
        <v>987</v>
      </c>
      <c r="B76" s="223"/>
      <c r="C76" s="223"/>
      <c r="D76" s="223"/>
      <c r="E76" s="223"/>
      <c r="F76" s="223"/>
      <c r="G76" s="211"/>
      <c r="H76" s="223"/>
      <c r="I76" s="224">
        <f>SUM(I69:I74)</f>
        <v>0</v>
      </c>
    </row>
    <row r="77" ht="14.25" customHeight="1">
      <c r="A77" s="232" t="str">
        <f>$I$3</f>
        <v>m²</v>
      </c>
      <c r="B77" s="233"/>
      <c r="C77" s="233"/>
      <c r="D77" s="233"/>
      <c r="E77" s="233"/>
      <c r="F77" s="233"/>
      <c r="G77" s="21"/>
      <c r="H77" s="233"/>
      <c r="I77" s="205">
        <f>$H$3</f>
        <v>180</v>
      </c>
      <c r="J77" s="92"/>
      <c r="K77" s="92"/>
      <c r="L77" s="92"/>
    </row>
    <row r="78" ht="14.25" customHeight="1">
      <c r="A78" s="234" t="s">
        <v>997</v>
      </c>
      <c r="B78" s="232" t="str">
        <f>A77</f>
        <v>m²</v>
      </c>
      <c r="C78" s="233"/>
      <c r="D78" s="233"/>
      <c r="E78" s="233"/>
      <c r="F78" s="233"/>
      <c r="G78" s="21"/>
      <c r="H78" s="233"/>
      <c r="I78" s="235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86"/>
    <col customWidth="1" min="10" max="12" width="8.71"/>
  </cols>
  <sheetData>
    <row r="1" ht="33.75" customHeight="1">
      <c r="A1" s="91" t="str">
        <f>'01_C&amp;P'!A1</f>
        <v>EDIFICIO LAS HERAS</v>
      </c>
      <c r="B1" s="91"/>
      <c r="C1" s="91"/>
      <c r="G1" s="3"/>
    </row>
    <row r="2" ht="14.25" customHeight="1">
      <c r="G2" s="3"/>
    </row>
    <row r="3" ht="23.25" customHeight="1">
      <c r="A3" s="195">
        <f>'01_C&amp;P'!A36</f>
        <v>46235</v>
      </c>
      <c r="B3" s="196" t="str">
        <f>IF($A3=0,"",VLOOKUP($A3,'01_C&amp;P'!$A$9:$D$192,2,FALSE))</f>
        <v>REVOQUE INTERTIOR HIDROFUGO.</v>
      </c>
      <c r="C3" s="197"/>
      <c r="D3" s="197"/>
      <c r="E3" s="197"/>
      <c r="F3" s="197"/>
      <c r="G3" s="198"/>
      <c r="H3" s="199">
        <f>IF($A3=0,"",VLOOKUP($A3,'01_C&amp;P'!$A$9:$D$192,4,FALSE))</f>
        <v>282</v>
      </c>
      <c r="I3" s="200" t="str">
        <f>IF($A3=0,"",VLOOKUP($A3,'01_C&amp;P'!$A$9:$D$192,3,FALSE))</f>
        <v>m²</v>
      </c>
    </row>
    <row r="4" ht="14.25" customHeight="1">
      <c r="G4" s="3"/>
    </row>
    <row r="5" ht="14.25" customHeight="1">
      <c r="A5" s="201" t="s">
        <v>0</v>
      </c>
      <c r="B5" s="94"/>
      <c r="C5" s="94"/>
      <c r="D5" s="94"/>
      <c r="E5" s="94"/>
      <c r="F5" s="94"/>
      <c r="G5" s="2"/>
      <c r="H5" s="94"/>
      <c r="I5" s="94"/>
      <c r="L5" s="153" t="s">
        <v>48</v>
      </c>
    </row>
    <row r="6" ht="14.25" customHeight="1">
      <c r="A6" s="202" t="s">
        <v>988</v>
      </c>
      <c r="B6" s="202" t="s">
        <v>989</v>
      </c>
      <c r="C6" s="202" t="s">
        <v>990</v>
      </c>
      <c r="D6" s="203" t="s">
        <v>991</v>
      </c>
      <c r="E6" s="197"/>
      <c r="F6" s="202" t="s">
        <v>992</v>
      </c>
      <c r="G6" s="4" t="s">
        <v>993</v>
      </c>
      <c r="H6" s="202" t="s">
        <v>994</v>
      </c>
      <c r="I6" s="202" t="s">
        <v>995</v>
      </c>
      <c r="L6" s="251">
        <f>H3</f>
        <v>282</v>
      </c>
    </row>
    <row r="7" ht="14.25" customHeight="1">
      <c r="A7" s="254" t="s">
        <v>11</v>
      </c>
      <c r="B7" s="3" t="str">
        <f>IF($A7=0,"",VLOOKUP($A7,'00_Mat'!$A$4:$J$1134,2,FALSE))</f>
        <v>Bolson de Arena (1m3) </v>
      </c>
      <c r="C7" s="3" t="str">
        <f>IF($A7=0,"",VLOOKUP($A7,'00_Mat'!$A$4:$J$1134,3,FALSE))</f>
        <v>m3</v>
      </c>
      <c r="D7" s="256">
        <f>L6*(0.017+0.006)</f>
        <v>6.486</v>
      </c>
      <c r="E7" s="254"/>
      <c r="F7" s="259">
        <v>0.1</v>
      </c>
      <c r="G7" s="221">
        <f t="shared" ref="G7:G10" si="1">ROUNDUP((D7+(D7*F7)),0)</f>
        <v>8</v>
      </c>
      <c r="H7" s="14">
        <f>IF($A7=0,"",VLOOKUP($A7,'00_Mat'!$A$4:$J$1134,5,FALSE))</f>
        <v>33470</v>
      </c>
      <c r="I7" s="14">
        <f t="shared" ref="I7:I10" si="2">G7*H7</f>
        <v>267760</v>
      </c>
      <c r="J7" s="10"/>
    </row>
    <row r="8" ht="14.25" customHeight="1">
      <c r="A8" s="254" t="s">
        <v>19</v>
      </c>
      <c r="B8" s="3" t="str">
        <f>IF($A8=0,"",VLOOKUP($A8,'00_Mat'!$A$4:$J$1134,2,FALSE))</f>
        <v>Bolsa Cemento "Loma Negra" 25 k (u)</v>
      </c>
      <c r="C8" s="3" t="str">
        <f>IF($A8=0,"",VLOOKUP($A8,'00_Mat'!$A$4:$J$1134,3,FALSE))</f>
        <v>u</v>
      </c>
      <c r="D8" s="256">
        <f>(L6*(1.85+0.45)/25)</f>
        <v>25.944</v>
      </c>
      <c r="E8" s="254"/>
      <c r="F8" s="259">
        <v>0.1</v>
      </c>
      <c r="G8" s="221">
        <f t="shared" si="1"/>
        <v>29</v>
      </c>
      <c r="H8" s="14">
        <f>IF($A8=0,"",VLOOKUP($A8,'00_Mat'!$A$4:$J$1134,5,FALSE))</f>
        <v>7000</v>
      </c>
      <c r="I8" s="14">
        <f t="shared" si="2"/>
        <v>203000</v>
      </c>
      <c r="J8" s="260"/>
    </row>
    <row r="9" ht="14.25" customHeight="1">
      <c r="A9" s="254" t="s">
        <v>25</v>
      </c>
      <c r="B9" s="3" t="str">
        <f>IF($A9=0,"",VLOOKUP($A9,'00_Mat'!$A$4:$J$1134,2,FALSE))</f>
        <v>Bolsa Cal "Cacique" 25 k (u)</v>
      </c>
      <c r="C9" s="3" t="str">
        <f>IF($A9=0,"",VLOOKUP($A9,'00_Mat'!$A$4:$J$1134,3,FALSE))</f>
        <v>u</v>
      </c>
      <c r="D9" s="256">
        <f>(L6*(3.53+1.6)/25)</f>
        <v>57.8664</v>
      </c>
      <c r="E9" s="254"/>
      <c r="F9" s="259">
        <v>0.1</v>
      </c>
      <c r="G9" s="221">
        <f t="shared" si="1"/>
        <v>64</v>
      </c>
      <c r="H9" s="14">
        <f>IF($A9=0,"",VLOOKUP($A9,'00_Mat'!$A$4:$J$1134,5,FALSE))</f>
        <v>5371.900826</v>
      </c>
      <c r="I9" s="14">
        <f t="shared" si="2"/>
        <v>343801.6529</v>
      </c>
      <c r="J9" s="260"/>
    </row>
    <row r="10" ht="14.25" customHeight="1">
      <c r="A10" s="254" t="s">
        <v>29</v>
      </c>
      <c r="B10" s="3" t="str">
        <f>IF($A10=0,"",VLOOKUP($A10,'00_Mat'!$A$4:$J$1134,2,FALSE))</f>
        <v>Ceresita 20 k (u)</v>
      </c>
      <c r="C10" s="3" t="str">
        <f>IF($A10=0,"",VLOOKUP($A10,'00_Mat'!$A$4:$J$1134,3,FALSE))</f>
        <v>u</v>
      </c>
      <c r="D10" s="256">
        <f>(0.4*L6)/20</f>
        <v>5.64</v>
      </c>
      <c r="E10" s="254"/>
      <c r="F10" s="259">
        <v>0.1</v>
      </c>
      <c r="G10" s="221">
        <f t="shared" si="1"/>
        <v>7</v>
      </c>
      <c r="H10" s="14">
        <f>IF($A10=0,"",VLOOKUP($A10,'00_Mat'!$A$4:$J$1134,5,FALSE))</f>
        <v>37190.08264</v>
      </c>
      <c r="I10" s="14">
        <f t="shared" si="2"/>
        <v>260330.5785</v>
      </c>
      <c r="J10" s="260" t="s">
        <v>1063</v>
      </c>
    </row>
    <row r="11" ht="14.25" customHeight="1">
      <c r="A11" s="204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04"/>
      <c r="E11" s="204"/>
      <c r="F11" s="206"/>
      <c r="G11" s="221">
        <f t="shared" ref="G11:G18" si="3">ROUNDUP((D11+(D11*F11)),0)</f>
        <v>0</v>
      </c>
      <c r="H11" s="143" t="str">
        <f>IF($A11=0,"",VLOOKUP($A11,'00_Mat'!$A$4:$J$1135,5,FALSE))</f>
        <v/>
      </c>
      <c r="I11" s="143"/>
    </row>
    <row r="12" ht="14.25" customHeight="1">
      <c r="A12" s="204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04"/>
      <c r="E12" s="204"/>
      <c r="F12" s="206"/>
      <c r="G12" s="221">
        <f t="shared" si="3"/>
        <v>0</v>
      </c>
      <c r="H12" s="143" t="str">
        <f>IF($A12=0,"",VLOOKUP($A12,'00_Mat'!$A$4:$J$1135,5,FALSE))</f>
        <v/>
      </c>
      <c r="I12" s="143"/>
    </row>
    <row r="13" ht="14.25" customHeight="1">
      <c r="A13" s="204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04"/>
      <c r="E13" s="204"/>
      <c r="F13" s="206"/>
      <c r="G13" s="221">
        <f t="shared" si="3"/>
        <v>0</v>
      </c>
      <c r="H13" s="143" t="str">
        <f>IF($A13=0,"",VLOOKUP($A13,'00_Mat'!$A$4:$J$1135,5,FALSE))</f>
        <v/>
      </c>
      <c r="I13" s="143"/>
    </row>
    <row r="14" ht="14.25" customHeight="1">
      <c r="A14" s="204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04"/>
      <c r="E14" s="204"/>
      <c r="F14" s="206"/>
      <c r="G14" s="221">
        <f t="shared" si="3"/>
        <v>0</v>
      </c>
      <c r="H14" s="143" t="str">
        <f>IF($A14=0,"",VLOOKUP($A14,'00_Mat'!$A$4:$J$1135,5,FALSE))</f>
        <v/>
      </c>
      <c r="I14" s="143"/>
    </row>
    <row r="15" ht="14.25" customHeight="1">
      <c r="A15" s="204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04"/>
      <c r="E15" s="204"/>
      <c r="F15" s="206"/>
      <c r="G15" s="221">
        <f t="shared" si="3"/>
        <v>0</v>
      </c>
      <c r="H15" s="143" t="str">
        <f>IF($A15=0,"",VLOOKUP($A15,'00_Mat'!$A$4:$J$1135,5,FALSE))</f>
        <v/>
      </c>
      <c r="I15" s="143"/>
    </row>
    <row r="16" ht="14.25" customHeight="1">
      <c r="A16" s="204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04"/>
      <c r="E16" s="204"/>
      <c r="F16" s="206"/>
      <c r="G16" s="221">
        <f t="shared" si="3"/>
        <v>0</v>
      </c>
      <c r="H16" s="143" t="str">
        <f>IF($A16=0,"",VLOOKUP($A16,'00_Mat'!$A$4:$J$1135,5,FALSE))</f>
        <v/>
      </c>
      <c r="I16" s="143"/>
    </row>
    <row r="17" ht="14.25" customHeight="1">
      <c r="A17" s="204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04"/>
      <c r="E17" s="204"/>
      <c r="F17" s="206"/>
      <c r="G17" s="221">
        <f t="shared" si="3"/>
        <v>0</v>
      </c>
      <c r="H17" s="143" t="str">
        <f>IF($A17=0,"",VLOOKUP($A17,'00_Mat'!$A$4:$J$1135,5,FALSE))</f>
        <v/>
      </c>
      <c r="I17" s="143"/>
    </row>
    <row r="18" ht="14.25" customHeight="1">
      <c r="A18" s="204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04"/>
      <c r="E18" s="204"/>
      <c r="F18" s="206"/>
      <c r="G18" s="221">
        <f t="shared" si="3"/>
        <v>0</v>
      </c>
      <c r="H18" s="143" t="str">
        <f>IF($A18=0,"",VLOOKUP($A18,'00_Mat'!$A$4:$J$1135,5,FALSE))</f>
        <v/>
      </c>
      <c r="I18" s="143"/>
    </row>
    <row r="19" ht="14.25" customHeight="1">
      <c r="F19" s="208"/>
      <c r="G19" s="3"/>
      <c r="H19" s="143"/>
      <c r="I19" s="143"/>
    </row>
    <row r="20" ht="14.25" customHeight="1">
      <c r="A20" s="222" t="s">
        <v>996</v>
      </c>
      <c r="B20" s="223"/>
      <c r="C20" s="223"/>
      <c r="D20" s="223"/>
      <c r="E20" s="223"/>
      <c r="F20" s="223"/>
      <c r="G20" s="211"/>
      <c r="H20" s="223"/>
      <c r="I20" s="224">
        <f>SUM(I7:I18)</f>
        <v>1074892.231</v>
      </c>
      <c r="J20" s="92"/>
      <c r="K20" s="92"/>
      <c r="L20" s="92"/>
    </row>
    <row r="21" ht="14.25" customHeight="1">
      <c r="A21" s="232" t="str">
        <f>$I$3</f>
        <v>m²</v>
      </c>
      <c r="B21" s="233"/>
      <c r="C21" s="233"/>
      <c r="D21" s="233"/>
      <c r="E21" s="233"/>
      <c r="F21" s="233"/>
      <c r="G21" s="21"/>
      <c r="H21" s="233"/>
      <c r="I21" s="205">
        <f>$H$3</f>
        <v>282</v>
      </c>
      <c r="J21" s="92"/>
      <c r="K21" s="92"/>
      <c r="L21" s="92"/>
    </row>
    <row r="22" ht="14.25" customHeight="1">
      <c r="A22" s="234" t="s">
        <v>997</v>
      </c>
      <c r="B22" s="232" t="str">
        <f>A21</f>
        <v>m²</v>
      </c>
      <c r="C22" s="233"/>
      <c r="D22" s="233"/>
      <c r="E22" s="233"/>
      <c r="F22" s="233"/>
      <c r="G22" s="21"/>
      <c r="H22" s="233"/>
      <c r="I22" s="235">
        <f>I20/I21</f>
        <v>3811.674579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01" t="s">
        <v>998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02" t="s">
        <v>988</v>
      </c>
      <c r="B26" s="202" t="s">
        <v>989</v>
      </c>
      <c r="C26" s="202" t="s">
        <v>990</v>
      </c>
      <c r="D26" s="202" t="s">
        <v>991</v>
      </c>
      <c r="E26" s="202" t="s">
        <v>999</v>
      </c>
      <c r="F26" s="202" t="s">
        <v>992</v>
      </c>
      <c r="G26" s="4" t="s">
        <v>993</v>
      </c>
      <c r="H26" s="202" t="s">
        <v>994</v>
      </c>
      <c r="I26" s="202" t="s">
        <v>995</v>
      </c>
    </row>
    <row r="27" ht="14.25" customHeight="1">
      <c r="A27" s="61" t="s">
        <v>621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29">
        <v>1.0</v>
      </c>
      <c r="E27" s="229">
        <v>10.0</v>
      </c>
      <c r="F27" s="236">
        <v>0.25</v>
      </c>
      <c r="G27" s="217">
        <f t="shared" ref="G27:G32" si="4">ROUNDUP(((D27*E27)*(1+F27)),0)</f>
        <v>13</v>
      </c>
      <c r="H27" s="143">
        <f>IF($A27=0,"",VLOOKUP($A27,'00_MO'!$A$4:$D$7,4,FALSE))</f>
        <v>120000</v>
      </c>
      <c r="I27" s="14">
        <f t="shared" ref="I27:I30" si="5">G27*H27</f>
        <v>1560000</v>
      </c>
    </row>
    <row r="28" ht="14.25" customHeight="1">
      <c r="A28" s="61" t="s">
        <v>623</v>
      </c>
      <c r="B28" s="92" t="str">
        <f>IF($A28=0,"",VLOOKUP($A28,'00_MO'!$A$4:$D$7,2,FALSE))</f>
        <v>Puntero</v>
      </c>
      <c r="C28" s="92" t="str">
        <f>IF($A28=0,"",VLOOKUP($A28,'00_MO'!$A$4:$D$7,3,FALSE))</f>
        <v>u</v>
      </c>
      <c r="D28" s="229">
        <v>2.0</v>
      </c>
      <c r="E28" s="229">
        <v>10.0</v>
      </c>
      <c r="F28" s="236">
        <v>0.25</v>
      </c>
      <c r="G28" s="217">
        <f t="shared" si="4"/>
        <v>25</v>
      </c>
      <c r="H28" s="143">
        <f>IF($A28=0,"",VLOOKUP($A28,'00_MO'!$A$4:$D$7,4,FALSE))</f>
        <v>105000</v>
      </c>
      <c r="I28" s="14">
        <f t="shared" si="5"/>
        <v>2625000</v>
      </c>
    </row>
    <row r="29" ht="14.25" customHeight="1">
      <c r="A29" s="61" t="s">
        <v>625</v>
      </c>
      <c r="B29" s="92" t="str">
        <f>IF($A29=0,"",VLOOKUP($A29,'00_MO'!$A$4:$D$7,2,FALSE))</f>
        <v>Oficial</v>
      </c>
      <c r="C29" s="92" t="str">
        <f>IF($A29=0,"",VLOOKUP($A29,'00_MO'!$A$4:$D$7,3,FALSE))</f>
        <v>u</v>
      </c>
      <c r="D29" s="229">
        <v>3.0</v>
      </c>
      <c r="E29" s="229">
        <v>10.0</v>
      </c>
      <c r="F29" s="236">
        <v>0.25</v>
      </c>
      <c r="G29" s="217">
        <f t="shared" si="4"/>
        <v>38</v>
      </c>
      <c r="H29" s="143">
        <f>IF($A29=0,"",VLOOKUP($A29,'00_MO'!$A$4:$D$7,4,FALSE))</f>
        <v>90000</v>
      </c>
      <c r="I29" s="14">
        <f t="shared" si="5"/>
        <v>3420000</v>
      </c>
    </row>
    <row r="30" ht="14.25" customHeight="1">
      <c r="A30" s="61" t="s">
        <v>627</v>
      </c>
      <c r="B30" s="92" t="str">
        <f>IF($A30=0,"",VLOOKUP($A30,'00_MO'!$A$4:$D$7,2,FALSE))</f>
        <v>Ayudante</v>
      </c>
      <c r="C30" s="92" t="str">
        <f>IF($A30=0,"",VLOOKUP($A30,'00_MO'!$A$4:$D$7,3,FALSE))</f>
        <v>u</v>
      </c>
      <c r="D30" s="229">
        <v>3.0</v>
      </c>
      <c r="E30" s="229">
        <v>10.0</v>
      </c>
      <c r="F30" s="236">
        <v>0.25</v>
      </c>
      <c r="G30" s="217">
        <f t="shared" si="4"/>
        <v>38</v>
      </c>
      <c r="H30" s="143">
        <f>IF($A30=0,"",VLOOKUP($A30,'00_MO'!$A$4:$D$7,4,FALSE))</f>
        <v>60000</v>
      </c>
      <c r="I30" s="14">
        <f t="shared" si="5"/>
        <v>2280000</v>
      </c>
    </row>
    <row r="31" ht="14.25" customHeight="1">
      <c r="A31" s="204"/>
      <c r="B31" s="92" t="str">
        <f>IF($A31=0,"",VLOOKUP($A31,'00_MO'!$A$4:$D$7,2,FALSE))</f>
        <v/>
      </c>
      <c r="C31" s="92" t="str">
        <f>IF($A31=0,"",VLOOKUP($A31,'00_MO'!$A$4:$D$7,3,FALSE))</f>
        <v/>
      </c>
      <c r="D31" s="204"/>
      <c r="E31" s="204"/>
      <c r="F31" s="206"/>
      <c r="G31" s="217">
        <f t="shared" si="4"/>
        <v>0</v>
      </c>
      <c r="H31" s="143" t="str">
        <f>IF($A31=0,"",VLOOKUP($A31,'00_MO'!$A$4:$D$7,4,FALSE))</f>
        <v/>
      </c>
      <c r="I31" s="143"/>
    </row>
    <row r="32" ht="14.25" customHeight="1">
      <c r="A32" s="204"/>
      <c r="B32" s="92" t="str">
        <f>IF($A32=0,"",VLOOKUP($A32,'00_MO'!$A$4:$D$7,2,FALSE))</f>
        <v/>
      </c>
      <c r="C32" s="92" t="str">
        <f>IF($A32=0,"",VLOOKUP($A32,'00_MO'!$A$4:$D$7,3,FALSE))</f>
        <v/>
      </c>
      <c r="D32" s="204"/>
      <c r="E32" s="204"/>
      <c r="F32" s="206"/>
      <c r="G32" s="217">
        <f t="shared" si="4"/>
        <v>0</v>
      </c>
      <c r="H32" s="143" t="str">
        <f>IF($A32=0,"",VLOOKUP($A32,'00_MO'!$A$4:$D$7,4,FALSE))</f>
        <v/>
      </c>
      <c r="I32" s="143"/>
    </row>
    <row r="33" ht="14.25" customHeight="1">
      <c r="F33" s="208"/>
      <c r="G33" s="3"/>
      <c r="H33" s="143"/>
      <c r="I33" s="143"/>
    </row>
    <row r="34" ht="14.25" customHeight="1">
      <c r="A34" s="222" t="s">
        <v>987</v>
      </c>
      <c r="B34" s="223"/>
      <c r="C34" s="223"/>
      <c r="D34" s="223"/>
      <c r="E34" s="223"/>
      <c r="F34" s="223"/>
      <c r="G34" s="211"/>
      <c r="H34" s="223"/>
      <c r="I34" s="224">
        <f>SUM(I27:I32)</f>
        <v>9885000</v>
      </c>
    </row>
    <row r="35" ht="14.25" customHeight="1">
      <c r="A35" s="232" t="str">
        <f>$I$3</f>
        <v>m²</v>
      </c>
      <c r="B35" s="233"/>
      <c r="C35" s="233"/>
      <c r="D35" s="233"/>
      <c r="E35" s="233"/>
      <c r="F35" s="233"/>
      <c r="G35" s="21"/>
      <c r="H35" s="233"/>
      <c r="I35" s="205">
        <f>$H$3</f>
        <v>282</v>
      </c>
      <c r="J35" s="92"/>
      <c r="K35" s="92"/>
      <c r="L35" s="92"/>
    </row>
    <row r="36" ht="14.25" customHeight="1">
      <c r="A36" s="234" t="s">
        <v>997</v>
      </c>
      <c r="B36" s="232" t="str">
        <f>A35</f>
        <v>m²</v>
      </c>
      <c r="C36" s="233"/>
      <c r="D36" s="233"/>
      <c r="E36" s="233"/>
      <c r="F36" s="233"/>
      <c r="G36" s="21"/>
      <c r="H36" s="233"/>
      <c r="I36" s="235">
        <f>I34/I35</f>
        <v>35053.19149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01" t="s">
        <v>1000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02" t="s">
        <v>988</v>
      </c>
      <c r="B40" s="202" t="s">
        <v>989</v>
      </c>
      <c r="C40" s="202" t="s">
        <v>990</v>
      </c>
      <c r="D40" s="202" t="s">
        <v>991</v>
      </c>
      <c r="E40" s="202" t="s">
        <v>999</v>
      </c>
      <c r="F40" s="202" t="s">
        <v>992</v>
      </c>
      <c r="G40" s="4" t="s">
        <v>993</v>
      </c>
      <c r="H40" s="202" t="s">
        <v>994</v>
      </c>
      <c r="I40" s="202" t="s">
        <v>995</v>
      </c>
    </row>
    <row r="41" ht="14.25" customHeight="1">
      <c r="A41" s="204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04"/>
      <c r="E41" s="204"/>
      <c r="F41" s="206"/>
      <c r="G41" s="217">
        <f t="shared" ref="G41:G46" si="6">ROUNDUP(((D41*E41)*(1+F41)),0)</f>
        <v>0</v>
      </c>
      <c r="H41" s="143" t="str">
        <f>IF($A41=0,"",VLOOKUP($A41,'00_Eq'!$A$4:$D$100,4,FALSE))</f>
        <v/>
      </c>
      <c r="I41" s="143"/>
    </row>
    <row r="42" ht="14.25" customHeight="1">
      <c r="A42" s="204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04"/>
      <c r="E42" s="204"/>
      <c r="F42" s="206"/>
      <c r="G42" s="217">
        <f t="shared" si="6"/>
        <v>0</v>
      </c>
      <c r="H42" s="143" t="str">
        <f>IF($A42=0,"",VLOOKUP($A42,'00_Eq'!$A$4:$D$100,4,FALSE))</f>
        <v/>
      </c>
      <c r="I42" s="143"/>
    </row>
    <row r="43" ht="14.25" customHeight="1">
      <c r="A43" s="204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04"/>
      <c r="E43" s="204"/>
      <c r="F43" s="206"/>
      <c r="G43" s="217">
        <f t="shared" si="6"/>
        <v>0</v>
      </c>
      <c r="H43" s="143" t="str">
        <f>IF($A43=0,"",VLOOKUP($A43,'00_Eq'!$A$4:$D$100,4,FALSE))</f>
        <v/>
      </c>
      <c r="I43" s="143"/>
    </row>
    <row r="44" ht="14.25" customHeight="1">
      <c r="A44" s="204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04"/>
      <c r="E44" s="204"/>
      <c r="F44" s="206"/>
      <c r="G44" s="217">
        <f t="shared" si="6"/>
        <v>0</v>
      </c>
      <c r="H44" s="143" t="str">
        <f>IF($A44=0,"",VLOOKUP($A44,'00_Eq'!$A$4:$D$100,4,FALSE))</f>
        <v/>
      </c>
      <c r="I44" s="143"/>
    </row>
    <row r="45" ht="14.25" customHeight="1">
      <c r="A45" s="204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04"/>
      <c r="E45" s="204"/>
      <c r="F45" s="206"/>
      <c r="G45" s="217">
        <f t="shared" si="6"/>
        <v>0</v>
      </c>
      <c r="H45" s="143" t="str">
        <f>IF($A45=0,"",VLOOKUP($A45,'00_Eq'!$A$4:$D$100,4,FALSE))</f>
        <v/>
      </c>
      <c r="I45" s="143"/>
    </row>
    <row r="46" ht="14.25" customHeight="1">
      <c r="A46" s="204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04"/>
      <c r="E46" s="204"/>
      <c r="F46" s="206"/>
      <c r="G46" s="217">
        <f t="shared" si="6"/>
        <v>0</v>
      </c>
      <c r="H46" s="143" t="str">
        <f>IF($A46=0,"",VLOOKUP($A46,'00_Eq'!$A$4:$D$100,4,FALSE))</f>
        <v/>
      </c>
      <c r="I46" s="143"/>
    </row>
    <row r="47" ht="14.25" customHeight="1">
      <c r="F47" s="208"/>
      <c r="G47" s="3"/>
      <c r="H47" s="143"/>
      <c r="I47" s="143"/>
    </row>
    <row r="48" ht="14.25" customHeight="1">
      <c r="A48" s="222" t="s">
        <v>987</v>
      </c>
      <c r="B48" s="223"/>
      <c r="C48" s="223"/>
      <c r="D48" s="223"/>
      <c r="E48" s="223"/>
      <c r="F48" s="223"/>
      <c r="G48" s="211"/>
      <c r="H48" s="223"/>
      <c r="I48" s="224">
        <f>SUM(I41:I46)</f>
        <v>0</v>
      </c>
    </row>
    <row r="49" ht="14.25" customHeight="1">
      <c r="A49" s="232" t="str">
        <f>$I$3</f>
        <v>m²</v>
      </c>
      <c r="B49" s="233"/>
      <c r="C49" s="233"/>
      <c r="D49" s="233"/>
      <c r="E49" s="233"/>
      <c r="F49" s="233"/>
      <c r="G49" s="21"/>
      <c r="H49" s="233"/>
      <c r="I49" s="205">
        <f>$H$3</f>
        <v>282</v>
      </c>
      <c r="J49" s="92"/>
      <c r="K49" s="92"/>
      <c r="L49" s="92"/>
    </row>
    <row r="50" ht="14.25" customHeight="1">
      <c r="A50" s="234" t="s">
        <v>997</v>
      </c>
      <c r="B50" s="232" t="str">
        <f>A49</f>
        <v>m²</v>
      </c>
      <c r="C50" s="233"/>
      <c r="D50" s="233"/>
      <c r="E50" s="233"/>
      <c r="F50" s="233"/>
      <c r="G50" s="21"/>
      <c r="H50" s="233"/>
      <c r="I50" s="235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01" t="s">
        <v>1010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02" t="s">
        <v>988</v>
      </c>
      <c r="B54" s="202" t="s">
        <v>989</v>
      </c>
      <c r="C54" s="202" t="s">
        <v>990</v>
      </c>
      <c r="D54" s="202" t="s">
        <v>991</v>
      </c>
      <c r="E54" s="202"/>
      <c r="F54" s="202" t="s">
        <v>992</v>
      </c>
      <c r="G54" s="4" t="s">
        <v>993</v>
      </c>
      <c r="H54" s="202" t="s">
        <v>994</v>
      </c>
      <c r="I54" s="202" t="s">
        <v>995</v>
      </c>
    </row>
    <row r="55" ht="14.25" customHeight="1">
      <c r="A55" s="204"/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05"/>
      <c r="E55" s="204"/>
      <c r="F55" s="206"/>
      <c r="G55" s="221">
        <f t="shared" ref="G55:G60" si="7">ROUNDUP((D55+(D55*F55)),0)</f>
        <v>0</v>
      </c>
      <c r="H55" s="143" t="str">
        <f>IF($A55=0,"",VLOOKUP($A55,'00_Mat'!$A$4:$J$1135,5,FALSE))</f>
        <v/>
      </c>
      <c r="I55" s="143">
        <f>G55*H55</f>
        <v>0</v>
      </c>
    </row>
    <row r="56" ht="14.25" customHeight="1">
      <c r="A56" s="204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05"/>
      <c r="E56" s="204"/>
      <c r="F56" s="206"/>
      <c r="G56" s="221">
        <f t="shared" si="7"/>
        <v>0</v>
      </c>
      <c r="H56" s="143" t="str">
        <f>IF($A56=0,"",VLOOKUP($A56,'00_Mat'!$A$4:$J$1135,5,FALSE))</f>
        <v/>
      </c>
      <c r="I56" s="143"/>
    </row>
    <row r="57" ht="14.25" customHeight="1">
      <c r="A57" s="204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05"/>
      <c r="E57" s="204"/>
      <c r="F57" s="206"/>
      <c r="G57" s="221">
        <f t="shared" si="7"/>
        <v>0</v>
      </c>
      <c r="H57" s="143" t="str">
        <f>IF($A57=0,"",VLOOKUP($A57,'00_Mat'!$A$4:$J$1135,5,FALSE))</f>
        <v/>
      </c>
      <c r="I57" s="143"/>
    </row>
    <row r="58" ht="14.25" customHeight="1">
      <c r="A58" s="204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05"/>
      <c r="E58" s="204"/>
      <c r="F58" s="206"/>
      <c r="G58" s="221">
        <f t="shared" si="7"/>
        <v>0</v>
      </c>
      <c r="H58" s="143" t="str">
        <f>IF($A58=0,"",VLOOKUP($A58,'00_Mat'!$A$4:$J$1135,5,FALSE))</f>
        <v/>
      </c>
      <c r="I58" s="143"/>
    </row>
    <row r="59" ht="14.25" customHeight="1">
      <c r="A59" s="204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05"/>
      <c r="E59" s="204"/>
      <c r="F59" s="206"/>
      <c r="G59" s="221">
        <f t="shared" si="7"/>
        <v>0</v>
      </c>
      <c r="H59" s="143" t="str">
        <f>IF($A59=0,"",VLOOKUP($A59,'00_Mat'!$A$4:$J$1135,5,FALSE))</f>
        <v/>
      </c>
      <c r="I59" s="143"/>
    </row>
    <row r="60" ht="14.25" customHeight="1">
      <c r="A60" s="204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05"/>
      <c r="E60" s="204"/>
      <c r="F60" s="206"/>
      <c r="G60" s="221">
        <f t="shared" si="7"/>
        <v>0</v>
      </c>
      <c r="H60" s="143" t="str">
        <f>IF($A60=0,"",VLOOKUP($A60,'00_Mat'!$A$4:$J$1135,5,FALSE))</f>
        <v/>
      </c>
      <c r="I60" s="143"/>
    </row>
    <row r="61" ht="14.25" customHeight="1">
      <c r="F61" s="208"/>
      <c r="G61" s="3"/>
      <c r="H61" s="143"/>
      <c r="I61" s="143"/>
    </row>
    <row r="62" ht="14.25" customHeight="1">
      <c r="A62" s="222" t="s">
        <v>987</v>
      </c>
      <c r="B62" s="223"/>
      <c r="C62" s="223"/>
      <c r="D62" s="223"/>
      <c r="E62" s="223"/>
      <c r="F62" s="223"/>
      <c r="G62" s="211"/>
      <c r="H62" s="223"/>
      <c r="I62" s="224">
        <f>SUM(I55:I60)</f>
        <v>0</v>
      </c>
    </row>
    <row r="63" ht="14.25" customHeight="1">
      <c r="A63" s="232" t="str">
        <f>$I$3</f>
        <v>m²</v>
      </c>
      <c r="B63" s="233"/>
      <c r="C63" s="233"/>
      <c r="D63" s="233"/>
      <c r="E63" s="233"/>
      <c r="F63" s="233"/>
      <c r="G63" s="21"/>
      <c r="H63" s="233"/>
      <c r="I63" s="205">
        <f>$H$3</f>
        <v>282</v>
      </c>
      <c r="J63" s="92"/>
      <c r="K63" s="92"/>
      <c r="L63" s="92"/>
    </row>
    <row r="64" ht="14.25" customHeight="1">
      <c r="A64" s="234" t="s">
        <v>997</v>
      </c>
      <c r="B64" s="232" t="str">
        <f>A63</f>
        <v>m²</v>
      </c>
      <c r="C64" s="233"/>
      <c r="D64" s="233"/>
      <c r="E64" s="233"/>
      <c r="F64" s="233"/>
      <c r="G64" s="21"/>
      <c r="H64" s="233"/>
      <c r="I64" s="235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01" t="s">
        <v>1025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02" t="s">
        <v>988</v>
      </c>
      <c r="B68" s="202" t="s">
        <v>989</v>
      </c>
      <c r="C68" s="202" t="s">
        <v>990</v>
      </c>
      <c r="D68" s="202" t="s">
        <v>991</v>
      </c>
      <c r="E68" s="202" t="s">
        <v>999</v>
      </c>
      <c r="F68" s="202" t="s">
        <v>992</v>
      </c>
      <c r="G68" s="4" t="s">
        <v>993</v>
      </c>
      <c r="H68" s="202" t="s">
        <v>994</v>
      </c>
      <c r="I68" s="202" t="s">
        <v>995</v>
      </c>
    </row>
    <row r="69" ht="14.25" customHeight="1">
      <c r="A69" s="20"/>
      <c r="B69" s="92" t="str">
        <f>IF($A69=0,"",VLOOKUP($A69,'00_Sub'!$A$4:$D$1007,2,FALSE))</f>
        <v/>
      </c>
      <c r="C69" s="92" t="str">
        <f>IF($A69=0,"",VLOOKUP($A69,'00_Sub'!$A$4:$D$1007,3,FALSE))</f>
        <v/>
      </c>
      <c r="D69" s="205">
        <f>L6</f>
        <v>282</v>
      </c>
      <c r="E69" s="204"/>
      <c r="F69" s="236">
        <v>0.5</v>
      </c>
      <c r="G69" s="221">
        <f t="shared" ref="G69:G74" si="8">ROUNDUP((D69+(D69*F69)),0)</f>
        <v>423</v>
      </c>
      <c r="H69" s="143" t="str">
        <f>IF($A69=0,"",VLOOKUP($A69,'00_Sub'!$A$4:$D$1007,4,FALSE))</f>
        <v/>
      </c>
      <c r="I69" s="143">
        <f>G69*H69</f>
        <v>0</v>
      </c>
    </row>
    <row r="70" ht="14.25" customHeight="1">
      <c r="A70" s="204"/>
      <c r="B70" s="92" t="str">
        <f>IF($A70=0,"",VLOOKUP($A70,'00_Sub'!$A$4:$D$1007,2,FALSE))</f>
        <v/>
      </c>
      <c r="C70" s="92" t="str">
        <f>IF($A70=0,"",VLOOKUP($A70,'00_Sub'!$A$4:$D$1007,3,FALSE))</f>
        <v/>
      </c>
      <c r="D70" s="204"/>
      <c r="E70" s="204"/>
      <c r="F70" s="206"/>
      <c r="G70" s="221">
        <f t="shared" si="8"/>
        <v>0</v>
      </c>
      <c r="H70" s="143" t="str">
        <f>IF($A70=0,"",VLOOKUP($A70,'00_Sub'!$A$4:$D$1007,4,FALSE))</f>
        <v/>
      </c>
      <c r="I70" s="143"/>
    </row>
    <row r="71" ht="14.25" customHeight="1">
      <c r="A71" s="204"/>
      <c r="B71" s="92" t="str">
        <f>IF($A71=0,"",VLOOKUP($A71,'00_Sub'!$A$4:$D$1007,2,FALSE))</f>
        <v/>
      </c>
      <c r="C71" s="92" t="str">
        <f>IF($A71=0,"",VLOOKUP($A71,'00_Sub'!$A$4:$D$1007,3,FALSE))</f>
        <v/>
      </c>
      <c r="D71" s="204"/>
      <c r="E71" s="204"/>
      <c r="F71" s="206"/>
      <c r="G71" s="221">
        <f t="shared" si="8"/>
        <v>0</v>
      </c>
      <c r="H71" s="143" t="str">
        <f>IF($A71=0,"",VLOOKUP($A71,'00_Sub'!$A$4:$D$1007,4,FALSE))</f>
        <v/>
      </c>
      <c r="I71" s="143"/>
    </row>
    <row r="72" ht="14.25" customHeight="1">
      <c r="A72" s="204"/>
      <c r="B72" s="92" t="str">
        <f>IF($A72=0,"",VLOOKUP($A72,'00_Sub'!$A$4:$D$1007,2,FALSE))</f>
        <v/>
      </c>
      <c r="C72" s="92" t="str">
        <f>IF($A72=0,"",VLOOKUP($A72,'00_Sub'!$A$4:$D$1007,3,FALSE))</f>
        <v/>
      </c>
      <c r="D72" s="204"/>
      <c r="E72" s="204"/>
      <c r="F72" s="206"/>
      <c r="G72" s="221">
        <f t="shared" si="8"/>
        <v>0</v>
      </c>
      <c r="H72" s="143" t="str">
        <f>IF($A72=0,"",VLOOKUP($A72,'00_Sub'!$A$4:$D$1007,4,FALSE))</f>
        <v/>
      </c>
      <c r="I72" s="143"/>
    </row>
    <row r="73" ht="14.25" customHeight="1">
      <c r="A73" s="204"/>
      <c r="B73" s="92" t="str">
        <f>IF($A73=0,"",VLOOKUP($A73,'00_Sub'!$A$4:$D$1007,2,FALSE))</f>
        <v/>
      </c>
      <c r="C73" s="92" t="str">
        <f>IF($A73=0,"",VLOOKUP($A73,'00_Sub'!$A$4:$D$1007,3,FALSE))</f>
        <v/>
      </c>
      <c r="D73" s="204"/>
      <c r="E73" s="204"/>
      <c r="F73" s="206"/>
      <c r="G73" s="221">
        <f t="shared" si="8"/>
        <v>0</v>
      </c>
      <c r="H73" s="143" t="str">
        <f>IF($A73=0,"",VLOOKUP($A73,'00_Sub'!$A$4:$D$1007,4,FALSE))</f>
        <v/>
      </c>
      <c r="I73" s="143"/>
    </row>
    <row r="74" ht="14.25" customHeight="1">
      <c r="A74" s="204"/>
      <c r="B74" s="92" t="str">
        <f>IF($A74=0,"",VLOOKUP($A74,'00_Sub'!$A$4:$D$1007,2,FALSE))</f>
        <v/>
      </c>
      <c r="C74" s="92" t="str">
        <f>IF($A74=0,"",VLOOKUP($A74,'00_Sub'!$A$4:$D$1007,3,FALSE))</f>
        <v/>
      </c>
      <c r="D74" s="204"/>
      <c r="E74" s="204"/>
      <c r="F74" s="206"/>
      <c r="G74" s="221">
        <f t="shared" si="8"/>
        <v>0</v>
      </c>
      <c r="H74" s="143" t="str">
        <f>IF($A74=0,"",VLOOKUP($A74,'00_Sub'!$A$4:$D$1007,4,FALSE))</f>
        <v/>
      </c>
      <c r="I74" s="143"/>
    </row>
    <row r="75" ht="14.25" customHeight="1">
      <c r="F75" s="208"/>
      <c r="G75" s="3"/>
      <c r="H75" s="143"/>
      <c r="I75" s="143"/>
    </row>
    <row r="76" ht="14.25" customHeight="1">
      <c r="A76" s="222" t="s">
        <v>987</v>
      </c>
      <c r="B76" s="223"/>
      <c r="C76" s="223"/>
      <c r="D76" s="223"/>
      <c r="E76" s="223"/>
      <c r="F76" s="223"/>
      <c r="G76" s="211"/>
      <c r="H76" s="223"/>
      <c r="I76" s="224">
        <f>SUM(I69:I74)</f>
        <v>0</v>
      </c>
    </row>
    <row r="77" ht="14.25" customHeight="1">
      <c r="A77" s="232" t="str">
        <f>$I$3</f>
        <v>m²</v>
      </c>
      <c r="B77" s="233"/>
      <c r="C77" s="233"/>
      <c r="D77" s="233"/>
      <c r="E77" s="233"/>
      <c r="F77" s="233"/>
      <c r="G77" s="21"/>
      <c r="H77" s="233"/>
      <c r="I77" s="205">
        <f>$H$3</f>
        <v>282</v>
      </c>
      <c r="J77" s="92"/>
      <c r="K77" s="92"/>
      <c r="L77" s="92"/>
    </row>
    <row r="78" ht="14.25" customHeight="1">
      <c r="A78" s="234" t="s">
        <v>997</v>
      </c>
      <c r="B78" s="232" t="str">
        <f>A77</f>
        <v>m²</v>
      </c>
      <c r="C78" s="233"/>
      <c r="D78" s="233"/>
      <c r="E78" s="233"/>
      <c r="F78" s="233"/>
      <c r="G78" s="21"/>
      <c r="H78" s="233"/>
      <c r="I78" s="235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1" width="8.71"/>
    <col customWidth="1" min="12" max="12" width="10.14"/>
    <col customWidth="1" min="13" max="13" width="30.29"/>
  </cols>
  <sheetData>
    <row r="1" ht="33.75" customHeight="1">
      <c r="A1" s="91" t="str">
        <f>'01_C&amp;P'!A1</f>
        <v>EDIFICIO LAS HERAS</v>
      </c>
      <c r="B1" s="91"/>
      <c r="C1" s="91"/>
      <c r="G1" s="3"/>
    </row>
    <row r="2" ht="14.25" customHeight="1">
      <c r="G2" s="3"/>
    </row>
    <row r="3" ht="23.25" customHeight="1">
      <c r="A3" s="195">
        <f>'01_C&amp;P'!A38</f>
        <v>45293</v>
      </c>
      <c r="B3" s="196" t="str">
        <f>IF($A3=0,"",VLOOKUP($A3,'01_C&amp;P'!$A$9:$D$192,2,FALSE))</f>
        <v>COLUMNAS Y TABIQUES</v>
      </c>
      <c r="C3" s="197"/>
      <c r="D3" s="197"/>
      <c r="E3" s="197"/>
      <c r="F3" s="197"/>
      <c r="G3" s="198"/>
      <c r="H3" s="199">
        <f>IF($A3=0,"",VLOOKUP($A3,'01_C&amp;P'!$A$9:$D$192,4,FALSE))</f>
        <v>31</v>
      </c>
      <c r="I3" s="200" t="str">
        <f>IF($A3=0,"",VLOOKUP($A3,'01_C&amp;P'!$A$9:$D$192,3,FALSE))</f>
        <v>m³</v>
      </c>
      <c r="M3" s="246" t="s">
        <v>1064</v>
      </c>
    </row>
    <row r="4" ht="14.25" customHeight="1">
      <c r="G4" s="3"/>
    </row>
    <row r="5" ht="14.25" customHeight="1">
      <c r="A5" s="201" t="s">
        <v>0</v>
      </c>
      <c r="B5" s="94"/>
      <c r="C5" s="94"/>
      <c r="D5" s="94"/>
      <c r="E5" s="94"/>
      <c r="F5" s="94"/>
      <c r="G5" s="2"/>
      <c r="H5" s="94"/>
      <c r="I5" s="94"/>
    </row>
    <row r="6" ht="14.25" customHeight="1">
      <c r="A6" s="202" t="s">
        <v>988</v>
      </c>
      <c r="B6" s="202" t="s">
        <v>989</v>
      </c>
      <c r="C6" s="202" t="s">
        <v>990</v>
      </c>
      <c r="D6" s="203" t="s">
        <v>991</v>
      </c>
      <c r="E6" s="197"/>
      <c r="F6" s="202" t="s">
        <v>992</v>
      </c>
      <c r="G6" s="4" t="s">
        <v>993</v>
      </c>
      <c r="H6" s="202" t="s">
        <v>994</v>
      </c>
      <c r="I6" s="202" t="s">
        <v>995</v>
      </c>
    </row>
    <row r="7" ht="14.25" customHeight="1">
      <c r="A7" s="229" t="s">
        <v>560</v>
      </c>
      <c r="B7" s="92" t="str">
        <f>IF($A7=0,"",VLOOKUP($A7,'00_Mat'!$A$4:$J$1135,2,FALSE))</f>
        <v>Hormigon H30</v>
      </c>
      <c r="C7" s="92" t="str">
        <f>IF($A7=0,"",VLOOKUP($A7,'00_Mat'!$A$4:$J$1135,3,FALSE))</f>
        <v>m3</v>
      </c>
      <c r="D7" s="230">
        <v>31.0</v>
      </c>
      <c r="E7" s="204"/>
      <c r="F7" s="206">
        <v>0.1</v>
      </c>
      <c r="G7" s="221">
        <f t="shared" ref="G7:G18" si="1">ROUNDUP((D7+(D7*F7)),0)</f>
        <v>35</v>
      </c>
      <c r="H7" s="143">
        <f>IF($A7=0,"",VLOOKUP($A7,'00_Mat'!$A$4:$J$1135,5,FALSE))</f>
        <v>158000</v>
      </c>
      <c r="I7" s="143">
        <f t="shared" ref="I7:I18" si="2">G7*H7</f>
        <v>5530000</v>
      </c>
      <c r="J7" s="231" t="s">
        <v>548</v>
      </c>
    </row>
    <row r="8" ht="14.25" customHeight="1">
      <c r="A8" s="3" t="s">
        <v>132</v>
      </c>
      <c r="B8" s="92" t="str">
        <f>IF($A8=0,"",VLOOKUP($A8,'00_Mat'!$A$4:$J$1135,2,FALSE))</f>
        <v>Hierros ADN 420 Φ 6 </v>
      </c>
      <c r="C8" s="92" t="str">
        <f>IF($A8=0,"",VLOOKUP($A8,'00_Mat'!$A$4:$J$1135,3,FALSE))</f>
        <v>u</v>
      </c>
      <c r="D8" s="230">
        <v>266.0</v>
      </c>
      <c r="E8" s="204"/>
      <c r="F8" s="206">
        <v>0.1</v>
      </c>
      <c r="G8" s="221">
        <f t="shared" si="1"/>
        <v>293</v>
      </c>
      <c r="H8" s="143">
        <f>IF($A8=0,"",VLOOKUP($A8,'00_Mat'!$A$4:$J$1135,5,FALSE))</f>
        <v>5250</v>
      </c>
      <c r="I8" s="143">
        <f t="shared" si="2"/>
        <v>1538250</v>
      </c>
      <c r="J8" s="153" t="s">
        <v>1028</v>
      </c>
    </row>
    <row r="9" ht="14.25" customHeight="1">
      <c r="A9" s="3" t="s">
        <v>134</v>
      </c>
      <c r="B9" s="92" t="str">
        <f>IF($A9=0,"",VLOOKUP($A9,'00_Mat'!$A$4:$J$1135,2,FALSE))</f>
        <v>Hierros ADN 420 Φ 8</v>
      </c>
      <c r="C9" s="92" t="str">
        <f>IF($A9=0,"",VLOOKUP($A9,'00_Mat'!$A$4:$J$1135,3,FALSE))</f>
        <v>u</v>
      </c>
      <c r="D9" s="229">
        <v>50.0</v>
      </c>
      <c r="E9" s="204"/>
      <c r="F9" s="206">
        <v>0.1</v>
      </c>
      <c r="G9" s="221">
        <f t="shared" si="1"/>
        <v>55</v>
      </c>
      <c r="H9" s="143">
        <f>IF($A9=0,"",VLOOKUP($A9,'00_Mat'!$A$4:$J$1135,5,FALSE))</f>
        <v>9050</v>
      </c>
      <c r="I9" s="143">
        <f t="shared" si="2"/>
        <v>497750</v>
      </c>
    </row>
    <row r="10" ht="14.25" customHeight="1">
      <c r="A10" s="3" t="s">
        <v>136</v>
      </c>
      <c r="B10" s="92" t="str">
        <f>IF($A10=0,"",VLOOKUP($A10,'00_Mat'!$A$4:$J$1135,2,FALSE))</f>
        <v>Hierros ADN 420Φ 10</v>
      </c>
      <c r="C10" s="92" t="str">
        <f>IF($A10=0,"",VLOOKUP($A10,'00_Mat'!$A$4:$J$1135,3,FALSE))</f>
        <v>u</v>
      </c>
      <c r="D10" s="229">
        <v>15.0</v>
      </c>
      <c r="E10" s="204"/>
      <c r="F10" s="206">
        <v>0.1</v>
      </c>
      <c r="G10" s="221">
        <f t="shared" si="1"/>
        <v>17</v>
      </c>
      <c r="H10" s="143">
        <f>IF($A10=0,"",VLOOKUP($A10,'00_Mat'!$A$4:$J$1135,5,FALSE))</f>
        <v>11237</v>
      </c>
      <c r="I10" s="143">
        <f t="shared" si="2"/>
        <v>191029</v>
      </c>
    </row>
    <row r="11" ht="14.25" customHeight="1">
      <c r="A11" s="3" t="s">
        <v>138</v>
      </c>
      <c r="B11" s="92" t="str">
        <f>IF($A11=0,"",VLOOKUP($A11,'00_Mat'!$A$4:$J$1135,2,FALSE))</f>
        <v>Hierros ADN 420 Φ 12</v>
      </c>
      <c r="C11" s="92" t="str">
        <f>IF($A11=0,"",VLOOKUP($A11,'00_Mat'!$A$4:$J$1135,3,FALSE))</f>
        <v>u</v>
      </c>
      <c r="D11" s="229">
        <v>44.0</v>
      </c>
      <c r="E11" s="204"/>
      <c r="F11" s="206">
        <v>0.1</v>
      </c>
      <c r="G11" s="221">
        <f t="shared" si="1"/>
        <v>49</v>
      </c>
      <c r="H11" s="143">
        <f>IF($A11=0,"",VLOOKUP($A11,'00_Mat'!$A$4:$J$1135,5,FALSE))</f>
        <v>20442.5</v>
      </c>
      <c r="I11" s="143">
        <f t="shared" si="2"/>
        <v>1001682.5</v>
      </c>
    </row>
    <row r="12" ht="14.25" customHeight="1">
      <c r="A12" s="3" t="s">
        <v>140</v>
      </c>
      <c r="B12" s="92" t="str">
        <f>IF($A12=0,"",VLOOKUP($A12,'00_Mat'!$A$4:$J$1135,2,FALSE))</f>
        <v>Hierros ADN 420 Φ 16</v>
      </c>
      <c r="C12" s="92" t="str">
        <f>IF($A12=0,"",VLOOKUP($A12,'00_Mat'!$A$4:$J$1135,3,FALSE))</f>
        <v>u</v>
      </c>
      <c r="D12" s="229">
        <v>65.0</v>
      </c>
      <c r="E12" s="204"/>
      <c r="F12" s="206">
        <v>0.1</v>
      </c>
      <c r="G12" s="221">
        <f t="shared" si="1"/>
        <v>72</v>
      </c>
      <c r="H12" s="143">
        <f>IF($A12=0,"",VLOOKUP($A12,'00_Mat'!$A$4:$J$1135,5,FALSE))</f>
        <v>36603.12</v>
      </c>
      <c r="I12" s="143">
        <f t="shared" si="2"/>
        <v>2635424.64</v>
      </c>
    </row>
    <row r="13" ht="14.25" customHeight="1">
      <c r="A13" s="20" t="s">
        <v>142</v>
      </c>
      <c r="B13" s="92" t="str">
        <f>IF($A13=0,"",VLOOKUP($A13,'00_Mat'!$A$4:$J$1135,2,FALSE))</f>
        <v>Hierros ADN 420 Φ 20</v>
      </c>
      <c r="C13" s="92" t="str">
        <f>IF($A13=0,"",VLOOKUP($A13,'00_Mat'!$A$4:$J$1135,3,FALSE))</f>
        <v>U</v>
      </c>
      <c r="D13" s="229">
        <v>12.0</v>
      </c>
      <c r="E13" s="204"/>
      <c r="F13" s="206">
        <v>0.1</v>
      </c>
      <c r="G13" s="221">
        <f t="shared" si="1"/>
        <v>14</v>
      </c>
      <c r="H13" s="143">
        <f>IF($A13=0,"",VLOOKUP($A13,'00_Mat'!$A$4:$J$1135,5,FALSE))</f>
        <v>55000</v>
      </c>
      <c r="I13" s="143">
        <f t="shared" si="2"/>
        <v>770000</v>
      </c>
    </row>
    <row r="14" ht="14.25" customHeight="1">
      <c r="A14" s="3" t="s">
        <v>300</v>
      </c>
      <c r="B14" s="92" t="str">
        <f>IF($A14=0,"",VLOOKUP($A14,'00_Mat'!$A$4:$J$1135,2,FALSE))</f>
        <v>Fenolico 18mm Miraluz 125 GR con film</v>
      </c>
      <c r="C14" s="92" t="str">
        <f>IF($A14=0,"",VLOOKUP($A14,'00_Mat'!$A$4:$J$1135,3,FALSE))</f>
        <v>u</v>
      </c>
      <c r="D14" s="229">
        <f>31/2</f>
        <v>15.5</v>
      </c>
      <c r="E14" s="204"/>
      <c r="F14" s="236">
        <v>0.25</v>
      </c>
      <c r="G14" s="221">
        <f t="shared" si="1"/>
        <v>20</v>
      </c>
      <c r="H14" s="143">
        <f>IF($A14=0,"",VLOOKUP($A14,'00_Mat'!$A$4:$J$1135,5,FALSE))</f>
        <v>55260</v>
      </c>
      <c r="I14" s="143">
        <f t="shared" si="2"/>
        <v>1105200</v>
      </c>
      <c r="J14" s="153" t="s">
        <v>1029</v>
      </c>
    </row>
    <row r="15" ht="14.25" customHeight="1">
      <c r="A15" s="3" t="s">
        <v>303</v>
      </c>
      <c r="B15" s="92" t="str">
        <f>IF($A15=0,"",VLOOKUP($A15,'00_Mat'!$A$4:$J$1135,2,FALSE))</f>
        <v>Fenolico 18mm Grandis 2 Buenas cal 3/3</v>
      </c>
      <c r="C15" s="92" t="str">
        <f>IF($A15=0,"",VLOOKUP($A15,'00_Mat'!$A$4:$J$1135,3,FALSE))</f>
        <v>u</v>
      </c>
      <c r="D15" s="229">
        <f>91/2</f>
        <v>45.5</v>
      </c>
      <c r="E15" s="204"/>
      <c r="F15" s="236">
        <v>0.25</v>
      </c>
      <c r="G15" s="221">
        <f t="shared" si="1"/>
        <v>57</v>
      </c>
      <c r="H15" s="143">
        <f>IF($A15=0,"",VLOOKUP($A15,'00_Mat'!$A$4:$J$1135,5,FALSE))</f>
        <v>45454</v>
      </c>
      <c r="I15" s="143">
        <f t="shared" si="2"/>
        <v>2590878</v>
      </c>
      <c r="J15" s="153" t="s">
        <v>1030</v>
      </c>
    </row>
    <row r="16" ht="14.25" customHeight="1">
      <c r="A16" s="3" t="s">
        <v>602</v>
      </c>
      <c r="B16" s="92" t="str">
        <f>IF($A16=0,"",VLOOKUP($A16,'00_Mat'!$A$4:$J$1135,2,FALSE))</f>
        <v>Bomba Pluma Traslado e Instalacion</v>
      </c>
      <c r="C16" s="92" t="str">
        <f>IF($A16=0,"",VLOOKUP($A16,'00_Mat'!$A$4:$J$1135,3,FALSE))</f>
        <v>u</v>
      </c>
      <c r="D16" s="229">
        <v>1.0</v>
      </c>
      <c r="E16" s="204"/>
      <c r="F16" s="206"/>
      <c r="G16" s="221">
        <f t="shared" si="1"/>
        <v>1</v>
      </c>
      <c r="H16" s="143">
        <f>IF($A16=0,"",VLOOKUP($A16,'00_Mat'!$A$4:$J$1135,5,FALSE))</f>
        <v>600000</v>
      </c>
      <c r="I16" s="143">
        <f t="shared" si="2"/>
        <v>600000</v>
      </c>
      <c r="J16" s="153" t="s">
        <v>1031</v>
      </c>
    </row>
    <row r="17" ht="14.25" customHeight="1">
      <c r="A17" s="3" t="s">
        <v>604</v>
      </c>
      <c r="B17" s="92" t="str">
        <f>IF($A17=0,"",VLOOKUP($A17,'00_Mat'!$A$4:$J$1135,2,FALSE))</f>
        <v>Bomba Pluma m3 bombeable</v>
      </c>
      <c r="C17" s="92" t="str">
        <f>IF($A17=0,"",VLOOKUP($A17,'00_Mat'!$A$4:$J$1135,3,FALSE))</f>
        <v>m3</v>
      </c>
      <c r="D17" s="205">
        <f>D7</f>
        <v>31</v>
      </c>
      <c r="E17" s="204"/>
      <c r="F17" s="206">
        <v>0.1</v>
      </c>
      <c r="G17" s="221">
        <f t="shared" si="1"/>
        <v>35</v>
      </c>
      <c r="H17" s="143">
        <f>IF($A17=0,"",VLOOKUP($A17,'00_Mat'!$A$4:$J$1135,5,FALSE))</f>
        <v>6000</v>
      </c>
      <c r="I17" s="143">
        <f t="shared" si="2"/>
        <v>210000</v>
      </c>
      <c r="J17" s="153" t="s">
        <v>1032</v>
      </c>
    </row>
    <row r="18" ht="14.25" customHeight="1">
      <c r="A18" s="204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04"/>
      <c r="E18" s="204"/>
      <c r="F18" s="206">
        <v>0.1</v>
      </c>
      <c r="G18" s="221">
        <f t="shared" si="1"/>
        <v>0</v>
      </c>
      <c r="H18" s="143" t="str">
        <f>IF($A18=0,"",VLOOKUP($A18,'00_Mat'!$A$4:$J$1135,5,FALSE))</f>
        <v/>
      </c>
      <c r="I18" s="143">
        <f t="shared" si="2"/>
        <v>0</v>
      </c>
    </row>
    <row r="19" ht="14.25" customHeight="1">
      <c r="F19" s="208"/>
      <c r="G19" s="3"/>
      <c r="H19" s="143"/>
      <c r="I19" s="143"/>
    </row>
    <row r="20" ht="14.25" customHeight="1">
      <c r="A20" s="222" t="s">
        <v>996</v>
      </c>
      <c r="B20" s="223"/>
      <c r="C20" s="223"/>
      <c r="D20" s="223"/>
      <c r="E20" s="223"/>
      <c r="F20" s="223"/>
      <c r="G20" s="211"/>
      <c r="H20" s="223"/>
      <c r="I20" s="224">
        <f>SUM(I7:I18)</f>
        <v>16670214.14</v>
      </c>
      <c r="J20" s="92"/>
      <c r="K20" s="92"/>
      <c r="L20" s="92"/>
    </row>
    <row r="21" ht="14.25" customHeight="1">
      <c r="A21" s="232" t="str">
        <f>$I$3</f>
        <v>m³</v>
      </c>
      <c r="B21" s="233"/>
      <c r="C21" s="233"/>
      <c r="D21" s="233"/>
      <c r="E21" s="233"/>
      <c r="F21" s="233"/>
      <c r="G21" s="21"/>
      <c r="H21" s="233"/>
      <c r="I21" s="205">
        <f>$H$3</f>
        <v>31</v>
      </c>
      <c r="J21" s="92"/>
      <c r="K21" s="92"/>
      <c r="L21" s="92"/>
    </row>
    <row r="22" ht="14.25" customHeight="1">
      <c r="A22" s="234" t="s">
        <v>997</v>
      </c>
      <c r="B22" s="232" t="str">
        <f>A21</f>
        <v>m³</v>
      </c>
      <c r="C22" s="233"/>
      <c r="D22" s="233"/>
      <c r="E22" s="233"/>
      <c r="F22" s="233"/>
      <c r="G22" s="21"/>
      <c r="H22" s="233"/>
      <c r="I22" s="235">
        <f>I20/I21</f>
        <v>537748.8432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01" t="s">
        <v>998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02" t="s">
        <v>988</v>
      </c>
      <c r="B26" s="202" t="s">
        <v>989</v>
      </c>
      <c r="C26" s="202" t="s">
        <v>990</v>
      </c>
      <c r="D26" s="202" t="s">
        <v>991</v>
      </c>
      <c r="E26" s="202" t="s">
        <v>999</v>
      </c>
      <c r="F26" s="202" t="s">
        <v>992</v>
      </c>
      <c r="G26" s="4" t="s">
        <v>993</v>
      </c>
      <c r="H26" s="202" t="s">
        <v>994</v>
      </c>
      <c r="I26" s="202" t="s">
        <v>995</v>
      </c>
    </row>
    <row r="27" ht="14.25" customHeight="1">
      <c r="A27" s="61" t="s">
        <v>621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29">
        <v>1.0</v>
      </c>
      <c r="E27" s="229">
        <v>12.0</v>
      </c>
      <c r="F27" s="236">
        <v>0.25</v>
      </c>
      <c r="G27" s="217">
        <f t="shared" ref="G27:G32" si="3">ROUNDUP(((D27*E27)*(1+F27)),0)</f>
        <v>15</v>
      </c>
      <c r="H27" s="143">
        <f>IF($A27=0,"",VLOOKUP($A27,'00_MO'!$A$4:$D$7,4,FALSE))</f>
        <v>120000</v>
      </c>
      <c r="I27" s="143">
        <f t="shared" ref="I27:I32" si="4">G27*H27</f>
        <v>1800000</v>
      </c>
      <c r="K27" s="153" t="s">
        <v>1065</v>
      </c>
    </row>
    <row r="28" ht="14.25" customHeight="1">
      <c r="A28" s="61" t="s">
        <v>623</v>
      </c>
      <c r="B28" s="92" t="str">
        <f>IF($A28=0,"",VLOOKUP($A28,'00_MO'!$A$4:$D$7,2,FALSE))</f>
        <v>Puntero</v>
      </c>
      <c r="C28" s="92" t="str">
        <f>IF($A28=0,"",VLOOKUP($A28,'00_MO'!$A$4:$D$7,3,FALSE))</f>
        <v>u</v>
      </c>
      <c r="D28" s="229">
        <v>2.0</v>
      </c>
      <c r="E28" s="229">
        <v>12.0</v>
      </c>
      <c r="F28" s="236">
        <v>0.25</v>
      </c>
      <c r="G28" s="217">
        <f t="shared" si="3"/>
        <v>30</v>
      </c>
      <c r="H28" s="143">
        <f>IF($A28=0,"",VLOOKUP($A28,'00_MO'!$A$4:$D$7,4,FALSE))</f>
        <v>105000</v>
      </c>
      <c r="I28" s="143">
        <f t="shared" si="4"/>
        <v>3150000</v>
      </c>
    </row>
    <row r="29" ht="14.25" customHeight="1">
      <c r="A29" s="61" t="s">
        <v>625</v>
      </c>
      <c r="B29" s="92" t="str">
        <f>IF($A29=0,"",VLOOKUP($A29,'00_MO'!$A$4:$D$7,2,FALSE))</f>
        <v>Oficial</v>
      </c>
      <c r="C29" s="92" t="str">
        <f>IF($A29=0,"",VLOOKUP($A29,'00_MO'!$A$4:$D$7,3,FALSE))</f>
        <v>u</v>
      </c>
      <c r="D29" s="229">
        <v>3.0</v>
      </c>
      <c r="E29" s="229">
        <v>12.0</v>
      </c>
      <c r="F29" s="236">
        <v>0.25</v>
      </c>
      <c r="G29" s="217">
        <f t="shared" si="3"/>
        <v>45</v>
      </c>
      <c r="H29" s="143">
        <f>IF($A29=0,"",VLOOKUP($A29,'00_MO'!$A$4:$D$7,4,FALSE))</f>
        <v>90000</v>
      </c>
      <c r="I29" s="143">
        <f t="shared" si="4"/>
        <v>4050000</v>
      </c>
    </row>
    <row r="30" ht="14.25" customHeight="1">
      <c r="A30" s="61" t="s">
        <v>627</v>
      </c>
      <c r="B30" s="92" t="str">
        <f>IF($A30=0,"",VLOOKUP($A30,'00_MO'!$A$4:$D$7,2,FALSE))</f>
        <v>Ayudante</v>
      </c>
      <c r="C30" s="92" t="str">
        <f>IF($A30=0,"",VLOOKUP($A30,'00_MO'!$A$4:$D$7,3,FALSE))</f>
        <v>u</v>
      </c>
      <c r="D30" s="229">
        <v>3.0</v>
      </c>
      <c r="E30" s="229">
        <v>12.0</v>
      </c>
      <c r="F30" s="236">
        <v>0.25</v>
      </c>
      <c r="G30" s="217">
        <f t="shared" si="3"/>
        <v>45</v>
      </c>
      <c r="H30" s="143">
        <f>IF($A30=0,"",VLOOKUP($A30,'00_MO'!$A$4:$D$7,4,FALSE))</f>
        <v>60000</v>
      </c>
      <c r="I30" s="143">
        <f t="shared" si="4"/>
        <v>2700000</v>
      </c>
    </row>
    <row r="31" ht="14.25" customHeight="1">
      <c r="A31" s="204"/>
      <c r="B31" s="92" t="str">
        <f>IF($A31=0,"",VLOOKUP($A31,'00_MO'!$A$4:$D$7,2,FALSE))</f>
        <v/>
      </c>
      <c r="C31" s="92" t="str">
        <f>IF($A31=0,"",VLOOKUP($A31,'00_MO'!$A$4:$D$7,3,FALSE))</f>
        <v/>
      </c>
      <c r="D31" s="204"/>
      <c r="E31" s="229"/>
      <c r="F31" s="206"/>
      <c r="G31" s="217">
        <f t="shared" si="3"/>
        <v>0</v>
      </c>
      <c r="H31" s="143" t="str">
        <f>IF($A31=0,"",VLOOKUP($A31,'00_MO'!$A$4:$D$7,4,FALSE))</f>
        <v/>
      </c>
      <c r="I31" s="143">
        <f t="shared" si="4"/>
        <v>0</v>
      </c>
    </row>
    <row r="32" ht="14.25" customHeight="1">
      <c r="A32" s="204"/>
      <c r="B32" s="92" t="str">
        <f>IF($A32=0,"",VLOOKUP($A32,'00_MO'!$A$4:$D$7,2,FALSE))</f>
        <v/>
      </c>
      <c r="C32" s="92" t="str">
        <f>IF($A32=0,"",VLOOKUP($A32,'00_MO'!$A$4:$D$7,3,FALSE))</f>
        <v/>
      </c>
      <c r="D32" s="204"/>
      <c r="E32" s="204"/>
      <c r="F32" s="206"/>
      <c r="G32" s="217">
        <f t="shared" si="3"/>
        <v>0</v>
      </c>
      <c r="H32" s="143" t="str">
        <f>IF($A32=0,"",VLOOKUP($A32,'00_MO'!$A$4:$D$7,4,FALSE))</f>
        <v/>
      </c>
      <c r="I32" s="143">
        <f t="shared" si="4"/>
        <v>0</v>
      </c>
    </row>
    <row r="33" ht="14.25" customHeight="1">
      <c r="F33" s="208"/>
      <c r="G33" s="3"/>
      <c r="H33" s="143"/>
      <c r="I33" s="143"/>
    </row>
    <row r="34" ht="14.25" customHeight="1">
      <c r="A34" s="222" t="s">
        <v>987</v>
      </c>
      <c r="B34" s="223"/>
      <c r="C34" s="223"/>
      <c r="D34" s="223"/>
      <c r="E34" s="223"/>
      <c r="F34" s="223"/>
      <c r="G34" s="211"/>
      <c r="H34" s="223"/>
      <c r="I34" s="224">
        <f>SUM(I27:I32)</f>
        <v>11700000</v>
      </c>
    </row>
    <row r="35" ht="14.25" customHeight="1">
      <c r="A35" s="232" t="str">
        <f>$I$3</f>
        <v>m³</v>
      </c>
      <c r="B35" s="233"/>
      <c r="C35" s="233"/>
      <c r="D35" s="233"/>
      <c r="E35" s="233"/>
      <c r="F35" s="233"/>
      <c r="G35" s="21"/>
      <c r="H35" s="233"/>
      <c r="I35" s="205">
        <f>$H$3</f>
        <v>31</v>
      </c>
      <c r="J35" s="92"/>
      <c r="K35" s="92"/>
      <c r="L35" s="92"/>
    </row>
    <row r="36" ht="14.25" customHeight="1">
      <c r="A36" s="234" t="s">
        <v>997</v>
      </c>
      <c r="B36" s="232" t="str">
        <f>A35</f>
        <v>m³</v>
      </c>
      <c r="C36" s="233"/>
      <c r="D36" s="233"/>
      <c r="E36" s="233"/>
      <c r="F36" s="233"/>
      <c r="G36" s="21"/>
      <c r="H36" s="233"/>
      <c r="I36" s="235">
        <f>I34/I35</f>
        <v>377419.3548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01" t="s">
        <v>1000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02" t="s">
        <v>988</v>
      </c>
      <c r="B40" s="202" t="s">
        <v>989</v>
      </c>
      <c r="C40" s="202" t="s">
        <v>990</v>
      </c>
      <c r="D40" s="202" t="s">
        <v>991</v>
      </c>
      <c r="E40" s="202" t="s">
        <v>999</v>
      </c>
      <c r="F40" s="202" t="s">
        <v>992</v>
      </c>
      <c r="G40" s="4" t="s">
        <v>993</v>
      </c>
      <c r="H40" s="202" t="s">
        <v>994</v>
      </c>
      <c r="I40" s="202" t="s">
        <v>995</v>
      </c>
    </row>
    <row r="41" ht="14.25" customHeight="1">
      <c r="A41" s="204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04"/>
      <c r="E41" s="204"/>
      <c r="F41" s="206"/>
      <c r="G41" s="217">
        <f t="shared" ref="G41:G46" si="5">ROUNDUP(((D41*E41)*(1+F41)),0)</f>
        <v>0</v>
      </c>
      <c r="H41" s="143" t="str">
        <f>IF($A41=0,"",VLOOKUP($A41,'00_Eq'!$A$4:$D$100,4,FALSE))</f>
        <v/>
      </c>
      <c r="I41" s="143">
        <f t="shared" ref="I41:I44" si="6">G41*H41</f>
        <v>0</v>
      </c>
    </row>
    <row r="42" ht="14.25" customHeight="1">
      <c r="A42" s="204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04"/>
      <c r="E42" s="204"/>
      <c r="F42" s="206"/>
      <c r="G42" s="217">
        <f t="shared" si="5"/>
        <v>0</v>
      </c>
      <c r="H42" s="143" t="str">
        <f>IF($A42=0,"",VLOOKUP($A42,'00_Eq'!$A$4:$D$100,4,FALSE))</f>
        <v/>
      </c>
      <c r="I42" s="143">
        <f t="shared" si="6"/>
        <v>0</v>
      </c>
    </row>
    <row r="43" ht="14.25" customHeight="1">
      <c r="A43" s="204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04"/>
      <c r="E43" s="204"/>
      <c r="F43" s="206"/>
      <c r="G43" s="217">
        <f t="shared" si="5"/>
        <v>0</v>
      </c>
      <c r="H43" s="143" t="str">
        <f>IF($A43=0,"",VLOOKUP($A43,'00_Eq'!$A$4:$D$100,4,FALSE))</f>
        <v/>
      </c>
      <c r="I43" s="143">
        <f t="shared" si="6"/>
        <v>0</v>
      </c>
    </row>
    <row r="44" ht="14.25" customHeight="1">
      <c r="A44" s="204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04"/>
      <c r="E44" s="204"/>
      <c r="F44" s="206"/>
      <c r="G44" s="217">
        <f t="shared" si="5"/>
        <v>0</v>
      </c>
      <c r="H44" s="143" t="str">
        <f>IF($A44=0,"",VLOOKUP($A44,'00_Eq'!$A$4:$D$100,4,FALSE))</f>
        <v/>
      </c>
      <c r="I44" s="143">
        <f t="shared" si="6"/>
        <v>0</v>
      </c>
    </row>
    <row r="45" ht="14.25" customHeight="1">
      <c r="A45" s="204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04"/>
      <c r="E45" s="204"/>
      <c r="F45" s="206"/>
      <c r="G45" s="217">
        <f t="shared" si="5"/>
        <v>0</v>
      </c>
      <c r="H45" s="143" t="str">
        <f>IF($A45=0,"",VLOOKUP($A45,'00_Eq'!$A$4:$D$100,4,FALSE))</f>
        <v/>
      </c>
      <c r="I45" s="143"/>
    </row>
    <row r="46" ht="14.25" customHeight="1">
      <c r="A46" s="204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04"/>
      <c r="E46" s="204"/>
      <c r="F46" s="206"/>
      <c r="G46" s="217">
        <f t="shared" si="5"/>
        <v>0</v>
      </c>
      <c r="H46" s="143" t="str">
        <f>IF($A46=0,"",VLOOKUP($A46,'00_Eq'!$A$4:$D$100,4,FALSE))</f>
        <v/>
      </c>
      <c r="I46" s="143"/>
    </row>
    <row r="47" ht="14.25" customHeight="1">
      <c r="F47" s="208"/>
      <c r="G47" s="3"/>
      <c r="H47" s="143"/>
      <c r="I47" s="143"/>
    </row>
    <row r="48" ht="14.25" customHeight="1">
      <c r="A48" s="222" t="s">
        <v>987</v>
      </c>
      <c r="B48" s="223"/>
      <c r="C48" s="223"/>
      <c r="D48" s="223"/>
      <c r="E48" s="223"/>
      <c r="F48" s="223"/>
      <c r="G48" s="211"/>
      <c r="H48" s="223"/>
      <c r="I48" s="224">
        <f>SUM(I41:I46)</f>
        <v>0</v>
      </c>
    </row>
    <row r="49" ht="14.25" customHeight="1">
      <c r="A49" s="232" t="str">
        <f>$I$3</f>
        <v>m³</v>
      </c>
      <c r="B49" s="233"/>
      <c r="C49" s="233"/>
      <c r="D49" s="233"/>
      <c r="E49" s="233"/>
      <c r="F49" s="233"/>
      <c r="G49" s="21"/>
      <c r="H49" s="233"/>
      <c r="I49" s="205">
        <f>$H$3</f>
        <v>31</v>
      </c>
      <c r="J49" s="92"/>
      <c r="K49" s="92"/>
      <c r="L49" s="92"/>
    </row>
    <row r="50" ht="14.25" customHeight="1">
      <c r="A50" s="234" t="s">
        <v>997</v>
      </c>
      <c r="B50" s="232" t="str">
        <f>A49</f>
        <v>m³</v>
      </c>
      <c r="C50" s="233"/>
      <c r="D50" s="233"/>
      <c r="E50" s="233"/>
      <c r="F50" s="233"/>
      <c r="G50" s="21"/>
      <c r="H50" s="233"/>
      <c r="I50" s="235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01" t="s">
        <v>1010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02" t="s">
        <v>988</v>
      </c>
      <c r="B54" s="202" t="s">
        <v>989</v>
      </c>
      <c r="C54" s="202" t="s">
        <v>990</v>
      </c>
      <c r="D54" s="202" t="s">
        <v>991</v>
      </c>
      <c r="E54" s="202"/>
      <c r="F54" s="202" t="s">
        <v>992</v>
      </c>
      <c r="G54" s="4" t="s">
        <v>993</v>
      </c>
      <c r="H54" s="202" t="s">
        <v>994</v>
      </c>
      <c r="I54" s="202" t="s">
        <v>995</v>
      </c>
    </row>
    <row r="55" ht="14.25" customHeight="1">
      <c r="A55" s="3"/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30"/>
      <c r="E55" s="204"/>
      <c r="F55" s="236">
        <v>0.1</v>
      </c>
      <c r="G55" s="221">
        <f t="shared" ref="G55:G60" si="7">ROUNDUP((D55+(D55*F55)),0)</f>
        <v>0</v>
      </c>
      <c r="H55" s="143" t="str">
        <f>IF($A55=0,"",VLOOKUP($A55,'00_Mat'!$A$4:$J$1135,5,FALSE))</f>
        <v/>
      </c>
      <c r="I55" s="143">
        <f t="shared" ref="I55:I60" si="8">G55*H55</f>
        <v>0</v>
      </c>
      <c r="J55" s="237"/>
    </row>
    <row r="56" ht="14.25" customHeight="1">
      <c r="A56" s="3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0"/>
      <c r="E56" s="204"/>
      <c r="F56" s="236">
        <v>0.1</v>
      </c>
      <c r="G56" s="221">
        <f t="shared" si="7"/>
        <v>0</v>
      </c>
      <c r="H56" s="143" t="str">
        <f>IF($A56=0,"",VLOOKUP($A56,'00_Mat'!$A$4:$J$1135,5,FALSE))</f>
        <v/>
      </c>
      <c r="I56" s="143">
        <f t="shared" si="8"/>
        <v>0</v>
      </c>
      <c r="J56" s="237"/>
    </row>
    <row r="57" ht="14.25" customHeight="1">
      <c r="A57" s="3" t="s">
        <v>75</v>
      </c>
      <c r="B57" s="92" t="str">
        <f>IF($A57=0,"",VLOOKUP($A57,'00_Mat'!$A$4:$J$1135,2,FALSE))</f>
        <v>Clavos 2" punta paris (k)</v>
      </c>
      <c r="C57" s="92" t="str">
        <f>IF($A57=0,"",VLOOKUP($A57,'00_Mat'!$A$4:$J$1135,3,FALSE))</f>
        <v>k</v>
      </c>
      <c r="D57" s="230">
        <v>10.0</v>
      </c>
      <c r="E57" s="204"/>
      <c r="F57" s="236">
        <v>0.1</v>
      </c>
      <c r="G57" s="221">
        <f t="shared" si="7"/>
        <v>11</v>
      </c>
      <c r="H57" s="143">
        <f>IF($A57=0,"",VLOOKUP($A57,'00_Mat'!$A$4:$J$1135,5,FALSE))</f>
        <v>4500</v>
      </c>
      <c r="I57" s="143">
        <f t="shared" si="8"/>
        <v>49500</v>
      </c>
      <c r="J57" s="153" t="s">
        <v>1013</v>
      </c>
      <c r="L57" s="153" t="s">
        <v>1011</v>
      </c>
      <c r="M57" s="153" t="s">
        <v>1012</v>
      </c>
    </row>
    <row r="58" ht="14.25" customHeight="1">
      <c r="A58" s="20" t="s">
        <v>81</v>
      </c>
      <c r="B58" s="92" t="str">
        <f>IF($A58=0,"",VLOOKUP($A58,'00_Mat'!$A$4:$J$1135,2,FALSE))</f>
        <v>Alambre Fardo (50 k)</v>
      </c>
      <c r="C58" s="92" t="str">
        <f>IF($A58=0,"",VLOOKUP($A58,'00_Mat'!$A$4:$J$1135,3,FALSE))</f>
        <v>k</v>
      </c>
      <c r="D58" s="230">
        <v>1.0</v>
      </c>
      <c r="E58" s="204"/>
      <c r="F58" s="236">
        <v>0.1</v>
      </c>
      <c r="G58" s="221">
        <f t="shared" si="7"/>
        <v>2</v>
      </c>
      <c r="H58" s="143">
        <f>IF($A58=0,"",VLOOKUP($A58,'00_Mat'!$A$4:$J$1135,5,FALSE))</f>
        <v>220000</v>
      </c>
      <c r="I58" s="143">
        <f t="shared" si="8"/>
        <v>440000</v>
      </c>
      <c r="J58" s="153" t="s">
        <v>1033</v>
      </c>
    </row>
    <row r="59" ht="14.25" customHeight="1">
      <c r="C59" s="92" t="str">
        <f>IF($A58=0,"",VLOOKUP($A58,'00_Mat'!$A$4:$J$1135,3,FALSE))</f>
        <v>k</v>
      </c>
      <c r="D59" s="230"/>
      <c r="E59" s="204"/>
      <c r="F59" s="236">
        <v>0.1</v>
      </c>
      <c r="G59" s="221">
        <f t="shared" si="7"/>
        <v>0</v>
      </c>
      <c r="H59" s="143" t="str">
        <f>IF($A59=0,"",VLOOKUP($A59,'00_Mat'!$A$4:$J$1135,5,FALSE))</f>
        <v/>
      </c>
      <c r="I59" s="143">
        <f t="shared" si="8"/>
        <v>0</v>
      </c>
    </row>
    <row r="60" ht="14.25" customHeight="1">
      <c r="A60" s="204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05"/>
      <c r="E60" s="204"/>
      <c r="F60" s="206"/>
      <c r="G60" s="221">
        <f t="shared" si="7"/>
        <v>0</v>
      </c>
      <c r="H60" s="143" t="str">
        <f>IF($A60=0,"",VLOOKUP($A60,'00_Mat'!$A$4:$J$1135,5,FALSE))</f>
        <v/>
      </c>
      <c r="I60" s="143">
        <f t="shared" si="8"/>
        <v>0</v>
      </c>
    </row>
    <row r="61" ht="14.25" customHeight="1">
      <c r="F61" s="208"/>
      <c r="G61" s="3"/>
      <c r="H61" s="143"/>
      <c r="I61" s="143"/>
    </row>
    <row r="62" ht="14.25" customHeight="1">
      <c r="A62" s="222" t="s">
        <v>987</v>
      </c>
      <c r="B62" s="223"/>
      <c r="C62" s="223"/>
      <c r="D62" s="223"/>
      <c r="E62" s="223"/>
      <c r="F62" s="223"/>
      <c r="G62" s="211"/>
      <c r="H62" s="223"/>
      <c r="I62" s="224">
        <f>SUM(I55:I60)</f>
        <v>489500</v>
      </c>
    </row>
    <row r="63" ht="14.25" customHeight="1">
      <c r="A63" s="232" t="str">
        <f>$I$3</f>
        <v>m³</v>
      </c>
      <c r="B63" s="233"/>
      <c r="C63" s="233"/>
      <c r="D63" s="233"/>
      <c r="E63" s="233"/>
      <c r="F63" s="233"/>
      <c r="G63" s="21"/>
      <c r="H63" s="233"/>
      <c r="I63" s="205">
        <f>$H$3</f>
        <v>31</v>
      </c>
      <c r="J63" s="92"/>
      <c r="K63" s="92"/>
      <c r="L63" s="92"/>
    </row>
    <row r="64" ht="14.25" customHeight="1">
      <c r="A64" s="234" t="s">
        <v>997</v>
      </c>
      <c r="B64" s="232" t="str">
        <f>A63</f>
        <v>m³</v>
      </c>
      <c r="C64" s="233"/>
      <c r="D64" s="233"/>
      <c r="E64" s="233"/>
      <c r="F64" s="233"/>
      <c r="G64" s="21"/>
      <c r="H64" s="233"/>
      <c r="I64" s="235">
        <f>I62/I63</f>
        <v>15790.32258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01" t="s">
        <v>1025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02" t="s">
        <v>988</v>
      </c>
      <c r="B68" s="202" t="s">
        <v>989</v>
      </c>
      <c r="C68" s="202" t="s">
        <v>990</v>
      </c>
      <c r="D68" s="202" t="s">
        <v>991</v>
      </c>
      <c r="E68" s="202" t="s">
        <v>999</v>
      </c>
      <c r="F68" s="202" t="s">
        <v>992</v>
      </c>
      <c r="G68" s="4" t="s">
        <v>993</v>
      </c>
      <c r="H68" s="202" t="s">
        <v>994</v>
      </c>
      <c r="I68" s="202" t="s">
        <v>995</v>
      </c>
    </row>
    <row r="69" ht="14.25" customHeight="1">
      <c r="A69" s="204"/>
      <c r="B69" s="92" t="str">
        <f>IF($A69=0,"",VLOOKUP($A69,'00_Sub'!$A$4:$D$1007,2,FALSE))</f>
        <v/>
      </c>
      <c r="C69" s="92" t="str">
        <f>IF($A69=0,"",VLOOKUP($A69,'00_Sub'!$A$4:$D$1007,3,FALSE))</f>
        <v/>
      </c>
      <c r="D69" s="204"/>
      <c r="E69" s="204"/>
      <c r="F69" s="206"/>
      <c r="G69" s="221">
        <f t="shared" ref="G69:G74" si="9">ROUNDUP((D69+(D69*F69)),0)</f>
        <v>0</v>
      </c>
      <c r="H69" s="143" t="str">
        <f>IF($A69=0,"",VLOOKUP($A69,'00_Sub'!$A$4:$D$1007,4,FALSE))</f>
        <v/>
      </c>
      <c r="I69" s="143"/>
    </row>
    <row r="70" ht="14.25" customHeight="1">
      <c r="A70" s="204"/>
      <c r="B70" s="92" t="str">
        <f>IF($A70=0,"",VLOOKUP($A70,'00_Sub'!$A$4:$D$1007,2,FALSE))</f>
        <v/>
      </c>
      <c r="C70" s="92" t="str">
        <f>IF($A70=0,"",VLOOKUP($A70,'00_Sub'!$A$4:$D$1007,3,FALSE))</f>
        <v/>
      </c>
      <c r="D70" s="204"/>
      <c r="E70" s="204"/>
      <c r="F70" s="206"/>
      <c r="G70" s="221">
        <f t="shared" si="9"/>
        <v>0</v>
      </c>
      <c r="H70" s="143" t="str">
        <f>IF($A70=0,"",VLOOKUP($A70,'00_Sub'!$A$4:$D$1007,4,FALSE))</f>
        <v/>
      </c>
      <c r="I70" s="143"/>
    </row>
    <row r="71" ht="14.25" customHeight="1">
      <c r="A71" s="204"/>
      <c r="B71" s="92" t="str">
        <f>IF($A71=0,"",VLOOKUP($A71,'00_Sub'!$A$4:$D$1007,2,FALSE))</f>
        <v/>
      </c>
      <c r="C71" s="92" t="str">
        <f>IF($A71=0,"",VLOOKUP($A71,'00_Sub'!$A$4:$D$1007,3,FALSE))</f>
        <v/>
      </c>
      <c r="D71" s="204"/>
      <c r="E71" s="204"/>
      <c r="F71" s="206"/>
      <c r="G71" s="221">
        <f t="shared" si="9"/>
        <v>0</v>
      </c>
      <c r="H71" s="143" t="str">
        <f>IF($A71=0,"",VLOOKUP($A71,'00_Sub'!$A$4:$D$1007,4,FALSE))</f>
        <v/>
      </c>
      <c r="I71" s="143"/>
    </row>
    <row r="72" ht="14.25" customHeight="1">
      <c r="A72" s="204"/>
      <c r="B72" s="92" t="str">
        <f>IF($A72=0,"",VLOOKUP($A72,'00_Sub'!$A$4:$D$1007,2,FALSE))</f>
        <v/>
      </c>
      <c r="C72" s="92" t="str">
        <f>IF($A72=0,"",VLOOKUP($A72,'00_Sub'!$A$4:$D$1007,3,FALSE))</f>
        <v/>
      </c>
      <c r="D72" s="204"/>
      <c r="E72" s="204"/>
      <c r="F72" s="206"/>
      <c r="G72" s="221">
        <f t="shared" si="9"/>
        <v>0</v>
      </c>
      <c r="H72" s="143" t="str">
        <f>IF($A72=0,"",VLOOKUP($A72,'00_Sub'!$A$4:$D$1007,4,FALSE))</f>
        <v/>
      </c>
      <c r="I72" s="143"/>
    </row>
    <row r="73" ht="14.25" customHeight="1">
      <c r="A73" s="204"/>
      <c r="B73" s="92" t="str">
        <f>IF($A73=0,"",VLOOKUP($A73,'00_Sub'!$A$4:$D$1007,2,FALSE))</f>
        <v/>
      </c>
      <c r="C73" s="92" t="str">
        <f>IF($A73=0,"",VLOOKUP($A73,'00_Sub'!$A$4:$D$1007,3,FALSE))</f>
        <v/>
      </c>
      <c r="D73" s="204"/>
      <c r="E73" s="204"/>
      <c r="F73" s="206"/>
      <c r="G73" s="221">
        <f t="shared" si="9"/>
        <v>0</v>
      </c>
      <c r="H73" s="143" t="str">
        <f>IF($A73=0,"",VLOOKUP($A73,'00_Sub'!$A$4:$D$1007,4,FALSE))</f>
        <v/>
      </c>
      <c r="I73" s="143"/>
    </row>
    <row r="74" ht="14.25" customHeight="1">
      <c r="A74" s="204"/>
      <c r="B74" s="92" t="str">
        <f>IF($A74=0,"",VLOOKUP($A74,'00_Sub'!$A$4:$D$1007,2,FALSE))</f>
        <v/>
      </c>
      <c r="C74" s="92" t="str">
        <f>IF($A74=0,"",VLOOKUP($A74,'00_Sub'!$A$4:$D$1007,3,FALSE))</f>
        <v/>
      </c>
      <c r="D74" s="204"/>
      <c r="E74" s="204"/>
      <c r="F74" s="206"/>
      <c r="G74" s="221">
        <f t="shared" si="9"/>
        <v>0</v>
      </c>
      <c r="H74" s="143" t="str">
        <f>IF($A74=0,"",VLOOKUP($A74,'00_Sub'!$A$4:$D$1007,4,FALSE))</f>
        <v/>
      </c>
      <c r="I74" s="143"/>
    </row>
    <row r="75" ht="14.25" customHeight="1">
      <c r="F75" s="208"/>
      <c r="G75" s="3"/>
      <c r="H75" s="143"/>
      <c r="I75" s="143"/>
    </row>
    <row r="76" ht="14.25" customHeight="1">
      <c r="A76" s="222" t="s">
        <v>987</v>
      </c>
      <c r="B76" s="223"/>
      <c r="C76" s="223"/>
      <c r="D76" s="223"/>
      <c r="E76" s="223"/>
      <c r="F76" s="223"/>
      <c r="G76" s="211"/>
      <c r="H76" s="223"/>
      <c r="I76" s="224">
        <f>SUM(I69:I74)</f>
        <v>0</v>
      </c>
    </row>
    <row r="77" ht="14.25" customHeight="1">
      <c r="A77" s="232" t="str">
        <f>$I$3</f>
        <v>m³</v>
      </c>
      <c r="B77" s="233"/>
      <c r="C77" s="233"/>
      <c r="D77" s="233"/>
      <c r="E77" s="233"/>
      <c r="F77" s="233"/>
      <c r="G77" s="21"/>
      <c r="H77" s="233"/>
      <c r="I77" s="205">
        <f>$H$3</f>
        <v>31</v>
      </c>
      <c r="J77" s="92"/>
      <c r="K77" s="92"/>
      <c r="L77" s="92"/>
    </row>
    <row r="78" ht="14.25" customHeight="1">
      <c r="A78" s="234" t="s">
        <v>997</v>
      </c>
      <c r="B78" s="232" t="str">
        <f>A77</f>
        <v>m³</v>
      </c>
      <c r="C78" s="233"/>
      <c r="D78" s="233"/>
      <c r="E78" s="233"/>
      <c r="F78" s="233"/>
      <c r="G78" s="21"/>
      <c r="H78" s="233"/>
      <c r="I78" s="235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18"/>
      <c r="B82" s="219"/>
      <c r="C82" s="219"/>
      <c r="D82" s="219"/>
      <c r="E82" s="219"/>
      <c r="F82" s="219"/>
      <c r="G82" s="3"/>
      <c r="H82" s="219"/>
      <c r="I82" s="219"/>
    </row>
    <row r="83" ht="14.25" customHeight="1">
      <c r="A83" s="218"/>
      <c r="B83" s="219"/>
      <c r="C83" s="219"/>
      <c r="D83" s="219"/>
      <c r="E83" s="219"/>
      <c r="F83" s="219"/>
      <c r="G83" s="3"/>
      <c r="H83" s="219"/>
      <c r="I83" s="219"/>
    </row>
    <row r="84" ht="14.25" customHeight="1">
      <c r="G84" s="3"/>
      <c r="H84" s="208"/>
      <c r="I84" s="143"/>
    </row>
    <row r="85" ht="14.25" customHeight="1">
      <c r="G85" s="3"/>
      <c r="H85" s="208"/>
      <c r="I85" s="143"/>
    </row>
    <row r="86" ht="14.25" customHeight="1">
      <c r="A86" s="218"/>
      <c r="B86" s="219"/>
      <c r="C86" s="219"/>
      <c r="D86" s="219"/>
      <c r="E86" s="219"/>
      <c r="F86" s="219"/>
      <c r="G86" s="3"/>
      <c r="H86" s="219"/>
      <c r="I86" s="225"/>
    </row>
    <row r="87" ht="14.25" customHeight="1">
      <c r="G87" s="3"/>
      <c r="H87" s="208"/>
      <c r="I87" s="143"/>
    </row>
    <row r="88" ht="14.25" customHeight="1">
      <c r="G88" s="3"/>
      <c r="H88" s="208"/>
      <c r="I88" s="143"/>
    </row>
    <row r="89" ht="14.25" customHeight="1">
      <c r="G89" s="3"/>
      <c r="H89" s="208"/>
      <c r="I89" s="143"/>
    </row>
    <row r="90" ht="14.25" customHeight="1">
      <c r="A90" s="218"/>
      <c r="B90" s="219"/>
      <c r="C90" s="219"/>
      <c r="D90" s="219"/>
      <c r="E90" s="219"/>
      <c r="F90" s="219"/>
      <c r="G90" s="3"/>
      <c r="H90" s="219"/>
      <c r="I90" s="225"/>
    </row>
    <row r="91" ht="14.25" customHeight="1">
      <c r="G91" s="3"/>
      <c r="H91" s="208"/>
      <c r="I91" s="143"/>
    </row>
    <row r="92" ht="14.25" customHeight="1">
      <c r="G92" s="3"/>
      <c r="H92" s="208"/>
      <c r="I92" s="143"/>
    </row>
    <row r="93" ht="14.25" customHeight="1">
      <c r="A93" s="218"/>
      <c r="B93" s="219"/>
      <c r="C93" s="219"/>
      <c r="D93" s="219"/>
      <c r="E93" s="219"/>
      <c r="F93" s="219"/>
      <c r="G93" s="3"/>
      <c r="H93" s="219"/>
      <c r="I93" s="225"/>
    </row>
    <row r="94" ht="14.25" customHeight="1">
      <c r="G94" s="3"/>
      <c r="H94" s="208"/>
      <c r="I94" s="143"/>
    </row>
    <row r="95" ht="14.25" customHeight="1">
      <c r="G95" s="3"/>
      <c r="H95" s="208"/>
      <c r="I95" s="143"/>
    </row>
    <row r="96" ht="14.25" customHeight="1">
      <c r="A96" s="218"/>
      <c r="B96" s="219"/>
      <c r="C96" s="219"/>
      <c r="D96" s="219"/>
      <c r="E96" s="219"/>
      <c r="F96" s="219"/>
      <c r="G96" s="3"/>
      <c r="H96" s="219"/>
      <c r="I96" s="225"/>
    </row>
    <row r="97" ht="14.25" customHeight="1">
      <c r="A97" s="218"/>
      <c r="B97" s="219"/>
      <c r="C97" s="219"/>
      <c r="D97" s="219"/>
      <c r="E97" s="219"/>
      <c r="F97" s="219"/>
      <c r="G97" s="3"/>
      <c r="H97" s="247"/>
      <c r="I97" s="225"/>
    </row>
    <row r="98" ht="14.25" customHeight="1">
      <c r="A98" s="218"/>
      <c r="B98" s="219"/>
      <c r="C98" s="219"/>
      <c r="D98" s="219"/>
      <c r="E98" s="219"/>
      <c r="F98" s="219"/>
      <c r="G98" s="3"/>
      <c r="H98" s="219"/>
      <c r="I98" s="22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1" width="8.71"/>
    <col customWidth="1" min="12" max="12" width="10.14"/>
    <col customWidth="1" min="13" max="13" width="19.29"/>
  </cols>
  <sheetData>
    <row r="1" ht="33.75" customHeight="1">
      <c r="A1" s="91" t="str">
        <f>'01_C&amp;P'!A1</f>
        <v>EDIFICIO LAS HERAS</v>
      </c>
      <c r="B1" s="91"/>
      <c r="C1" s="91"/>
      <c r="G1" s="3"/>
    </row>
    <row r="2" ht="14.25" customHeight="1">
      <c r="G2" s="3"/>
    </row>
    <row r="3" ht="23.25" customHeight="1">
      <c r="A3" s="195" t="str">
        <f>'01_C&amp;P'!A39</f>
        <v>n</v>
      </c>
      <c r="B3" s="196" t="str">
        <f>IF($A3=0,"",VLOOKUP($A3,'01_C&amp;P'!$A$9:$D$192,2,FALSE))</f>
        <v>VIGAS </v>
      </c>
      <c r="C3" s="197"/>
      <c r="D3" s="197"/>
      <c r="E3" s="197"/>
      <c r="F3" s="197"/>
      <c r="G3" s="198"/>
      <c r="H3" s="199">
        <f>IF($A3=0,"",VLOOKUP($A3,'01_C&amp;P'!$A$9:$D$192,4,FALSE))</f>
        <v>14</v>
      </c>
      <c r="I3" s="200" t="str">
        <f>IF($A3=0,"",VLOOKUP($A3,'01_C&amp;P'!$A$9:$D$192,3,FALSE))</f>
        <v>m³</v>
      </c>
      <c r="M3" s="85" t="s">
        <v>1066</v>
      </c>
    </row>
    <row r="4" ht="14.25" customHeight="1">
      <c r="G4" s="3"/>
    </row>
    <row r="5" ht="14.25" customHeight="1">
      <c r="A5" s="201" t="s">
        <v>0</v>
      </c>
      <c r="B5" s="94"/>
      <c r="C5" s="94"/>
      <c r="D5" s="94"/>
      <c r="E5" s="94"/>
      <c r="F5" s="94"/>
      <c r="G5" s="2"/>
      <c r="H5" s="94"/>
      <c r="I5" s="94"/>
    </row>
    <row r="6" ht="14.25" customHeight="1">
      <c r="A6" s="202" t="s">
        <v>988</v>
      </c>
      <c r="B6" s="202" t="s">
        <v>989</v>
      </c>
      <c r="C6" s="202" t="s">
        <v>990</v>
      </c>
      <c r="D6" s="203" t="s">
        <v>991</v>
      </c>
      <c r="E6" s="197"/>
      <c r="F6" s="202" t="s">
        <v>992</v>
      </c>
      <c r="G6" s="4" t="s">
        <v>993</v>
      </c>
      <c r="H6" s="202" t="s">
        <v>994</v>
      </c>
      <c r="I6" s="202" t="s">
        <v>995</v>
      </c>
    </row>
    <row r="7" ht="14.25" customHeight="1">
      <c r="A7" s="229" t="s">
        <v>560</v>
      </c>
      <c r="B7" s="92" t="str">
        <f>IF($A7=0,"",VLOOKUP($A7,'00_Mat'!$A$4:$J$1135,2,FALSE))</f>
        <v>Hormigon H30</v>
      </c>
      <c r="C7" s="92" t="str">
        <f>IF($A7=0,"",VLOOKUP($A7,'00_Mat'!$A$4:$J$1135,3,FALSE))</f>
        <v>m3</v>
      </c>
      <c r="D7" s="230">
        <v>14.0</v>
      </c>
      <c r="E7" s="204"/>
      <c r="F7" s="206">
        <v>0.1</v>
      </c>
      <c r="G7" s="221">
        <f t="shared" ref="G7:G18" si="1">ROUNDUP((D7+(D7*F7)),0)</f>
        <v>16</v>
      </c>
      <c r="H7" s="143">
        <f>IF($A7=0,"",VLOOKUP($A7,'00_Mat'!$A$4:$J$1135,5,FALSE))</f>
        <v>158000</v>
      </c>
      <c r="I7" s="143">
        <f t="shared" ref="I7:I15" si="2">G7*H7</f>
        <v>2528000</v>
      </c>
      <c r="J7" s="231" t="s">
        <v>548</v>
      </c>
    </row>
    <row r="8" ht="14.25" customHeight="1">
      <c r="A8" s="3" t="s">
        <v>132</v>
      </c>
      <c r="B8" s="92" t="str">
        <f>IF($A8=0,"",VLOOKUP($A8,'00_Mat'!$A$4:$J$1135,2,FALSE))</f>
        <v>Hierros ADN 420 Φ 6 </v>
      </c>
      <c r="C8" s="92" t="str">
        <f>IF($A8=0,"",VLOOKUP($A8,'00_Mat'!$A$4:$J$1135,3,FALSE))</f>
        <v>u</v>
      </c>
      <c r="D8" s="230">
        <v>123.0</v>
      </c>
      <c r="E8" s="204"/>
      <c r="F8" s="206">
        <v>0.1</v>
      </c>
      <c r="G8" s="221">
        <f t="shared" si="1"/>
        <v>136</v>
      </c>
      <c r="H8" s="143">
        <f>IF($A8=0,"",VLOOKUP($A8,'00_Mat'!$A$4:$J$1135,5,FALSE))</f>
        <v>5250</v>
      </c>
      <c r="I8" s="143">
        <f t="shared" si="2"/>
        <v>714000</v>
      </c>
      <c r="J8" s="153" t="s">
        <v>1028</v>
      </c>
    </row>
    <row r="9" ht="14.25" customHeight="1">
      <c r="A9" s="3" t="s">
        <v>134</v>
      </c>
      <c r="B9" s="92" t="str">
        <f>IF($A9=0,"",VLOOKUP($A9,'00_Mat'!$A$4:$J$1135,2,FALSE))</f>
        <v>Hierros ADN 420 Φ 8</v>
      </c>
      <c r="C9" s="92" t="str">
        <f>IF($A9=0,"",VLOOKUP($A9,'00_Mat'!$A$4:$J$1135,3,FALSE))</f>
        <v>u</v>
      </c>
      <c r="D9" s="229">
        <v>4.0</v>
      </c>
      <c r="E9" s="204"/>
      <c r="F9" s="206">
        <v>0.1</v>
      </c>
      <c r="G9" s="221">
        <f t="shared" si="1"/>
        <v>5</v>
      </c>
      <c r="H9" s="143">
        <f>IF($A9=0,"",VLOOKUP($A9,'00_Mat'!$A$4:$J$1135,5,FALSE))</f>
        <v>9050</v>
      </c>
      <c r="I9" s="143">
        <f t="shared" si="2"/>
        <v>45250</v>
      </c>
    </row>
    <row r="10" ht="14.25" customHeight="1">
      <c r="A10" s="3" t="s">
        <v>136</v>
      </c>
      <c r="B10" s="92" t="str">
        <f>IF($A10=0,"",VLOOKUP($A10,'00_Mat'!$A$4:$J$1135,2,FALSE))</f>
        <v>Hierros ADN 420Φ 10</v>
      </c>
      <c r="C10" s="92" t="str">
        <f>IF($A10=0,"",VLOOKUP($A10,'00_Mat'!$A$4:$J$1135,3,FALSE))</f>
        <v>u</v>
      </c>
      <c r="D10" s="229">
        <v>66.0</v>
      </c>
      <c r="E10" s="204"/>
      <c r="F10" s="206">
        <v>0.1</v>
      </c>
      <c r="G10" s="221">
        <f t="shared" si="1"/>
        <v>73</v>
      </c>
      <c r="H10" s="143">
        <f>IF($A10=0,"",VLOOKUP($A10,'00_Mat'!$A$4:$J$1135,5,FALSE))</f>
        <v>11237</v>
      </c>
      <c r="I10" s="143">
        <f t="shared" si="2"/>
        <v>820301</v>
      </c>
    </row>
    <row r="11" ht="14.25" customHeight="1">
      <c r="A11" s="3" t="s">
        <v>138</v>
      </c>
      <c r="B11" s="92" t="str">
        <f>IF($A11=0,"",VLOOKUP($A11,'00_Mat'!$A$4:$J$1135,2,FALSE))</f>
        <v>Hierros ADN 420 Φ 12</v>
      </c>
      <c r="C11" s="92" t="str">
        <f>IF($A11=0,"",VLOOKUP($A11,'00_Mat'!$A$4:$J$1135,3,FALSE))</f>
        <v>u</v>
      </c>
      <c r="D11" s="229">
        <v>34.0</v>
      </c>
      <c r="E11" s="204"/>
      <c r="F11" s="206">
        <v>0.1</v>
      </c>
      <c r="G11" s="221">
        <f t="shared" si="1"/>
        <v>38</v>
      </c>
      <c r="H11" s="143">
        <f>IF($A11=0,"",VLOOKUP($A11,'00_Mat'!$A$4:$J$1135,5,FALSE))</f>
        <v>20442.5</v>
      </c>
      <c r="I11" s="143">
        <f t="shared" si="2"/>
        <v>776815</v>
      </c>
    </row>
    <row r="12" ht="14.25" customHeight="1">
      <c r="A12" s="3" t="s">
        <v>140</v>
      </c>
      <c r="B12" s="92" t="str">
        <f>IF($A12=0,"",VLOOKUP($A12,'00_Mat'!$A$4:$J$1135,2,FALSE))</f>
        <v>Hierros ADN 420 Φ 16</v>
      </c>
      <c r="C12" s="92" t="str">
        <f>IF($A12=0,"",VLOOKUP($A12,'00_Mat'!$A$4:$J$1135,3,FALSE))</f>
        <v>u</v>
      </c>
      <c r="D12" s="229">
        <v>9.0</v>
      </c>
      <c r="E12" s="204"/>
      <c r="F12" s="206">
        <v>0.1</v>
      </c>
      <c r="G12" s="221">
        <f t="shared" si="1"/>
        <v>10</v>
      </c>
      <c r="H12" s="143">
        <f>IF($A12=0,"",VLOOKUP($A12,'00_Mat'!$A$4:$J$1135,5,FALSE))</f>
        <v>36603.12</v>
      </c>
      <c r="I12" s="143">
        <f t="shared" si="2"/>
        <v>366031.2</v>
      </c>
    </row>
    <row r="13" ht="14.25" customHeight="1">
      <c r="A13" s="20" t="s">
        <v>142</v>
      </c>
      <c r="B13" s="92" t="str">
        <f>IF($A13=0,"",VLOOKUP($A13,'00_Mat'!$A$4:$J$1135,2,FALSE))</f>
        <v>Hierros ADN 420 Φ 20</v>
      </c>
      <c r="C13" s="92" t="str">
        <f>IF($A13=0,"",VLOOKUP($A13,'00_Mat'!$A$4:$J$1135,3,FALSE))</f>
        <v>U</v>
      </c>
      <c r="D13" s="229">
        <v>12.0</v>
      </c>
      <c r="E13" s="204"/>
      <c r="F13" s="206">
        <v>0.1</v>
      </c>
      <c r="G13" s="221">
        <f t="shared" si="1"/>
        <v>14</v>
      </c>
      <c r="H13" s="143">
        <f>IF($A13=0,"",VLOOKUP($A13,'00_Mat'!$A$4:$J$1135,5,FALSE))</f>
        <v>55000</v>
      </c>
      <c r="I13" s="143">
        <f t="shared" si="2"/>
        <v>770000</v>
      </c>
    </row>
    <row r="14" ht="14.25" customHeight="1">
      <c r="A14" s="3" t="s">
        <v>300</v>
      </c>
      <c r="B14" s="92" t="str">
        <f>IF($A14=0,"",VLOOKUP($A14,'00_Mat'!$A$4:$J$1135,2,FALSE))</f>
        <v>Fenolico 18mm Miraluz 125 GR con film</v>
      </c>
      <c r="C14" s="92" t="str">
        <f>IF($A14=0,"",VLOOKUP($A14,'00_Mat'!$A$4:$J$1135,3,FALSE))</f>
        <v>u</v>
      </c>
      <c r="D14" s="229">
        <v>0.0</v>
      </c>
      <c r="E14" s="204"/>
      <c r="F14" s="236">
        <v>0.25</v>
      </c>
      <c r="G14" s="221">
        <f t="shared" si="1"/>
        <v>0</v>
      </c>
      <c r="H14" s="143">
        <f>IF($A14=0,"",VLOOKUP($A14,'00_Mat'!$A$4:$J$1135,5,FALSE))</f>
        <v>55260</v>
      </c>
      <c r="I14" s="143">
        <f t="shared" si="2"/>
        <v>0</v>
      </c>
      <c r="J14" s="153" t="s">
        <v>1029</v>
      </c>
    </row>
    <row r="15" ht="14.25" customHeight="1">
      <c r="A15" s="3" t="s">
        <v>303</v>
      </c>
      <c r="B15" s="92" t="str">
        <f>IF($A15=0,"",VLOOKUP($A15,'00_Mat'!$A$4:$J$1135,2,FALSE))</f>
        <v>Fenolico 18mm Grandis 2 Buenas cal 3/3</v>
      </c>
      <c r="C15" s="92" t="str">
        <f>IF($A15=0,"",VLOOKUP($A15,'00_Mat'!$A$4:$J$1135,3,FALSE))</f>
        <v>u</v>
      </c>
      <c r="D15" s="229">
        <f>63/2</f>
        <v>31.5</v>
      </c>
      <c r="E15" s="204"/>
      <c r="F15" s="236">
        <v>0.25</v>
      </c>
      <c r="G15" s="221">
        <f t="shared" si="1"/>
        <v>40</v>
      </c>
      <c r="H15" s="143">
        <f>IF($A15=0,"",VLOOKUP($A15,'00_Mat'!$A$4:$J$1135,5,FALSE))</f>
        <v>45454</v>
      </c>
      <c r="I15" s="143">
        <f t="shared" si="2"/>
        <v>1818160</v>
      </c>
      <c r="J15" s="153" t="s">
        <v>1030</v>
      </c>
    </row>
    <row r="16" ht="14.25" customHeight="1">
      <c r="A16" s="204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04"/>
      <c r="E16" s="204"/>
      <c r="F16" s="206"/>
      <c r="G16" s="221">
        <f t="shared" si="1"/>
        <v>0</v>
      </c>
      <c r="H16" s="143" t="str">
        <f>IF($A16=0,"",VLOOKUP($A16,'00_Mat'!$A$4:$J$1135,5,FALSE))</f>
        <v/>
      </c>
      <c r="I16" s="143"/>
    </row>
    <row r="17" ht="14.25" customHeight="1">
      <c r="A17" s="204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04"/>
      <c r="E17" s="204"/>
      <c r="F17" s="206"/>
      <c r="G17" s="221">
        <f t="shared" si="1"/>
        <v>0</v>
      </c>
      <c r="H17" s="143" t="str">
        <f>IF($A17=0,"",VLOOKUP($A17,'00_Mat'!$A$4:$J$1135,5,FALSE))</f>
        <v/>
      </c>
      <c r="I17" s="143"/>
    </row>
    <row r="18" ht="14.25" customHeight="1">
      <c r="A18" s="204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04"/>
      <c r="E18" s="204"/>
      <c r="F18" s="206"/>
      <c r="G18" s="221">
        <f t="shared" si="1"/>
        <v>0</v>
      </c>
      <c r="H18" s="143" t="str">
        <f>IF($A18=0,"",VLOOKUP($A18,'00_Mat'!$A$4:$J$1135,5,FALSE))</f>
        <v/>
      </c>
      <c r="I18" s="143"/>
    </row>
    <row r="19" ht="14.25" customHeight="1">
      <c r="F19" s="208"/>
      <c r="G19" s="3"/>
      <c r="H19" s="143"/>
      <c r="I19" s="143"/>
    </row>
    <row r="20" ht="14.25" customHeight="1">
      <c r="A20" s="222" t="s">
        <v>996</v>
      </c>
      <c r="B20" s="223"/>
      <c r="C20" s="223"/>
      <c r="D20" s="223"/>
      <c r="E20" s="223"/>
      <c r="F20" s="223"/>
      <c r="G20" s="211"/>
      <c r="H20" s="223"/>
      <c r="I20" s="224">
        <f>SUM(I7:I18)</f>
        <v>7838557.2</v>
      </c>
      <c r="J20" s="92"/>
      <c r="K20" s="92"/>
      <c r="L20" s="92"/>
    </row>
    <row r="21" ht="14.25" customHeight="1">
      <c r="A21" s="232" t="str">
        <f>$I$3</f>
        <v>m³</v>
      </c>
      <c r="B21" s="233"/>
      <c r="C21" s="233"/>
      <c r="D21" s="233"/>
      <c r="E21" s="233"/>
      <c r="F21" s="233"/>
      <c r="G21" s="21"/>
      <c r="H21" s="233"/>
      <c r="I21" s="205">
        <f>$H$3</f>
        <v>14</v>
      </c>
      <c r="J21" s="92"/>
      <c r="K21" s="92"/>
      <c r="L21" s="92"/>
    </row>
    <row r="22" ht="14.25" customHeight="1">
      <c r="A22" s="234" t="s">
        <v>997</v>
      </c>
      <c r="B22" s="232" t="str">
        <f>A21</f>
        <v>m³</v>
      </c>
      <c r="C22" s="233"/>
      <c r="D22" s="233"/>
      <c r="E22" s="233"/>
      <c r="F22" s="233"/>
      <c r="G22" s="21"/>
      <c r="H22" s="233"/>
      <c r="I22" s="235">
        <f>I20/I21</f>
        <v>559896.9429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01" t="s">
        <v>998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02" t="s">
        <v>988</v>
      </c>
      <c r="B26" s="202" t="s">
        <v>989</v>
      </c>
      <c r="C26" s="202" t="s">
        <v>990</v>
      </c>
      <c r="D26" s="202" t="s">
        <v>991</v>
      </c>
      <c r="E26" s="202" t="s">
        <v>999</v>
      </c>
      <c r="F26" s="202" t="s">
        <v>992</v>
      </c>
      <c r="G26" s="4" t="s">
        <v>993</v>
      </c>
      <c r="H26" s="202" t="s">
        <v>994</v>
      </c>
      <c r="I26" s="202" t="s">
        <v>995</v>
      </c>
    </row>
    <row r="27" ht="14.25" customHeight="1">
      <c r="A27" s="61" t="s">
        <v>621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29">
        <v>1.0</v>
      </c>
      <c r="E27" s="229">
        <v>12.0</v>
      </c>
      <c r="F27" s="236">
        <v>0.25</v>
      </c>
      <c r="G27" s="217">
        <f t="shared" ref="G27:G32" si="3">ROUNDUP(((D27*E27)*(1+F27)),0)</f>
        <v>15</v>
      </c>
      <c r="H27" s="143">
        <f>IF($A27=0,"",VLOOKUP($A27,'00_MO'!$A$4:$D$7,4,FALSE))</f>
        <v>120000</v>
      </c>
      <c r="I27" s="143">
        <f t="shared" ref="I27:I30" si="4">G27*H27</f>
        <v>1800000</v>
      </c>
    </row>
    <row r="28" ht="14.25" customHeight="1">
      <c r="A28" s="61" t="s">
        <v>623</v>
      </c>
      <c r="B28" s="92" t="str">
        <f>IF($A28=0,"",VLOOKUP($A28,'00_MO'!$A$4:$D$7,2,FALSE))</f>
        <v>Puntero</v>
      </c>
      <c r="C28" s="92" t="str">
        <f>IF($A28=0,"",VLOOKUP($A28,'00_MO'!$A$4:$D$7,3,FALSE))</f>
        <v>u</v>
      </c>
      <c r="D28" s="229">
        <v>2.0</v>
      </c>
      <c r="E28" s="229">
        <v>12.0</v>
      </c>
      <c r="F28" s="236">
        <v>0.25</v>
      </c>
      <c r="G28" s="217">
        <f t="shared" si="3"/>
        <v>30</v>
      </c>
      <c r="H28" s="143">
        <f>IF($A28=0,"",VLOOKUP($A28,'00_MO'!$A$4:$D$7,4,FALSE))</f>
        <v>105000</v>
      </c>
      <c r="I28" s="143">
        <f t="shared" si="4"/>
        <v>3150000</v>
      </c>
    </row>
    <row r="29" ht="14.25" customHeight="1">
      <c r="A29" s="61" t="s">
        <v>625</v>
      </c>
      <c r="B29" s="92" t="str">
        <f>IF($A29=0,"",VLOOKUP($A29,'00_MO'!$A$4:$D$7,2,FALSE))</f>
        <v>Oficial</v>
      </c>
      <c r="C29" s="92" t="str">
        <f>IF($A29=0,"",VLOOKUP($A29,'00_MO'!$A$4:$D$7,3,FALSE))</f>
        <v>u</v>
      </c>
      <c r="D29" s="229">
        <v>3.0</v>
      </c>
      <c r="E29" s="229">
        <v>12.0</v>
      </c>
      <c r="F29" s="236">
        <v>0.25</v>
      </c>
      <c r="G29" s="217">
        <f t="shared" si="3"/>
        <v>45</v>
      </c>
      <c r="H29" s="143">
        <f>IF($A29=0,"",VLOOKUP($A29,'00_MO'!$A$4:$D$7,4,FALSE))</f>
        <v>90000</v>
      </c>
      <c r="I29" s="143">
        <f t="shared" si="4"/>
        <v>4050000</v>
      </c>
    </row>
    <row r="30" ht="14.25" customHeight="1">
      <c r="A30" s="61" t="s">
        <v>627</v>
      </c>
      <c r="B30" s="92" t="str">
        <f>IF($A30=0,"",VLOOKUP($A30,'00_MO'!$A$4:$D$7,2,FALSE))</f>
        <v>Ayudante</v>
      </c>
      <c r="C30" s="92" t="str">
        <f>IF($A30=0,"",VLOOKUP($A30,'00_MO'!$A$4:$D$7,3,FALSE))</f>
        <v>u</v>
      </c>
      <c r="D30" s="229">
        <v>3.0</v>
      </c>
      <c r="E30" s="229">
        <v>12.0</v>
      </c>
      <c r="F30" s="236">
        <v>0.25</v>
      </c>
      <c r="G30" s="217">
        <f t="shared" si="3"/>
        <v>45</v>
      </c>
      <c r="H30" s="143">
        <f>IF($A30=0,"",VLOOKUP($A30,'00_MO'!$A$4:$D$7,4,FALSE))</f>
        <v>60000</v>
      </c>
      <c r="I30" s="143">
        <f t="shared" si="4"/>
        <v>2700000</v>
      </c>
    </row>
    <row r="31" ht="14.25" customHeight="1">
      <c r="A31" s="204"/>
      <c r="B31" s="92" t="str">
        <f>IF($A31=0,"",VLOOKUP($A31,'00_MO'!$A$4:$D$7,2,FALSE))</f>
        <v/>
      </c>
      <c r="C31" s="92" t="str">
        <f>IF($A31=0,"",VLOOKUP($A31,'00_MO'!$A$4:$D$7,3,FALSE))</f>
        <v/>
      </c>
      <c r="D31" s="204"/>
      <c r="E31" s="204"/>
      <c r="F31" s="206"/>
      <c r="G31" s="217">
        <f t="shared" si="3"/>
        <v>0</v>
      </c>
      <c r="H31" s="143" t="str">
        <f>IF($A31=0,"",VLOOKUP($A31,'00_MO'!$A$4:$D$7,4,FALSE))</f>
        <v/>
      </c>
      <c r="I31" s="143"/>
    </row>
    <row r="32" ht="14.25" customHeight="1">
      <c r="A32" s="204"/>
      <c r="B32" s="92" t="str">
        <f>IF($A32=0,"",VLOOKUP($A32,'00_MO'!$A$4:$D$7,2,FALSE))</f>
        <v/>
      </c>
      <c r="C32" s="92" t="str">
        <f>IF($A32=0,"",VLOOKUP($A32,'00_MO'!$A$4:$D$7,3,FALSE))</f>
        <v/>
      </c>
      <c r="D32" s="204"/>
      <c r="E32" s="204"/>
      <c r="F32" s="206"/>
      <c r="G32" s="217">
        <f t="shared" si="3"/>
        <v>0</v>
      </c>
      <c r="H32" s="143" t="str">
        <f>IF($A32=0,"",VLOOKUP($A32,'00_MO'!$A$4:$D$7,4,FALSE))</f>
        <v/>
      </c>
      <c r="I32" s="143"/>
    </row>
    <row r="33" ht="14.25" customHeight="1">
      <c r="F33" s="208"/>
      <c r="G33" s="3"/>
      <c r="H33" s="143"/>
      <c r="I33" s="143"/>
    </row>
    <row r="34" ht="14.25" customHeight="1">
      <c r="A34" s="222" t="s">
        <v>987</v>
      </c>
      <c r="B34" s="223"/>
      <c r="C34" s="223"/>
      <c r="D34" s="223"/>
      <c r="E34" s="223"/>
      <c r="F34" s="223"/>
      <c r="G34" s="211"/>
      <c r="H34" s="223"/>
      <c r="I34" s="224">
        <f>SUM(I27:I32)</f>
        <v>11700000</v>
      </c>
    </row>
    <row r="35" ht="14.25" customHeight="1">
      <c r="A35" s="232" t="str">
        <f>$I$3</f>
        <v>m³</v>
      </c>
      <c r="B35" s="233"/>
      <c r="C35" s="233"/>
      <c r="D35" s="233"/>
      <c r="E35" s="233"/>
      <c r="F35" s="233"/>
      <c r="G35" s="21"/>
      <c r="H35" s="233"/>
      <c r="I35" s="205">
        <f>$H$3</f>
        <v>14</v>
      </c>
      <c r="J35" s="92"/>
      <c r="K35" s="92"/>
      <c r="L35" s="92"/>
    </row>
    <row r="36" ht="14.25" customHeight="1">
      <c r="A36" s="234" t="s">
        <v>997</v>
      </c>
      <c r="B36" s="232" t="str">
        <f>A35</f>
        <v>m³</v>
      </c>
      <c r="C36" s="233"/>
      <c r="D36" s="233"/>
      <c r="E36" s="233"/>
      <c r="F36" s="233"/>
      <c r="G36" s="21"/>
      <c r="H36" s="233"/>
      <c r="I36" s="235">
        <f>I34/I35</f>
        <v>835714.2857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01" t="s">
        <v>1000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02" t="s">
        <v>988</v>
      </c>
      <c r="B40" s="202" t="s">
        <v>989</v>
      </c>
      <c r="C40" s="202" t="s">
        <v>990</v>
      </c>
      <c r="D40" s="202" t="s">
        <v>991</v>
      </c>
      <c r="E40" s="202" t="s">
        <v>999</v>
      </c>
      <c r="F40" s="202" t="s">
        <v>992</v>
      </c>
      <c r="G40" s="4" t="s">
        <v>993</v>
      </c>
      <c r="H40" s="202" t="s">
        <v>994</v>
      </c>
      <c r="I40" s="202" t="s">
        <v>995</v>
      </c>
    </row>
    <row r="41" ht="14.25" customHeight="1">
      <c r="A41" s="3"/>
      <c r="B41" s="92" t="str">
        <f>IF($A41=0,"",VLOOKUP($A41,'00_Mat'!$A$4:$J$1135,2,FALSE))</f>
        <v/>
      </c>
      <c r="C41" s="92" t="str">
        <f>IF($A41=0,"",VLOOKUP($A41,'00_Mat'!$A$4:$J$1135,3,FALSE))</f>
        <v/>
      </c>
      <c r="D41" s="230"/>
      <c r="E41" s="204"/>
      <c r="F41" s="236"/>
      <c r="G41" s="221">
        <f t="shared" ref="G41:G45" si="5">ROUNDUP((D41+(D41*F41)),0)</f>
        <v>0</v>
      </c>
      <c r="H41" s="143" t="str">
        <f>IF($A41=0,"",VLOOKUP($A41,'00_Mat'!$A$4:$J$1135,5,FALSE))</f>
        <v/>
      </c>
      <c r="I41" s="143">
        <f t="shared" ref="I41:I46" si="6">G41*H41</f>
        <v>0</v>
      </c>
      <c r="J41" s="237"/>
    </row>
    <row r="42" ht="14.25" customHeight="1">
      <c r="A42" s="3"/>
      <c r="B42" s="92" t="str">
        <f>IF($A42=0,"",VLOOKUP($A42,'00_Mat'!$A$4:$J$1135,2,FALSE))</f>
        <v/>
      </c>
      <c r="C42" s="92" t="str">
        <f>IF($A42=0,"",VLOOKUP($A42,'00_Mat'!$A$4:$J$1135,3,FALSE))</f>
        <v/>
      </c>
      <c r="D42" s="230"/>
      <c r="E42" s="204"/>
      <c r="F42" s="236"/>
      <c r="G42" s="221">
        <f t="shared" si="5"/>
        <v>0</v>
      </c>
      <c r="H42" s="143" t="str">
        <f>IF($A42=0,"",VLOOKUP($A42,'00_Mat'!$A$4:$J$1135,5,FALSE))</f>
        <v/>
      </c>
      <c r="I42" s="143">
        <f t="shared" si="6"/>
        <v>0</v>
      </c>
      <c r="J42" s="237"/>
    </row>
    <row r="43" ht="14.25" customHeight="1">
      <c r="A43" s="3"/>
      <c r="B43" s="92" t="str">
        <f>IF($A43=0,"",VLOOKUP($A43,'00_Mat'!$A$4:$J$1135,2,FALSE))</f>
        <v/>
      </c>
      <c r="C43" s="92" t="str">
        <f>IF($A43=0,"",VLOOKUP($A43,'00_Mat'!$A$4:$J$1135,3,FALSE))</f>
        <v/>
      </c>
      <c r="D43" s="230"/>
      <c r="E43" s="204"/>
      <c r="F43" s="236"/>
      <c r="G43" s="221">
        <f t="shared" si="5"/>
        <v>0</v>
      </c>
      <c r="H43" s="143" t="str">
        <f>IF($A43=0,"",VLOOKUP($A43,'00_Mat'!$A$4:$J$1135,5,FALSE))</f>
        <v/>
      </c>
      <c r="I43" s="143">
        <f t="shared" si="6"/>
        <v>0</v>
      </c>
    </row>
    <row r="44" ht="14.25" customHeight="1">
      <c r="A44" s="20"/>
      <c r="B44" s="92" t="str">
        <f>IF($A44=0,"",VLOOKUP($A44,'00_Mat'!$A$4:$J$1135,2,FALSE))</f>
        <v/>
      </c>
      <c r="C44" s="92" t="str">
        <f>IF($A44=0,"",VLOOKUP($A44,'00_Mat'!$A$4:$J$1135,3,FALSE))</f>
        <v/>
      </c>
      <c r="D44" s="230"/>
      <c r="E44" s="204"/>
      <c r="F44" s="236"/>
      <c r="G44" s="221">
        <f t="shared" si="5"/>
        <v>0</v>
      </c>
      <c r="H44" s="143" t="str">
        <f>IF($A44=0,"",VLOOKUP($A44,'00_Mat'!$A$4:$J$1135,5,FALSE))</f>
        <v/>
      </c>
      <c r="I44" s="143">
        <f t="shared" si="6"/>
        <v>0</v>
      </c>
    </row>
    <row r="45" ht="14.25" customHeight="1">
      <c r="B45" s="194" t="str">
        <f>IF($A45=0,"",VLOOKUP($A45,'00_Mat'!$A$4:$J$1135,2,FALSE))</f>
        <v/>
      </c>
      <c r="C45" s="92" t="str">
        <f>IF($A45=0,"",VLOOKUP($A45,'00_Mat'!$A$4:$J$1135,3,FALSE))</f>
        <v/>
      </c>
      <c r="D45" s="230"/>
      <c r="E45" s="204"/>
      <c r="F45" s="236"/>
      <c r="G45" s="221">
        <f t="shared" si="5"/>
        <v>0</v>
      </c>
      <c r="H45" s="231"/>
      <c r="I45" s="143">
        <f t="shared" si="6"/>
        <v>0</v>
      </c>
      <c r="M45" s="153"/>
    </row>
    <row r="46" ht="14.25" customHeight="1">
      <c r="A46" s="204"/>
      <c r="B46" s="92" t="str">
        <f>IF($A46=0,"",VLOOKUP($A46,'00_Mat'!$A$4:$J$1135,2,FALSE))</f>
        <v/>
      </c>
      <c r="C46" s="92" t="str">
        <f>IF($A46=0,"",VLOOKUP($A46,'00_Mat'!$A$4:$J$1135,3,FALSE))</f>
        <v/>
      </c>
      <c r="D46" s="204"/>
      <c r="E46" s="204"/>
      <c r="F46" s="236"/>
      <c r="G46" s="217">
        <f>ROUNDUP(((D46*E46)*(1+F46)),0)</f>
        <v>0</v>
      </c>
      <c r="H46" s="143" t="str">
        <f>IF($A46=0,"",VLOOKUP($A46,'00_Mat'!$A$4:$J$1135,5,FALSE))</f>
        <v/>
      </c>
      <c r="I46" s="143">
        <f t="shared" si="6"/>
        <v>0</v>
      </c>
    </row>
    <row r="47" ht="14.25" customHeight="1">
      <c r="F47" s="208"/>
      <c r="G47" s="3"/>
      <c r="H47" s="143"/>
      <c r="I47" s="143"/>
    </row>
    <row r="48" ht="14.25" customHeight="1">
      <c r="A48" s="222" t="s">
        <v>987</v>
      </c>
      <c r="B48" s="223"/>
      <c r="C48" s="223"/>
      <c r="D48" s="223"/>
      <c r="E48" s="223"/>
      <c r="F48" s="223"/>
      <c r="G48" s="211"/>
      <c r="H48" s="223"/>
      <c r="I48" s="224">
        <f>SUM(I41:I46)</f>
        <v>0</v>
      </c>
    </row>
    <row r="49" ht="14.25" customHeight="1">
      <c r="A49" s="232" t="str">
        <f>$I$3</f>
        <v>m³</v>
      </c>
      <c r="B49" s="233"/>
      <c r="C49" s="233"/>
      <c r="D49" s="233"/>
      <c r="E49" s="233"/>
      <c r="F49" s="233"/>
      <c r="G49" s="21"/>
      <c r="H49" s="233"/>
      <c r="I49" s="205">
        <f>$H$3</f>
        <v>14</v>
      </c>
      <c r="J49" s="92"/>
      <c r="K49" s="92"/>
      <c r="L49" s="92"/>
    </row>
    <row r="50" ht="14.25" customHeight="1">
      <c r="A50" s="234" t="s">
        <v>997</v>
      </c>
      <c r="B50" s="232" t="str">
        <f>A49</f>
        <v>m³</v>
      </c>
      <c r="C50" s="233"/>
      <c r="D50" s="233"/>
      <c r="E50" s="233"/>
      <c r="F50" s="233"/>
      <c r="G50" s="21"/>
      <c r="H50" s="233"/>
      <c r="I50" s="235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01" t="s">
        <v>1010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02" t="s">
        <v>988</v>
      </c>
      <c r="B54" s="202" t="s">
        <v>989</v>
      </c>
      <c r="C54" s="202" t="s">
        <v>990</v>
      </c>
      <c r="D54" s="203" t="s">
        <v>991</v>
      </c>
      <c r="E54" s="197"/>
      <c r="F54" s="202" t="s">
        <v>992</v>
      </c>
      <c r="G54" s="4" t="s">
        <v>993</v>
      </c>
      <c r="H54" s="202" t="s">
        <v>994</v>
      </c>
      <c r="I54" s="202" t="s">
        <v>995</v>
      </c>
    </row>
    <row r="55" ht="14.25" customHeight="1">
      <c r="A55" s="3"/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30"/>
      <c r="E55" s="204"/>
      <c r="F55" s="236">
        <v>0.1</v>
      </c>
      <c r="G55" s="221">
        <f t="shared" ref="G55:G59" si="7">ROUNDUP((D55+(D55*F55)),0)</f>
        <v>0</v>
      </c>
      <c r="H55" s="143" t="str">
        <f>IF($A55=0,"",VLOOKUP($A55,'00_Mat'!$A$4:$J$1135,5,FALSE))</f>
        <v/>
      </c>
      <c r="I55" s="143">
        <f t="shared" ref="I55:I60" si="8">G55*H55</f>
        <v>0</v>
      </c>
      <c r="J55" s="237"/>
    </row>
    <row r="56" ht="14.25" customHeight="1">
      <c r="A56" s="3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0"/>
      <c r="E56" s="204"/>
      <c r="F56" s="236">
        <v>0.1</v>
      </c>
      <c r="G56" s="221">
        <f t="shared" si="7"/>
        <v>0</v>
      </c>
      <c r="H56" s="143" t="str">
        <f>IF($A56=0,"",VLOOKUP($A56,'00_Mat'!$A$4:$J$1135,5,FALSE))</f>
        <v/>
      </c>
      <c r="I56" s="143">
        <f t="shared" si="8"/>
        <v>0</v>
      </c>
      <c r="J56" s="237"/>
    </row>
    <row r="57" ht="14.25" customHeight="1">
      <c r="A57" s="3" t="s">
        <v>75</v>
      </c>
      <c r="B57" s="92" t="str">
        <f>IF($A57=0,"",VLOOKUP($A57,'00_Mat'!$A$4:$J$1135,2,FALSE))</f>
        <v>Clavos 2" punta paris (k)</v>
      </c>
      <c r="C57" s="92" t="str">
        <f>IF($A57=0,"",VLOOKUP($A57,'00_Mat'!$A$4:$J$1135,3,FALSE))</f>
        <v>k</v>
      </c>
      <c r="D57" s="230">
        <v>10.0</v>
      </c>
      <c r="E57" s="204"/>
      <c r="F57" s="236">
        <v>0.1</v>
      </c>
      <c r="G57" s="221">
        <f t="shared" si="7"/>
        <v>11</v>
      </c>
      <c r="H57" s="143">
        <f>IF($A57=0,"",VLOOKUP($A57,'00_Mat'!$A$4:$J$1135,5,FALSE))</f>
        <v>4500</v>
      </c>
      <c r="I57" s="143">
        <f t="shared" si="8"/>
        <v>49500</v>
      </c>
      <c r="J57" s="153" t="s">
        <v>1013</v>
      </c>
    </row>
    <row r="58" ht="14.25" customHeight="1">
      <c r="A58" s="20" t="s">
        <v>81</v>
      </c>
      <c r="B58" s="92" t="str">
        <f>IF($A58=0,"",VLOOKUP($A58,'00_Mat'!$A$4:$J$1135,2,FALSE))</f>
        <v>Alambre Fardo (50 k)</v>
      </c>
      <c r="C58" s="92" t="str">
        <f>IF($A58=0,"",VLOOKUP($A58,'00_Mat'!$A$4:$J$1135,3,FALSE))</f>
        <v>k</v>
      </c>
      <c r="D58" s="230">
        <v>1.0</v>
      </c>
      <c r="E58" s="204"/>
      <c r="F58" s="236"/>
      <c r="G58" s="221">
        <f t="shared" si="7"/>
        <v>1</v>
      </c>
      <c r="H58" s="143">
        <f>IF($A58=0,"",VLOOKUP($A58,'00_Mat'!$A$4:$J$1135,5,FALSE))</f>
        <v>220000</v>
      </c>
      <c r="I58" s="143">
        <f t="shared" si="8"/>
        <v>220000</v>
      </c>
      <c r="J58" s="153" t="s">
        <v>1033</v>
      </c>
    </row>
    <row r="59" ht="14.25" customHeight="1">
      <c r="B59" s="194" t="str">
        <f>IF($A59=0,"",VLOOKUP($A59,'00_Mat'!$A$4:$J$1135,2,FALSE))</f>
        <v/>
      </c>
      <c r="C59" s="92" t="str">
        <f>IF($A59=0,"",VLOOKUP($A59,'00_Mat'!$A$4:$J$1135,3,FALSE))</f>
        <v/>
      </c>
      <c r="D59" s="230"/>
      <c r="E59" s="204"/>
      <c r="F59" s="236">
        <v>0.1</v>
      </c>
      <c r="G59" s="221">
        <f t="shared" si="7"/>
        <v>0</v>
      </c>
      <c r="H59" s="231"/>
      <c r="I59" s="143">
        <f t="shared" si="8"/>
        <v>0</v>
      </c>
      <c r="M59" s="153"/>
    </row>
    <row r="60" ht="14.25" customHeight="1">
      <c r="A60" s="204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04"/>
      <c r="E60" s="204"/>
      <c r="F60" s="236">
        <v>0.1</v>
      </c>
      <c r="G60" s="217">
        <f>ROUNDUP(((D60*E60)*(1+F60)),0)</f>
        <v>0</v>
      </c>
      <c r="H60" s="143" t="str">
        <f>IF($A60=0,"",VLOOKUP($A60,'00_Mat'!$A$4:$J$1135,5,FALSE))</f>
        <v/>
      </c>
      <c r="I60" s="143">
        <f t="shared" si="8"/>
        <v>0</v>
      </c>
    </row>
    <row r="61" ht="14.25" customHeight="1">
      <c r="F61" s="208"/>
      <c r="G61" s="3"/>
      <c r="H61" s="143"/>
      <c r="I61" s="143"/>
    </row>
    <row r="62" ht="14.25" customHeight="1">
      <c r="A62" s="222" t="s">
        <v>987</v>
      </c>
      <c r="B62" s="223"/>
      <c r="C62" s="223"/>
      <c r="D62" s="223"/>
      <c r="E62" s="223"/>
      <c r="F62" s="223"/>
      <c r="G62" s="211"/>
      <c r="H62" s="223"/>
      <c r="I62" s="224">
        <f>SUM(I55:I60)</f>
        <v>269500</v>
      </c>
    </row>
    <row r="63" ht="14.25" customHeight="1">
      <c r="A63" s="232" t="str">
        <f>$I$3</f>
        <v>m³</v>
      </c>
      <c r="B63" s="233"/>
      <c r="C63" s="233"/>
      <c r="D63" s="233"/>
      <c r="E63" s="233"/>
      <c r="F63" s="233"/>
      <c r="G63" s="21"/>
      <c r="H63" s="233"/>
      <c r="I63" s="205">
        <f>$H$3</f>
        <v>14</v>
      </c>
      <c r="J63" s="92"/>
      <c r="K63" s="92"/>
      <c r="L63" s="92"/>
    </row>
    <row r="64" ht="14.25" customHeight="1">
      <c r="A64" s="234" t="s">
        <v>997</v>
      </c>
      <c r="B64" s="232" t="str">
        <f>A63</f>
        <v>m³</v>
      </c>
      <c r="C64" s="233"/>
      <c r="D64" s="233"/>
      <c r="E64" s="233"/>
      <c r="F64" s="233"/>
      <c r="G64" s="21"/>
      <c r="H64" s="233"/>
      <c r="I64" s="235">
        <f>I62/I63</f>
        <v>19250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01" t="s">
        <v>1025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02" t="s">
        <v>988</v>
      </c>
      <c r="B68" s="202" t="s">
        <v>989</v>
      </c>
      <c r="C68" s="202" t="s">
        <v>990</v>
      </c>
      <c r="D68" s="202" t="s">
        <v>991</v>
      </c>
      <c r="E68" s="202" t="s">
        <v>999</v>
      </c>
      <c r="F68" s="202" t="s">
        <v>992</v>
      </c>
      <c r="G68" s="4" t="s">
        <v>993</v>
      </c>
      <c r="H68" s="202" t="s">
        <v>994</v>
      </c>
      <c r="I68" s="202" t="s">
        <v>995</v>
      </c>
    </row>
    <row r="69" ht="14.25" customHeight="1">
      <c r="A69" s="204"/>
      <c r="B69" s="92" t="str">
        <f>IF($A69=0,"",VLOOKUP($A69,'00_Sub'!$A$4:$D$1007,2,FALSE))</f>
        <v/>
      </c>
      <c r="C69" s="92" t="str">
        <f>IF($A69=0,"",VLOOKUP($A69,'00_Sub'!$A$4:$D$1007,3,FALSE))</f>
        <v/>
      </c>
      <c r="D69" s="204"/>
      <c r="E69" s="204"/>
      <c r="F69" s="206"/>
      <c r="G69" s="221">
        <f t="shared" ref="G69:G74" si="9">ROUNDUP((D69+(D69*F69)),0)</f>
        <v>0</v>
      </c>
      <c r="H69" s="143" t="str">
        <f>IF($A69=0,"",VLOOKUP($A69,'00_Sub'!$A$4:$D$1007,4,FALSE))</f>
        <v/>
      </c>
      <c r="I69" s="143"/>
    </row>
    <row r="70" ht="14.25" customHeight="1">
      <c r="A70" s="204"/>
      <c r="B70" s="92" t="str">
        <f>IF($A70=0,"",VLOOKUP($A70,'00_Sub'!$A$4:$D$1007,2,FALSE))</f>
        <v/>
      </c>
      <c r="C70" s="92" t="str">
        <f>IF($A70=0,"",VLOOKUP($A70,'00_Sub'!$A$4:$D$1007,3,FALSE))</f>
        <v/>
      </c>
      <c r="D70" s="204"/>
      <c r="E70" s="204"/>
      <c r="F70" s="206"/>
      <c r="G70" s="221">
        <f t="shared" si="9"/>
        <v>0</v>
      </c>
      <c r="H70" s="143" t="str">
        <f>IF($A70=0,"",VLOOKUP($A70,'00_Sub'!$A$4:$D$1007,4,FALSE))</f>
        <v/>
      </c>
      <c r="I70" s="143"/>
    </row>
    <row r="71" ht="14.25" customHeight="1">
      <c r="A71" s="204"/>
      <c r="B71" s="92" t="str">
        <f>IF($A71=0,"",VLOOKUP($A71,'00_Sub'!$A$4:$D$1007,2,FALSE))</f>
        <v/>
      </c>
      <c r="C71" s="92" t="str">
        <f>IF($A71=0,"",VLOOKUP($A71,'00_Sub'!$A$4:$D$1007,3,FALSE))</f>
        <v/>
      </c>
      <c r="D71" s="204"/>
      <c r="E71" s="204"/>
      <c r="F71" s="206"/>
      <c r="G71" s="221">
        <f t="shared" si="9"/>
        <v>0</v>
      </c>
      <c r="H71" s="143" t="str">
        <f>IF($A71=0,"",VLOOKUP($A71,'00_Sub'!$A$4:$D$1007,4,FALSE))</f>
        <v/>
      </c>
      <c r="I71" s="143"/>
    </row>
    <row r="72" ht="14.25" customHeight="1">
      <c r="A72" s="204"/>
      <c r="B72" s="92" t="str">
        <f>IF($A72=0,"",VLOOKUP($A72,'00_Sub'!$A$4:$D$1007,2,FALSE))</f>
        <v/>
      </c>
      <c r="C72" s="92" t="str">
        <f>IF($A72=0,"",VLOOKUP($A72,'00_Sub'!$A$4:$D$1007,3,FALSE))</f>
        <v/>
      </c>
      <c r="D72" s="204"/>
      <c r="E72" s="204"/>
      <c r="F72" s="206"/>
      <c r="G72" s="221">
        <f t="shared" si="9"/>
        <v>0</v>
      </c>
      <c r="H72" s="143" t="str">
        <f>IF($A72=0,"",VLOOKUP($A72,'00_Sub'!$A$4:$D$1007,4,FALSE))</f>
        <v/>
      </c>
      <c r="I72" s="143"/>
    </row>
    <row r="73" ht="14.25" customHeight="1">
      <c r="A73" s="204"/>
      <c r="B73" s="92" t="str">
        <f>IF($A73=0,"",VLOOKUP($A73,'00_Sub'!$A$4:$D$1007,2,FALSE))</f>
        <v/>
      </c>
      <c r="C73" s="92" t="str">
        <f>IF($A73=0,"",VLOOKUP($A73,'00_Sub'!$A$4:$D$1007,3,FALSE))</f>
        <v/>
      </c>
      <c r="D73" s="204"/>
      <c r="E73" s="204"/>
      <c r="F73" s="206"/>
      <c r="G73" s="221">
        <f t="shared" si="9"/>
        <v>0</v>
      </c>
      <c r="H73" s="143" t="str">
        <f>IF($A73=0,"",VLOOKUP($A73,'00_Sub'!$A$4:$D$1007,4,FALSE))</f>
        <v/>
      </c>
      <c r="I73" s="143"/>
    </row>
    <row r="74" ht="14.25" customHeight="1">
      <c r="A74" s="204"/>
      <c r="B74" s="92" t="str">
        <f>IF($A74=0,"",VLOOKUP($A74,'00_Sub'!$A$4:$D$1007,2,FALSE))</f>
        <v/>
      </c>
      <c r="C74" s="92" t="str">
        <f>IF($A74=0,"",VLOOKUP($A74,'00_Sub'!$A$4:$D$1007,3,FALSE))</f>
        <v/>
      </c>
      <c r="D74" s="204"/>
      <c r="E74" s="204"/>
      <c r="F74" s="206"/>
      <c r="G74" s="221">
        <f t="shared" si="9"/>
        <v>0</v>
      </c>
      <c r="H74" s="143" t="str">
        <f>IF($A74=0,"",VLOOKUP($A74,'00_Sub'!$A$4:$D$1007,4,FALSE))</f>
        <v/>
      </c>
      <c r="I74" s="143"/>
    </row>
    <row r="75" ht="14.25" customHeight="1">
      <c r="F75" s="208"/>
      <c r="G75" s="3"/>
      <c r="H75" s="143"/>
      <c r="I75" s="143"/>
    </row>
    <row r="76" ht="14.25" customHeight="1">
      <c r="A76" s="222" t="s">
        <v>987</v>
      </c>
      <c r="B76" s="223"/>
      <c r="C76" s="223"/>
      <c r="D76" s="223"/>
      <c r="E76" s="223"/>
      <c r="F76" s="223"/>
      <c r="G76" s="211"/>
      <c r="H76" s="223"/>
      <c r="I76" s="224">
        <f>SUM(I69:I74)</f>
        <v>0</v>
      </c>
    </row>
    <row r="77" ht="14.25" customHeight="1">
      <c r="A77" s="232" t="str">
        <f>$I$3</f>
        <v>m³</v>
      </c>
      <c r="B77" s="233"/>
      <c r="C77" s="233"/>
      <c r="D77" s="233"/>
      <c r="E77" s="233"/>
      <c r="F77" s="233"/>
      <c r="G77" s="21"/>
      <c r="H77" s="233"/>
      <c r="I77" s="205">
        <f>$H$3</f>
        <v>14</v>
      </c>
      <c r="J77" s="92"/>
      <c r="K77" s="92"/>
      <c r="L77" s="92"/>
    </row>
    <row r="78" ht="14.25" customHeight="1">
      <c r="A78" s="234" t="s">
        <v>997</v>
      </c>
      <c r="B78" s="232" t="str">
        <f>A77</f>
        <v>m³</v>
      </c>
      <c r="C78" s="233"/>
      <c r="D78" s="233"/>
      <c r="E78" s="233"/>
      <c r="F78" s="233"/>
      <c r="G78" s="21"/>
      <c r="H78" s="233"/>
      <c r="I78" s="235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3">
    <mergeCell ref="B3:F3"/>
    <mergeCell ref="D6:E6"/>
    <mergeCell ref="D54:E54"/>
  </mergeCells>
  <printOptions/>
  <pageMargins bottom="0.75" footer="0.0" header="0.0" left="0.7" right="0.7" top="0.75"/>
  <pageSetup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1" width="8.71"/>
    <col customWidth="1" min="12" max="12" width="10.14"/>
    <col customWidth="1" min="13" max="13" width="19.29"/>
  </cols>
  <sheetData>
    <row r="1" ht="33.75" customHeight="1">
      <c r="A1" s="91" t="str">
        <f>'01_C&amp;P'!A1</f>
        <v>EDIFICIO LAS HERAS</v>
      </c>
      <c r="B1" s="91"/>
      <c r="C1" s="91"/>
      <c r="G1" s="3"/>
    </row>
    <row r="2" ht="14.25" customHeight="1">
      <c r="G2" s="3"/>
    </row>
    <row r="3" ht="23.25" customHeight="1">
      <c r="A3" s="195">
        <f>'01_C&amp;P'!A40</f>
        <v>45353</v>
      </c>
      <c r="B3" s="196" t="str">
        <f>IF($A3=0,"",VLOOKUP($A3,'01_C&amp;P'!$A$9:$D$192,2,FALSE))</f>
        <v>LOSA</v>
      </c>
      <c r="C3" s="197"/>
      <c r="D3" s="197"/>
      <c r="E3" s="197"/>
      <c r="F3" s="197"/>
      <c r="G3" s="198"/>
      <c r="H3" s="199">
        <f>IF($A3=0,"",VLOOKUP($A3,'01_C&amp;P'!$A$9:$D$192,4,FALSE))</f>
        <v>26</v>
      </c>
      <c r="I3" s="200" t="str">
        <f>IF($A3=0,"",VLOOKUP($A3,'01_C&amp;P'!$A$9:$D$192,3,FALSE))</f>
        <v>m³</v>
      </c>
      <c r="M3" s="85" t="s">
        <v>1037</v>
      </c>
    </row>
    <row r="4" ht="14.25" customHeight="1">
      <c r="G4" s="3"/>
      <c r="M4" s="153"/>
    </row>
    <row r="5" ht="14.25" customHeight="1">
      <c r="A5" s="201" t="s">
        <v>0</v>
      </c>
      <c r="B5" s="94"/>
      <c r="C5" s="94"/>
      <c r="D5" s="94"/>
      <c r="E5" s="94"/>
      <c r="F5" s="94"/>
      <c r="G5" s="2"/>
      <c r="H5" s="94"/>
      <c r="I5" s="94"/>
    </row>
    <row r="6" ht="14.25" customHeight="1">
      <c r="A6" s="202" t="s">
        <v>988</v>
      </c>
      <c r="B6" s="202" t="s">
        <v>989</v>
      </c>
      <c r="C6" s="202" t="s">
        <v>990</v>
      </c>
      <c r="D6" s="203" t="s">
        <v>991</v>
      </c>
      <c r="E6" s="197"/>
      <c r="F6" s="202" t="s">
        <v>992</v>
      </c>
      <c r="G6" s="4" t="s">
        <v>993</v>
      </c>
      <c r="H6" s="202" t="s">
        <v>994</v>
      </c>
      <c r="I6" s="202" t="s">
        <v>995</v>
      </c>
    </row>
    <row r="7" ht="14.25" customHeight="1">
      <c r="A7" s="229" t="s">
        <v>560</v>
      </c>
      <c r="B7" s="92" t="str">
        <f>IF($A7=0,"",VLOOKUP($A7,'00_Mat'!$A$4:$J$1135,2,FALSE))</f>
        <v>Hormigon H30</v>
      </c>
      <c r="C7" s="92" t="str">
        <f>IF($A7=0,"",VLOOKUP($A7,'00_Mat'!$A$4:$J$1135,3,FALSE))</f>
        <v>m3</v>
      </c>
      <c r="D7" s="230">
        <f>H3+3</f>
        <v>29</v>
      </c>
      <c r="E7" s="204"/>
      <c r="F7" s="206">
        <v>0.1</v>
      </c>
      <c r="G7" s="221">
        <f t="shared" ref="G7:G18" si="1">ROUNDUP((D7+(D7*F7)),0)</f>
        <v>32</v>
      </c>
      <c r="H7" s="143">
        <f>IF($A7=0,"",VLOOKUP($A7,'00_Mat'!$A$4:$J$1135,5,FALSE))</f>
        <v>158000</v>
      </c>
      <c r="I7" s="143">
        <f t="shared" ref="I7:I17" si="2">G7*H7</f>
        <v>5056000</v>
      </c>
      <c r="J7" s="231" t="s">
        <v>548</v>
      </c>
      <c r="M7" s="153" t="s">
        <v>1038</v>
      </c>
    </row>
    <row r="8" ht="14.25" customHeight="1">
      <c r="A8" s="3" t="s">
        <v>132</v>
      </c>
      <c r="B8" s="92" t="str">
        <f>IF($A8=0,"",VLOOKUP($A8,'00_Mat'!$A$4:$J$1135,2,FALSE))</f>
        <v>Hierros ADN 420 Φ 6 </v>
      </c>
      <c r="C8" s="92" t="str">
        <f>IF($A8=0,"",VLOOKUP($A8,'00_Mat'!$A$4:$J$1135,3,FALSE))</f>
        <v>u</v>
      </c>
      <c r="D8" s="230">
        <f>190+24</f>
        <v>214</v>
      </c>
      <c r="E8" s="204"/>
      <c r="F8" s="206">
        <v>0.1</v>
      </c>
      <c r="G8" s="221">
        <f t="shared" si="1"/>
        <v>236</v>
      </c>
      <c r="H8" s="143">
        <f>IF($A8=0,"",VLOOKUP($A8,'00_Mat'!$A$4:$J$1135,5,FALSE))</f>
        <v>5250</v>
      </c>
      <c r="I8" s="143">
        <f t="shared" si="2"/>
        <v>1239000</v>
      </c>
      <c r="J8" s="153" t="s">
        <v>1028</v>
      </c>
      <c r="M8" s="153" t="s">
        <v>1039</v>
      </c>
    </row>
    <row r="9" ht="14.25" customHeight="1">
      <c r="A9" s="3" t="s">
        <v>134</v>
      </c>
      <c r="B9" s="92" t="str">
        <f>IF($A9=0,"",VLOOKUP($A9,'00_Mat'!$A$4:$J$1135,2,FALSE))</f>
        <v>Hierros ADN 420 Φ 8</v>
      </c>
      <c r="C9" s="92" t="str">
        <f>IF($A9=0,"",VLOOKUP($A9,'00_Mat'!$A$4:$J$1135,3,FALSE))</f>
        <v>u</v>
      </c>
      <c r="D9" s="229">
        <v>0.0</v>
      </c>
      <c r="E9" s="204"/>
      <c r="F9" s="206">
        <v>0.1</v>
      </c>
      <c r="G9" s="221">
        <f t="shared" si="1"/>
        <v>0</v>
      </c>
      <c r="H9" s="143">
        <f>IF($A9=0,"",VLOOKUP($A9,'00_Mat'!$A$4:$J$1135,5,FALSE))</f>
        <v>9050</v>
      </c>
      <c r="I9" s="143">
        <f t="shared" si="2"/>
        <v>0</v>
      </c>
    </row>
    <row r="10" ht="14.25" customHeight="1">
      <c r="A10" s="3" t="s">
        <v>136</v>
      </c>
      <c r="B10" s="92" t="str">
        <f>IF($A10=0,"",VLOOKUP($A10,'00_Mat'!$A$4:$J$1135,2,FALSE))</f>
        <v>Hierros ADN 420Φ 10</v>
      </c>
      <c r="C10" s="92" t="str">
        <f>IF($A10=0,"",VLOOKUP($A10,'00_Mat'!$A$4:$J$1135,3,FALSE))</f>
        <v>u</v>
      </c>
      <c r="D10" s="229">
        <f>60+24</f>
        <v>84</v>
      </c>
      <c r="E10" s="204"/>
      <c r="F10" s="206">
        <v>0.1</v>
      </c>
      <c r="G10" s="221">
        <f t="shared" si="1"/>
        <v>93</v>
      </c>
      <c r="H10" s="143">
        <f>IF($A10=0,"",VLOOKUP($A10,'00_Mat'!$A$4:$J$1135,5,FALSE))</f>
        <v>11237</v>
      </c>
      <c r="I10" s="143">
        <f t="shared" si="2"/>
        <v>1045041</v>
      </c>
      <c r="M10" s="153" t="s">
        <v>1039</v>
      </c>
    </row>
    <row r="11" ht="14.25" customHeight="1">
      <c r="A11" s="3" t="s">
        <v>138</v>
      </c>
      <c r="B11" s="92" t="str">
        <f>IF($A11=0,"",VLOOKUP($A11,'00_Mat'!$A$4:$J$1135,2,FALSE))</f>
        <v>Hierros ADN 420 Φ 12</v>
      </c>
      <c r="C11" s="92" t="str">
        <f>IF($A11=0,"",VLOOKUP($A11,'00_Mat'!$A$4:$J$1135,3,FALSE))</f>
        <v>u</v>
      </c>
      <c r="D11" s="229">
        <v>0.0</v>
      </c>
      <c r="E11" s="204"/>
      <c r="F11" s="206">
        <v>0.1</v>
      </c>
      <c r="G11" s="221">
        <f t="shared" si="1"/>
        <v>0</v>
      </c>
      <c r="H11" s="143">
        <f>IF($A11=0,"",VLOOKUP($A11,'00_Mat'!$A$4:$J$1135,5,FALSE))</f>
        <v>20442.5</v>
      </c>
      <c r="I11" s="143">
        <f t="shared" si="2"/>
        <v>0</v>
      </c>
    </row>
    <row r="12" ht="14.25" customHeight="1">
      <c r="A12" s="3" t="s">
        <v>140</v>
      </c>
      <c r="B12" s="92" t="str">
        <f>IF($A12=0,"",VLOOKUP($A12,'00_Mat'!$A$4:$J$1135,2,FALSE))</f>
        <v>Hierros ADN 420 Φ 16</v>
      </c>
      <c r="C12" s="92" t="str">
        <f>IF($A12=0,"",VLOOKUP($A12,'00_Mat'!$A$4:$J$1135,3,FALSE))</f>
        <v>u</v>
      </c>
      <c r="D12" s="229">
        <v>0.0</v>
      </c>
      <c r="E12" s="204"/>
      <c r="F12" s="206">
        <v>0.1</v>
      </c>
      <c r="G12" s="221">
        <f t="shared" si="1"/>
        <v>0</v>
      </c>
      <c r="H12" s="143">
        <f>IF($A12=0,"",VLOOKUP($A12,'00_Mat'!$A$4:$J$1135,5,FALSE))</f>
        <v>36603.12</v>
      </c>
      <c r="I12" s="143">
        <f t="shared" si="2"/>
        <v>0</v>
      </c>
    </row>
    <row r="13" ht="14.25" customHeight="1">
      <c r="A13" s="20" t="s">
        <v>142</v>
      </c>
      <c r="B13" s="92" t="str">
        <f>IF($A13=0,"",VLOOKUP($A13,'00_Mat'!$A$4:$J$1135,2,FALSE))</f>
        <v>Hierros ADN 420 Φ 20</v>
      </c>
      <c r="C13" s="92" t="str">
        <f>IF($A13=0,"",VLOOKUP($A13,'00_Mat'!$A$4:$J$1135,3,FALSE))</f>
        <v>U</v>
      </c>
      <c r="D13" s="229">
        <v>0.0</v>
      </c>
      <c r="E13" s="204"/>
      <c r="F13" s="206">
        <v>0.1</v>
      </c>
      <c r="G13" s="221">
        <f t="shared" si="1"/>
        <v>0</v>
      </c>
      <c r="H13" s="143">
        <f>IF($A13=0,"",VLOOKUP($A13,'00_Mat'!$A$4:$J$1135,5,FALSE))</f>
        <v>55000</v>
      </c>
      <c r="I13" s="143">
        <f t="shared" si="2"/>
        <v>0</v>
      </c>
    </row>
    <row r="14" ht="14.25" customHeight="1">
      <c r="A14" s="3" t="s">
        <v>300</v>
      </c>
      <c r="B14" s="92" t="str">
        <f>IF($A14=0,"",VLOOKUP($A14,'00_Mat'!$A$4:$J$1135,2,FALSE))</f>
        <v>Fenolico 18mm Miraluz 125 GR con film</v>
      </c>
      <c r="C14" s="92" t="str">
        <f>IF($A14=0,"",VLOOKUP($A14,'00_Mat'!$A$4:$J$1135,3,FALSE))</f>
        <v>u</v>
      </c>
      <c r="D14" s="229">
        <f>41/2</f>
        <v>20.5</v>
      </c>
      <c r="E14" s="204"/>
      <c r="F14" s="236">
        <v>0.25</v>
      </c>
      <c r="G14" s="221">
        <f t="shared" si="1"/>
        <v>26</v>
      </c>
      <c r="H14" s="143">
        <f>IF($A14=0,"",VLOOKUP($A14,'00_Mat'!$A$4:$J$1135,5,FALSE))</f>
        <v>55260</v>
      </c>
      <c r="I14" s="143">
        <f t="shared" si="2"/>
        <v>1436760</v>
      </c>
      <c r="J14" s="153" t="s">
        <v>1029</v>
      </c>
    </row>
    <row r="15" ht="14.25" customHeight="1">
      <c r="A15" s="3" t="s">
        <v>303</v>
      </c>
      <c r="B15" s="92" t="str">
        <f>IF($A15=0,"",VLOOKUP($A15,'00_Mat'!$A$4:$J$1135,2,FALSE))</f>
        <v>Fenolico 18mm Grandis 2 Buenas cal 3/3</v>
      </c>
      <c r="C15" s="92" t="str">
        <f>IF($A15=0,"",VLOOKUP($A15,'00_Mat'!$A$4:$J$1135,3,FALSE))</f>
        <v>u</v>
      </c>
      <c r="D15" s="229">
        <f>(33+10)/2</f>
        <v>21.5</v>
      </c>
      <c r="E15" s="204"/>
      <c r="F15" s="236">
        <v>0.25</v>
      </c>
      <c r="G15" s="221">
        <f t="shared" si="1"/>
        <v>27</v>
      </c>
      <c r="H15" s="143">
        <f>IF($A15=0,"",VLOOKUP($A15,'00_Mat'!$A$4:$J$1135,5,FALSE))</f>
        <v>45454</v>
      </c>
      <c r="I15" s="143">
        <f t="shared" si="2"/>
        <v>1227258</v>
      </c>
      <c r="J15" s="153" t="s">
        <v>1030</v>
      </c>
      <c r="M15" s="153" t="s">
        <v>1040</v>
      </c>
    </row>
    <row r="16" ht="14.25" customHeight="1">
      <c r="A16" s="3" t="s">
        <v>602</v>
      </c>
      <c r="B16" s="92" t="str">
        <f>IF($A16=0,"",VLOOKUP($A16,'00_Mat'!$A$4:$J$1135,2,FALSE))</f>
        <v>Bomba Pluma Traslado e Instalacion</v>
      </c>
      <c r="C16" s="92" t="str">
        <f>IF($A16=0,"",VLOOKUP($A16,'00_Mat'!$A$4:$J$1135,3,FALSE))</f>
        <v>u</v>
      </c>
      <c r="D16" s="229">
        <v>1.0</v>
      </c>
      <c r="E16" s="204"/>
      <c r="F16" s="206"/>
      <c r="G16" s="221">
        <f t="shared" si="1"/>
        <v>1</v>
      </c>
      <c r="H16" s="143">
        <f>IF($A16=0,"",VLOOKUP($A16,'00_Mat'!$A$4:$J$1135,5,FALSE))</f>
        <v>600000</v>
      </c>
      <c r="I16" s="143">
        <f t="shared" si="2"/>
        <v>600000</v>
      </c>
      <c r="J16" s="153" t="s">
        <v>1031</v>
      </c>
    </row>
    <row r="17" ht="14.25" customHeight="1">
      <c r="A17" s="3" t="s">
        <v>604</v>
      </c>
      <c r="B17" s="92" t="str">
        <f>IF($A17=0,"",VLOOKUP($A17,'00_Mat'!$A$4:$J$1135,2,FALSE))</f>
        <v>Bomba Pluma m3 bombeable</v>
      </c>
      <c r="C17" s="92" t="str">
        <f>IF($A17=0,"",VLOOKUP($A17,'00_Mat'!$A$4:$J$1135,3,FALSE))</f>
        <v>m3</v>
      </c>
      <c r="D17" s="205">
        <f>D7+'2.2.'!D7</f>
        <v>43</v>
      </c>
      <c r="E17" s="204"/>
      <c r="F17" s="206"/>
      <c r="G17" s="221">
        <f t="shared" si="1"/>
        <v>43</v>
      </c>
      <c r="H17" s="143">
        <f>IF($A17=0,"",VLOOKUP($A17,'00_Mat'!$A$4:$J$1135,5,FALSE))</f>
        <v>6000</v>
      </c>
      <c r="I17" s="143">
        <f t="shared" si="2"/>
        <v>258000</v>
      </c>
      <c r="J17" s="153" t="s">
        <v>1032</v>
      </c>
    </row>
    <row r="18" ht="14.25" customHeight="1">
      <c r="A18" s="204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04"/>
      <c r="E18" s="204"/>
      <c r="F18" s="206"/>
      <c r="G18" s="221">
        <f t="shared" si="1"/>
        <v>0</v>
      </c>
      <c r="H18" s="143" t="str">
        <f>IF($A18=0,"",VLOOKUP($A18,'00_Mat'!$A$4:$J$1135,5,FALSE))</f>
        <v/>
      </c>
      <c r="I18" s="143"/>
    </row>
    <row r="19" ht="14.25" customHeight="1">
      <c r="F19" s="208"/>
      <c r="G19" s="3"/>
      <c r="H19" s="143"/>
      <c r="I19" s="143"/>
    </row>
    <row r="20" ht="14.25" customHeight="1">
      <c r="A20" s="222" t="s">
        <v>996</v>
      </c>
      <c r="B20" s="223"/>
      <c r="C20" s="223"/>
      <c r="D20" s="223"/>
      <c r="E20" s="223"/>
      <c r="F20" s="223"/>
      <c r="G20" s="211"/>
      <c r="H20" s="223"/>
      <c r="I20" s="224">
        <f>SUM(I7:I18)</f>
        <v>10862059</v>
      </c>
      <c r="J20" s="92"/>
      <c r="K20" s="92"/>
      <c r="L20" s="92"/>
    </row>
    <row r="21" ht="14.25" customHeight="1">
      <c r="A21" s="232" t="str">
        <f>$I$3</f>
        <v>m³</v>
      </c>
      <c r="B21" s="233"/>
      <c r="C21" s="233"/>
      <c r="D21" s="233"/>
      <c r="E21" s="233"/>
      <c r="F21" s="233"/>
      <c r="G21" s="21"/>
      <c r="H21" s="233"/>
      <c r="I21" s="205">
        <f>$H$3</f>
        <v>26</v>
      </c>
      <c r="J21" s="92"/>
      <c r="K21" s="92"/>
      <c r="L21" s="92"/>
    </row>
    <row r="22" ht="14.25" customHeight="1">
      <c r="A22" s="234" t="s">
        <v>997</v>
      </c>
      <c r="B22" s="232" t="str">
        <f>A21</f>
        <v>m³</v>
      </c>
      <c r="C22" s="233"/>
      <c r="D22" s="233"/>
      <c r="E22" s="233"/>
      <c r="F22" s="233"/>
      <c r="G22" s="21"/>
      <c r="H22" s="233"/>
      <c r="I22" s="235">
        <f>I20/I21</f>
        <v>417771.5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01" t="s">
        <v>998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02" t="s">
        <v>988</v>
      </c>
      <c r="B26" s="202" t="s">
        <v>989</v>
      </c>
      <c r="C26" s="202" t="s">
        <v>990</v>
      </c>
      <c r="D26" s="202" t="s">
        <v>991</v>
      </c>
      <c r="E26" s="202" t="s">
        <v>999</v>
      </c>
      <c r="F26" s="202" t="s">
        <v>992</v>
      </c>
      <c r="G26" s="4" t="s">
        <v>993</v>
      </c>
      <c r="H26" s="202" t="s">
        <v>994</v>
      </c>
      <c r="I26" s="202" t="s">
        <v>995</v>
      </c>
    </row>
    <row r="27" ht="14.25" customHeight="1">
      <c r="A27" s="61" t="s">
        <v>621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29">
        <v>1.0</v>
      </c>
      <c r="E27" s="229">
        <v>15.0</v>
      </c>
      <c r="F27" s="236">
        <v>0.25</v>
      </c>
      <c r="G27" s="217">
        <f t="shared" ref="G27:G32" si="3">ROUNDUP(((D27*E27)*(1+F27)),0)</f>
        <v>19</v>
      </c>
      <c r="H27" s="143">
        <f>IF($A27=0,"",VLOOKUP($A27,'00_MO'!$A$4:$D$7,4,FALSE))</f>
        <v>120000</v>
      </c>
      <c r="I27" s="143">
        <f t="shared" ref="I27:I30" si="4">G27*H27</f>
        <v>2280000</v>
      </c>
    </row>
    <row r="28" ht="14.25" customHeight="1">
      <c r="A28" s="61" t="s">
        <v>623</v>
      </c>
      <c r="B28" s="92" t="str">
        <f>IF($A28=0,"",VLOOKUP($A28,'00_MO'!$A$4:$D$7,2,FALSE))</f>
        <v>Puntero</v>
      </c>
      <c r="C28" s="92" t="str">
        <f>IF($A28=0,"",VLOOKUP($A28,'00_MO'!$A$4:$D$7,3,FALSE))</f>
        <v>u</v>
      </c>
      <c r="D28" s="229">
        <v>2.0</v>
      </c>
      <c r="E28" s="229">
        <v>15.0</v>
      </c>
      <c r="F28" s="236">
        <v>0.25</v>
      </c>
      <c r="G28" s="217">
        <f t="shared" si="3"/>
        <v>38</v>
      </c>
      <c r="H28" s="143">
        <f>IF($A28=0,"",VLOOKUP($A28,'00_MO'!$A$4:$D$7,4,FALSE))</f>
        <v>105000</v>
      </c>
      <c r="I28" s="143">
        <f t="shared" si="4"/>
        <v>3990000</v>
      </c>
    </row>
    <row r="29" ht="14.25" customHeight="1">
      <c r="A29" s="61" t="s">
        <v>625</v>
      </c>
      <c r="B29" s="92" t="str">
        <f>IF($A29=0,"",VLOOKUP($A29,'00_MO'!$A$4:$D$7,2,FALSE))</f>
        <v>Oficial</v>
      </c>
      <c r="C29" s="92" t="str">
        <f>IF($A29=0,"",VLOOKUP($A29,'00_MO'!$A$4:$D$7,3,FALSE))</f>
        <v>u</v>
      </c>
      <c r="D29" s="229">
        <v>3.0</v>
      </c>
      <c r="E29" s="229">
        <v>15.0</v>
      </c>
      <c r="F29" s="236">
        <v>0.25</v>
      </c>
      <c r="G29" s="217">
        <f t="shared" si="3"/>
        <v>57</v>
      </c>
      <c r="H29" s="143">
        <f>IF($A29=0,"",VLOOKUP($A29,'00_MO'!$A$4:$D$7,4,FALSE))</f>
        <v>90000</v>
      </c>
      <c r="I29" s="143">
        <f t="shared" si="4"/>
        <v>5130000</v>
      </c>
    </row>
    <row r="30" ht="14.25" customHeight="1">
      <c r="A30" s="61" t="s">
        <v>627</v>
      </c>
      <c r="B30" s="92" t="str">
        <f>IF($A30=0,"",VLOOKUP($A30,'00_MO'!$A$4:$D$7,2,FALSE))</f>
        <v>Ayudante</v>
      </c>
      <c r="C30" s="92" t="str">
        <f>IF($A30=0,"",VLOOKUP($A30,'00_MO'!$A$4:$D$7,3,FALSE))</f>
        <v>u</v>
      </c>
      <c r="D30" s="229">
        <v>3.0</v>
      </c>
      <c r="E30" s="229">
        <v>15.0</v>
      </c>
      <c r="F30" s="236">
        <v>0.25</v>
      </c>
      <c r="G30" s="217">
        <f t="shared" si="3"/>
        <v>57</v>
      </c>
      <c r="H30" s="143">
        <f>IF($A30=0,"",VLOOKUP($A30,'00_MO'!$A$4:$D$7,4,FALSE))</f>
        <v>60000</v>
      </c>
      <c r="I30" s="143">
        <f t="shared" si="4"/>
        <v>3420000</v>
      </c>
    </row>
    <row r="31" ht="14.25" customHeight="1">
      <c r="A31" s="204"/>
      <c r="B31" s="92" t="str">
        <f>IF($A31=0,"",VLOOKUP($A31,'00_MO'!$A$4:$D$7,2,FALSE))</f>
        <v/>
      </c>
      <c r="C31" s="92" t="str">
        <f>IF($A31=0,"",VLOOKUP($A31,'00_MO'!$A$4:$D$7,3,FALSE))</f>
        <v/>
      </c>
      <c r="D31" s="204"/>
      <c r="E31" s="204"/>
      <c r="F31" s="206"/>
      <c r="G31" s="217">
        <f t="shared" si="3"/>
        <v>0</v>
      </c>
      <c r="H31" s="143" t="str">
        <f>IF($A31=0,"",VLOOKUP($A31,'00_MO'!$A$4:$D$7,4,FALSE))</f>
        <v/>
      </c>
      <c r="I31" s="143"/>
    </row>
    <row r="32" ht="14.25" customHeight="1">
      <c r="A32" s="204"/>
      <c r="B32" s="92" t="str">
        <f>IF($A32=0,"",VLOOKUP($A32,'00_MO'!$A$4:$D$7,2,FALSE))</f>
        <v/>
      </c>
      <c r="C32" s="92" t="str">
        <f>IF($A32=0,"",VLOOKUP($A32,'00_MO'!$A$4:$D$7,3,FALSE))</f>
        <v/>
      </c>
      <c r="D32" s="204"/>
      <c r="E32" s="204"/>
      <c r="F32" s="206"/>
      <c r="G32" s="217">
        <f t="shared" si="3"/>
        <v>0</v>
      </c>
      <c r="H32" s="143" t="str">
        <f>IF($A32=0,"",VLOOKUP($A32,'00_MO'!$A$4:$D$7,4,FALSE))</f>
        <v/>
      </c>
      <c r="I32" s="143"/>
    </row>
    <row r="33" ht="14.25" customHeight="1">
      <c r="F33" s="208"/>
      <c r="G33" s="3"/>
      <c r="H33" s="143"/>
      <c r="I33" s="143"/>
    </row>
    <row r="34" ht="14.25" customHeight="1">
      <c r="A34" s="222" t="s">
        <v>987</v>
      </c>
      <c r="B34" s="223"/>
      <c r="C34" s="223"/>
      <c r="D34" s="223"/>
      <c r="E34" s="223"/>
      <c r="F34" s="223"/>
      <c r="G34" s="211"/>
      <c r="H34" s="223"/>
      <c r="I34" s="224">
        <f>SUM(I27:I32)</f>
        <v>14820000</v>
      </c>
    </row>
    <row r="35" ht="14.25" customHeight="1">
      <c r="A35" s="232" t="str">
        <f>$I$3</f>
        <v>m³</v>
      </c>
      <c r="B35" s="233"/>
      <c r="C35" s="233"/>
      <c r="D35" s="233"/>
      <c r="E35" s="233"/>
      <c r="F35" s="233"/>
      <c r="G35" s="21"/>
      <c r="H35" s="233"/>
      <c r="I35" s="205">
        <f>$H$3</f>
        <v>26</v>
      </c>
      <c r="J35" s="92"/>
      <c r="K35" s="92"/>
      <c r="L35" s="92"/>
    </row>
    <row r="36" ht="14.25" customHeight="1">
      <c r="A36" s="234" t="s">
        <v>997</v>
      </c>
      <c r="B36" s="232" t="str">
        <f>A35</f>
        <v>m³</v>
      </c>
      <c r="C36" s="233"/>
      <c r="D36" s="233"/>
      <c r="E36" s="233"/>
      <c r="F36" s="233"/>
      <c r="G36" s="21"/>
      <c r="H36" s="233"/>
      <c r="I36" s="235">
        <f>I34/I35</f>
        <v>570000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01" t="s">
        <v>1000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02" t="s">
        <v>988</v>
      </c>
      <c r="B40" s="202" t="s">
        <v>989</v>
      </c>
      <c r="C40" s="202" t="s">
        <v>990</v>
      </c>
      <c r="D40" s="202" t="s">
        <v>991</v>
      </c>
      <c r="E40" s="202" t="s">
        <v>999</v>
      </c>
      <c r="F40" s="202" t="s">
        <v>992</v>
      </c>
      <c r="G40" s="4" t="s">
        <v>993</v>
      </c>
      <c r="H40" s="202" t="s">
        <v>994</v>
      </c>
      <c r="I40" s="202" t="s">
        <v>995</v>
      </c>
    </row>
    <row r="41" ht="14.25" customHeight="1">
      <c r="A41" s="3"/>
      <c r="B41" s="92" t="str">
        <f>IF($A41=0,"",VLOOKUP($A41,'00_Mat'!$A$4:$J$1135,2,FALSE))</f>
        <v/>
      </c>
      <c r="C41" s="92" t="str">
        <f>IF($A41=0,"",VLOOKUP($A41,'00_Mat'!$A$4:$J$1135,3,FALSE))</f>
        <v/>
      </c>
      <c r="D41" s="230"/>
      <c r="E41" s="204"/>
      <c r="F41" s="236">
        <v>0.1</v>
      </c>
      <c r="G41" s="221">
        <f t="shared" ref="G41:G45" si="5">ROUNDUP((D41+(D41*F41)),0)</f>
        <v>0</v>
      </c>
      <c r="H41" s="143" t="str">
        <f>IF($A41=0,"",VLOOKUP($A41,'00_Mat'!$A$4:$J$1135,5,FALSE))</f>
        <v/>
      </c>
      <c r="I41" s="143">
        <f t="shared" ref="I41:I46" si="6">G41*H41</f>
        <v>0</v>
      </c>
      <c r="J41" s="237"/>
    </row>
    <row r="42" ht="14.25" customHeight="1">
      <c r="A42" s="3"/>
      <c r="B42" s="92" t="str">
        <f>IF($A42=0,"",VLOOKUP($A42,'00_Mat'!$A$4:$J$1135,2,FALSE))</f>
        <v/>
      </c>
      <c r="C42" s="92" t="str">
        <f>IF($A42=0,"",VLOOKUP($A42,'00_Mat'!$A$4:$J$1135,3,FALSE))</f>
        <v/>
      </c>
      <c r="D42" s="230"/>
      <c r="E42" s="204"/>
      <c r="F42" s="236">
        <v>0.1</v>
      </c>
      <c r="G42" s="221">
        <f t="shared" si="5"/>
        <v>0</v>
      </c>
      <c r="H42" s="143" t="str">
        <f>IF($A42=0,"",VLOOKUP($A42,'00_Mat'!$A$4:$J$1135,5,FALSE))</f>
        <v/>
      </c>
      <c r="I42" s="143">
        <f t="shared" si="6"/>
        <v>0</v>
      </c>
      <c r="J42" s="237"/>
    </row>
    <row r="43" ht="14.25" customHeight="1">
      <c r="A43" s="3"/>
      <c r="B43" s="92" t="str">
        <f>IF($A43=0,"",VLOOKUP($A43,'00_Mat'!$A$4:$J$1135,2,FALSE))</f>
        <v/>
      </c>
      <c r="C43" s="92" t="str">
        <f>IF($A43=0,"",VLOOKUP($A43,'00_Mat'!$A$4:$J$1135,3,FALSE))</f>
        <v/>
      </c>
      <c r="D43" s="230"/>
      <c r="E43" s="204"/>
      <c r="F43" s="236">
        <v>0.1</v>
      </c>
      <c r="G43" s="221">
        <f t="shared" si="5"/>
        <v>0</v>
      </c>
      <c r="H43" s="143" t="str">
        <f>IF($A43=0,"",VLOOKUP($A43,'00_Mat'!$A$4:$J$1135,5,FALSE))</f>
        <v/>
      </c>
      <c r="I43" s="143">
        <f t="shared" si="6"/>
        <v>0</v>
      </c>
    </row>
    <row r="44" ht="14.25" customHeight="1">
      <c r="A44" s="20"/>
      <c r="B44" s="92" t="str">
        <f>IF($A44=0,"",VLOOKUP($A44,'00_Mat'!$A$4:$J$1135,2,FALSE))</f>
        <v/>
      </c>
      <c r="C44" s="92" t="str">
        <f>IF($A44=0,"",VLOOKUP($A44,'00_Mat'!$A$4:$J$1135,3,FALSE))</f>
        <v/>
      </c>
      <c r="D44" s="230"/>
      <c r="E44" s="204"/>
      <c r="F44" s="236">
        <v>0.1</v>
      </c>
      <c r="G44" s="221">
        <f t="shared" si="5"/>
        <v>0</v>
      </c>
      <c r="H44" s="143" t="str">
        <f>IF($A44=0,"",VLOOKUP($A44,'00_Mat'!$A$4:$J$1135,5,FALSE))</f>
        <v/>
      </c>
      <c r="I44" s="143">
        <f t="shared" si="6"/>
        <v>0</v>
      </c>
    </row>
    <row r="45" ht="14.25" customHeight="1">
      <c r="B45" s="194" t="str">
        <f>IF($A45=0,"",VLOOKUP($A45,'00_Mat'!$A$4:$J$1135,2,FALSE))</f>
        <v/>
      </c>
      <c r="C45" s="92" t="str">
        <f>IF($A45=0,"",VLOOKUP($A45,'00_Mat'!$A$4:$J$1135,3,FALSE))</f>
        <v/>
      </c>
      <c r="D45" s="230"/>
      <c r="E45" s="204"/>
      <c r="F45" s="236">
        <v>0.1</v>
      </c>
      <c r="G45" s="221">
        <f t="shared" si="5"/>
        <v>0</v>
      </c>
      <c r="H45" s="231"/>
      <c r="I45" s="143">
        <f t="shared" si="6"/>
        <v>0</v>
      </c>
    </row>
    <row r="46" ht="14.25" customHeight="1">
      <c r="A46" s="204"/>
      <c r="B46" s="92" t="str">
        <f>IF($A46=0,"",VLOOKUP($A46,'00_Mat'!$A$4:$J$1135,2,FALSE))</f>
        <v/>
      </c>
      <c r="C46" s="92" t="str">
        <f>IF($A46=0,"",VLOOKUP($A46,'00_Mat'!$A$4:$J$1135,3,FALSE))</f>
        <v/>
      </c>
      <c r="D46" s="229"/>
      <c r="E46" s="204"/>
      <c r="F46" s="236">
        <v>0.1</v>
      </c>
      <c r="G46" s="217">
        <f>ROUNDUP(((D46*E46)*(1+F46)),0)</f>
        <v>0</v>
      </c>
      <c r="H46" s="143" t="str">
        <f>IF($A46=0,"",VLOOKUP($A46,'00_Mat'!$A$4:$J$1135,5,FALSE))</f>
        <v/>
      </c>
      <c r="I46" s="143">
        <f t="shared" si="6"/>
        <v>0</v>
      </c>
      <c r="J46" s="153"/>
    </row>
    <row r="47" ht="14.25" customHeight="1">
      <c r="F47" s="208"/>
      <c r="G47" s="3"/>
      <c r="H47" s="143"/>
      <c r="I47" s="143"/>
    </row>
    <row r="48" ht="14.25" customHeight="1">
      <c r="A48" s="222" t="s">
        <v>987</v>
      </c>
      <c r="B48" s="223"/>
      <c r="C48" s="223"/>
      <c r="D48" s="223"/>
      <c r="E48" s="223"/>
      <c r="F48" s="223"/>
      <c r="G48" s="211"/>
      <c r="H48" s="223"/>
      <c r="I48" s="224">
        <f>SUM(I41:I46)</f>
        <v>0</v>
      </c>
    </row>
    <row r="49" ht="14.25" customHeight="1">
      <c r="A49" s="232" t="str">
        <f>$I$3</f>
        <v>m³</v>
      </c>
      <c r="B49" s="233"/>
      <c r="C49" s="233"/>
      <c r="D49" s="233"/>
      <c r="E49" s="233"/>
      <c r="F49" s="233"/>
      <c r="G49" s="21"/>
      <c r="H49" s="233"/>
      <c r="I49" s="205">
        <f>$H$3</f>
        <v>26</v>
      </c>
      <c r="J49" s="92"/>
      <c r="K49" s="92"/>
      <c r="L49" s="92"/>
    </row>
    <row r="50" ht="14.25" customHeight="1">
      <c r="A50" s="234" t="s">
        <v>997</v>
      </c>
      <c r="B50" s="232" t="str">
        <f>A49</f>
        <v>m³</v>
      </c>
      <c r="C50" s="233"/>
      <c r="D50" s="233"/>
      <c r="E50" s="233"/>
      <c r="F50" s="233"/>
      <c r="G50" s="21"/>
      <c r="H50" s="233"/>
      <c r="I50" s="235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01" t="s">
        <v>1010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02" t="s">
        <v>988</v>
      </c>
      <c r="B54" s="202" t="s">
        <v>989</v>
      </c>
      <c r="C54" s="202" t="s">
        <v>990</v>
      </c>
      <c r="D54" s="203" t="s">
        <v>991</v>
      </c>
      <c r="E54" s="197"/>
      <c r="F54" s="202" t="s">
        <v>992</v>
      </c>
      <c r="G54" s="4" t="s">
        <v>993</v>
      </c>
      <c r="H54" s="202" t="s">
        <v>994</v>
      </c>
      <c r="I54" s="202" t="s">
        <v>995</v>
      </c>
    </row>
    <row r="55" ht="14.25" customHeight="1">
      <c r="A55" s="3" t="s">
        <v>75</v>
      </c>
      <c r="B55" s="92" t="str">
        <f>IF($A55=0,"",VLOOKUP($A55,'00_Mat'!$A$4:$J$1135,2,FALSE))</f>
        <v>Clavos 2" punta paris (k)</v>
      </c>
      <c r="C55" s="92" t="str">
        <f>IF($A55=0,"",VLOOKUP($A55,'00_Mat'!$A$4:$J$1135,3,FALSE))</f>
        <v>k</v>
      </c>
      <c r="D55" s="230">
        <v>10.0</v>
      </c>
      <c r="E55" s="204"/>
      <c r="F55" s="236">
        <v>0.1</v>
      </c>
      <c r="G55" s="221">
        <f t="shared" ref="G55:G59" si="7">ROUNDUP((D55+(D55*F55)),0)</f>
        <v>11</v>
      </c>
      <c r="H55" s="143">
        <f>IF($A55=0,"",VLOOKUP($A55,'00_Mat'!$A$4:$J$1135,5,FALSE))</f>
        <v>4500</v>
      </c>
      <c r="I55" s="143">
        <f t="shared" ref="I55:I60" si="8">G55*H55</f>
        <v>49500</v>
      </c>
      <c r="J55" s="153" t="s">
        <v>1013</v>
      </c>
    </row>
    <row r="56" ht="14.25" customHeight="1">
      <c r="A56" s="20" t="s">
        <v>81</v>
      </c>
      <c r="B56" s="92" t="str">
        <f>IF($A56=0,"",VLOOKUP($A56,'00_Mat'!$A$4:$J$1135,2,FALSE))</f>
        <v>Alambre Fardo (50 k)</v>
      </c>
      <c r="C56" s="92" t="str">
        <f>IF($A56=0,"",VLOOKUP($A56,'00_Mat'!$A$4:$J$1135,3,FALSE))</f>
        <v>k</v>
      </c>
      <c r="D56" s="230">
        <v>1.0</v>
      </c>
      <c r="E56" s="204"/>
      <c r="F56" s="236">
        <v>0.0</v>
      </c>
      <c r="G56" s="221">
        <f t="shared" si="7"/>
        <v>1</v>
      </c>
      <c r="H56" s="143">
        <f>IF($A56=0,"",VLOOKUP($A56,'00_Mat'!$A$4:$J$1135,5,FALSE))</f>
        <v>220000</v>
      </c>
      <c r="I56" s="143">
        <f t="shared" si="8"/>
        <v>220000</v>
      </c>
      <c r="J56" s="153" t="s">
        <v>1033</v>
      </c>
    </row>
    <row r="57" ht="14.25" customHeight="1">
      <c r="A57" s="3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0"/>
      <c r="E57" s="204"/>
      <c r="F57" s="236">
        <v>0.1</v>
      </c>
      <c r="G57" s="221">
        <f t="shared" si="7"/>
        <v>0</v>
      </c>
      <c r="H57" s="143" t="str">
        <f>IF($A57=0,"",VLOOKUP($A57,'00_Mat'!$A$4:$J$1135,5,FALSE))</f>
        <v/>
      </c>
      <c r="I57" s="143">
        <f t="shared" si="8"/>
        <v>0</v>
      </c>
    </row>
    <row r="58" ht="14.25" customHeight="1">
      <c r="A58" s="20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0"/>
      <c r="E58" s="204"/>
      <c r="F58" s="236">
        <v>0.1</v>
      </c>
      <c r="G58" s="221">
        <f t="shared" si="7"/>
        <v>0</v>
      </c>
      <c r="H58" s="143" t="str">
        <f>IF($A58=0,"",VLOOKUP($A58,'00_Mat'!$A$4:$J$1135,5,FALSE))</f>
        <v/>
      </c>
      <c r="I58" s="143">
        <f t="shared" si="8"/>
        <v>0</v>
      </c>
    </row>
    <row r="59" ht="14.25" customHeight="1">
      <c r="B59" s="194" t="str">
        <f>IF($A59=0,"",VLOOKUP($A59,'00_Mat'!$A$4:$J$1135,2,FALSE))</f>
        <v/>
      </c>
      <c r="C59" s="92" t="str">
        <f>IF($A59=0,"",VLOOKUP($A59,'00_Mat'!$A$4:$J$1135,3,FALSE))</f>
        <v/>
      </c>
      <c r="D59" s="230"/>
      <c r="E59" s="204"/>
      <c r="F59" s="236">
        <v>0.1</v>
      </c>
      <c r="G59" s="221">
        <f t="shared" si="7"/>
        <v>0</v>
      </c>
      <c r="H59" s="231"/>
      <c r="I59" s="143">
        <f t="shared" si="8"/>
        <v>0</v>
      </c>
    </row>
    <row r="60" ht="14.25" customHeight="1">
      <c r="A60" s="204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29"/>
      <c r="E60" s="204"/>
      <c r="F60" s="236">
        <v>0.1</v>
      </c>
      <c r="G60" s="217">
        <f>ROUNDUP(((D60*E60)*(1+F60)),0)</f>
        <v>0</v>
      </c>
      <c r="H60" s="143" t="str">
        <f>IF($A60=0,"",VLOOKUP($A60,'00_Mat'!$A$4:$J$1135,5,FALSE))</f>
        <v/>
      </c>
      <c r="I60" s="143">
        <f t="shared" si="8"/>
        <v>0</v>
      </c>
      <c r="J60" s="153"/>
    </row>
    <row r="61" ht="14.25" customHeight="1">
      <c r="F61" s="208"/>
      <c r="G61" s="3"/>
      <c r="H61" s="143"/>
      <c r="I61" s="143"/>
    </row>
    <row r="62" ht="14.25" customHeight="1">
      <c r="A62" s="222" t="s">
        <v>987</v>
      </c>
      <c r="B62" s="223"/>
      <c r="C62" s="223"/>
      <c r="D62" s="223"/>
      <c r="E62" s="223"/>
      <c r="F62" s="223"/>
      <c r="G62" s="211"/>
      <c r="H62" s="223"/>
      <c r="I62" s="224">
        <f>SUM(I55:I60)</f>
        <v>269500</v>
      </c>
    </row>
    <row r="63" ht="14.25" customHeight="1">
      <c r="A63" s="232" t="str">
        <f>$I$3</f>
        <v>m³</v>
      </c>
      <c r="B63" s="233"/>
      <c r="C63" s="233"/>
      <c r="D63" s="233"/>
      <c r="E63" s="233"/>
      <c r="F63" s="233"/>
      <c r="G63" s="21"/>
      <c r="H63" s="233"/>
      <c r="I63" s="205">
        <f>$H$3</f>
        <v>26</v>
      </c>
      <c r="J63" s="92"/>
      <c r="K63" s="92"/>
      <c r="L63" s="92"/>
    </row>
    <row r="64" ht="14.25" customHeight="1">
      <c r="A64" s="234" t="s">
        <v>997</v>
      </c>
      <c r="B64" s="232" t="str">
        <f>A63</f>
        <v>m³</v>
      </c>
      <c r="C64" s="233"/>
      <c r="D64" s="233"/>
      <c r="E64" s="233"/>
      <c r="F64" s="233"/>
      <c r="G64" s="21"/>
      <c r="H64" s="233"/>
      <c r="I64" s="235">
        <f>I62/I63</f>
        <v>10365.38462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01" t="s">
        <v>1025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02" t="s">
        <v>988</v>
      </c>
      <c r="B68" s="202" t="s">
        <v>989</v>
      </c>
      <c r="C68" s="202" t="s">
        <v>990</v>
      </c>
      <c r="D68" s="202" t="s">
        <v>991</v>
      </c>
      <c r="E68" s="202" t="s">
        <v>999</v>
      </c>
      <c r="F68" s="202" t="s">
        <v>992</v>
      </c>
      <c r="G68" s="4" t="s">
        <v>993</v>
      </c>
      <c r="H68" s="202" t="s">
        <v>994</v>
      </c>
      <c r="I68" s="202" t="s">
        <v>995</v>
      </c>
    </row>
    <row r="69" ht="14.25" customHeight="1">
      <c r="A69" s="204"/>
      <c r="B69" s="92" t="str">
        <f>IF($A69=0,"",VLOOKUP($A69,'00_Sub'!$A$4:$D$1007,2,FALSE))</f>
        <v/>
      </c>
      <c r="C69" s="92" t="str">
        <f>IF($A69=0,"",VLOOKUP($A69,'00_Sub'!$A$4:$D$1007,3,FALSE))</f>
        <v/>
      </c>
      <c r="D69" s="204"/>
      <c r="E69" s="204"/>
      <c r="F69" s="206"/>
      <c r="G69" s="221">
        <f t="shared" ref="G69:G74" si="9">ROUNDUP((D69+(D69*F69)),0)</f>
        <v>0</v>
      </c>
      <c r="H69" s="143" t="str">
        <f>IF($A69=0,"",VLOOKUP($A69,'00_Sub'!$A$4:$D$1007,4,FALSE))</f>
        <v/>
      </c>
      <c r="I69" s="143"/>
    </row>
    <row r="70" ht="14.25" customHeight="1">
      <c r="A70" s="204"/>
      <c r="B70" s="92" t="str">
        <f>IF($A70=0,"",VLOOKUP($A70,'00_Sub'!$A$4:$D$1007,2,FALSE))</f>
        <v/>
      </c>
      <c r="C70" s="92" t="str">
        <f>IF($A70=0,"",VLOOKUP($A70,'00_Sub'!$A$4:$D$1007,3,FALSE))</f>
        <v/>
      </c>
      <c r="D70" s="204"/>
      <c r="E70" s="204"/>
      <c r="F70" s="206"/>
      <c r="G70" s="221">
        <f t="shared" si="9"/>
        <v>0</v>
      </c>
      <c r="H70" s="143" t="str">
        <f>IF($A70=0,"",VLOOKUP($A70,'00_Sub'!$A$4:$D$1007,4,FALSE))</f>
        <v/>
      </c>
      <c r="I70" s="143"/>
    </row>
    <row r="71" ht="14.25" customHeight="1">
      <c r="A71" s="204"/>
      <c r="B71" s="92" t="str">
        <f>IF($A71=0,"",VLOOKUP($A71,'00_Sub'!$A$4:$D$1007,2,FALSE))</f>
        <v/>
      </c>
      <c r="C71" s="92" t="str">
        <f>IF($A71=0,"",VLOOKUP($A71,'00_Sub'!$A$4:$D$1007,3,FALSE))</f>
        <v/>
      </c>
      <c r="D71" s="204"/>
      <c r="E71" s="204"/>
      <c r="F71" s="206"/>
      <c r="G71" s="221">
        <f t="shared" si="9"/>
        <v>0</v>
      </c>
      <c r="H71" s="143" t="str">
        <f>IF($A71=0,"",VLOOKUP($A71,'00_Sub'!$A$4:$D$1007,4,FALSE))</f>
        <v/>
      </c>
      <c r="I71" s="143"/>
    </row>
    <row r="72" ht="14.25" customHeight="1">
      <c r="A72" s="204"/>
      <c r="B72" s="92" t="str">
        <f>IF($A72=0,"",VLOOKUP($A72,'00_Sub'!$A$4:$D$1007,2,FALSE))</f>
        <v/>
      </c>
      <c r="C72" s="92" t="str">
        <f>IF($A72=0,"",VLOOKUP($A72,'00_Sub'!$A$4:$D$1007,3,FALSE))</f>
        <v/>
      </c>
      <c r="D72" s="204"/>
      <c r="E72" s="204"/>
      <c r="F72" s="206"/>
      <c r="G72" s="221">
        <f t="shared" si="9"/>
        <v>0</v>
      </c>
      <c r="H72" s="143" t="str">
        <f>IF($A72=0,"",VLOOKUP($A72,'00_Sub'!$A$4:$D$1007,4,FALSE))</f>
        <v/>
      </c>
      <c r="I72" s="143"/>
    </row>
    <row r="73" ht="14.25" customHeight="1">
      <c r="A73" s="204"/>
      <c r="B73" s="92" t="str">
        <f>IF($A73=0,"",VLOOKUP($A73,'00_Sub'!$A$4:$D$1007,2,FALSE))</f>
        <v/>
      </c>
      <c r="C73" s="92" t="str">
        <f>IF($A73=0,"",VLOOKUP($A73,'00_Sub'!$A$4:$D$1007,3,FALSE))</f>
        <v/>
      </c>
      <c r="D73" s="204"/>
      <c r="E73" s="204"/>
      <c r="F73" s="206"/>
      <c r="G73" s="221">
        <f t="shared" si="9"/>
        <v>0</v>
      </c>
      <c r="H73" s="143" t="str">
        <f>IF($A73=0,"",VLOOKUP($A73,'00_Sub'!$A$4:$D$1007,4,FALSE))</f>
        <v/>
      </c>
      <c r="I73" s="143"/>
    </row>
    <row r="74" ht="14.25" customHeight="1">
      <c r="A74" s="204"/>
      <c r="B74" s="92" t="str">
        <f>IF($A74=0,"",VLOOKUP($A74,'00_Sub'!$A$4:$D$1007,2,FALSE))</f>
        <v/>
      </c>
      <c r="C74" s="92" t="str">
        <f>IF($A74=0,"",VLOOKUP($A74,'00_Sub'!$A$4:$D$1007,3,FALSE))</f>
        <v/>
      </c>
      <c r="D74" s="204"/>
      <c r="E74" s="204"/>
      <c r="F74" s="206"/>
      <c r="G74" s="221">
        <f t="shared" si="9"/>
        <v>0</v>
      </c>
      <c r="H74" s="143" t="str">
        <f>IF($A74=0,"",VLOOKUP($A74,'00_Sub'!$A$4:$D$1007,4,FALSE))</f>
        <v/>
      </c>
      <c r="I74" s="143"/>
    </row>
    <row r="75" ht="14.25" customHeight="1">
      <c r="F75" s="208"/>
      <c r="G75" s="3"/>
      <c r="H75" s="143"/>
      <c r="I75" s="143"/>
    </row>
    <row r="76" ht="14.25" customHeight="1">
      <c r="A76" s="222" t="s">
        <v>987</v>
      </c>
      <c r="B76" s="223"/>
      <c r="C76" s="223"/>
      <c r="D76" s="223"/>
      <c r="E76" s="223"/>
      <c r="F76" s="223"/>
      <c r="G76" s="211"/>
      <c r="H76" s="223"/>
      <c r="I76" s="224">
        <f>SUM(I69:I74)</f>
        <v>0</v>
      </c>
    </row>
    <row r="77" ht="14.25" customHeight="1">
      <c r="A77" s="232" t="str">
        <f>$I$3</f>
        <v>m³</v>
      </c>
      <c r="B77" s="233"/>
      <c r="C77" s="233"/>
      <c r="D77" s="233"/>
      <c r="E77" s="233"/>
      <c r="F77" s="233"/>
      <c r="G77" s="21"/>
      <c r="H77" s="233"/>
      <c r="I77" s="205">
        <f>$H$3</f>
        <v>26</v>
      </c>
      <c r="J77" s="92"/>
      <c r="K77" s="92"/>
      <c r="L77" s="92"/>
    </row>
    <row r="78" ht="14.25" customHeight="1">
      <c r="A78" s="234" t="s">
        <v>997</v>
      </c>
      <c r="B78" s="232" t="str">
        <f>A77</f>
        <v>m³</v>
      </c>
      <c r="C78" s="233"/>
      <c r="D78" s="233"/>
      <c r="E78" s="233"/>
      <c r="F78" s="233"/>
      <c r="G78" s="21"/>
      <c r="H78" s="233"/>
      <c r="I78" s="235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3">
    <mergeCell ref="B3:F3"/>
    <mergeCell ref="D6:E6"/>
    <mergeCell ref="D54:E54"/>
  </mergeCells>
  <printOptions/>
  <pageMargins bottom="0.75" footer="0.0" header="0.0" left="0.7" right="0.7" top="0.75"/>
  <pageSetup orientation="portrait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0" width="8.71"/>
    <col customWidth="1" min="11" max="11" width="11.29"/>
    <col customWidth="1" min="12" max="12" width="10.14"/>
    <col customWidth="1" min="13" max="13" width="19.29"/>
  </cols>
  <sheetData>
    <row r="1" ht="33.75" customHeight="1">
      <c r="A1" s="91" t="str">
        <f>'01_C&amp;P'!A1</f>
        <v>EDIFICIO LAS HERAS</v>
      </c>
      <c r="B1" s="91"/>
      <c r="C1" s="91"/>
      <c r="G1" s="3"/>
    </row>
    <row r="2" ht="14.25" customHeight="1">
      <c r="G2" s="3"/>
    </row>
    <row r="3" ht="23.25" customHeight="1">
      <c r="A3" s="195">
        <f>'01_C&amp;P'!A41</f>
        <v>46114</v>
      </c>
      <c r="B3" s="196" t="str">
        <f>IF($A3=0,"",VLOOKUP($A3,'01_C&amp;P'!$A$9:$D$192,2,FALSE))</f>
        <v>MAMPOSTERIA.</v>
      </c>
      <c r="C3" s="197"/>
      <c r="D3" s="197"/>
      <c r="E3" s="197"/>
      <c r="F3" s="197"/>
      <c r="G3" s="198"/>
      <c r="H3" s="199">
        <f>IF($A3=0,"",VLOOKUP($A3,'01_C&amp;P'!$A$9:$D$192,4,FALSE))</f>
        <v>340</v>
      </c>
      <c r="I3" s="200" t="str">
        <f>IF($A3=0,"",VLOOKUP($A3,'01_C&amp;P'!$A$9:$D$192,3,FALSE))</f>
        <v>m²</v>
      </c>
      <c r="M3" s="153"/>
    </row>
    <row r="4" ht="14.25" customHeight="1">
      <c r="G4" s="3"/>
      <c r="K4" s="153" t="s">
        <v>1049</v>
      </c>
      <c r="M4" s="153" t="s">
        <v>1050</v>
      </c>
    </row>
    <row r="5" ht="14.25" customHeight="1">
      <c r="A5" s="201" t="s">
        <v>0</v>
      </c>
      <c r="B5" s="94"/>
      <c r="C5" s="94"/>
      <c r="D5" s="94"/>
      <c r="E5" s="94"/>
      <c r="F5" s="94"/>
      <c r="G5" s="2"/>
      <c r="H5" s="94"/>
      <c r="I5" s="94"/>
      <c r="K5" s="153">
        <v>4.0</v>
      </c>
      <c r="M5" s="153">
        <v>85.0</v>
      </c>
    </row>
    <row r="6" ht="14.25" customHeight="1">
      <c r="A6" s="202" t="s">
        <v>988</v>
      </c>
      <c r="B6" s="202" t="s">
        <v>989</v>
      </c>
      <c r="C6" s="202" t="s">
        <v>990</v>
      </c>
      <c r="D6" s="203" t="s">
        <v>991</v>
      </c>
      <c r="E6" s="197"/>
      <c r="F6" s="202" t="s">
        <v>992</v>
      </c>
      <c r="G6" s="4" t="s">
        <v>993</v>
      </c>
      <c r="H6" s="202" t="s">
        <v>994</v>
      </c>
      <c r="I6" s="202" t="s">
        <v>995</v>
      </c>
    </row>
    <row r="7" ht="14.25" customHeight="1">
      <c r="A7" s="252" t="s">
        <v>31</v>
      </c>
      <c r="B7" s="3" t="str">
        <f>IF($A7=0,"",VLOOKUP($A7,'00_Mat'!$A$4:$J$1165,2,FALSE))</f>
        <v>Ladrillo Portante 18 (u)</v>
      </c>
      <c r="C7" s="3" t="str">
        <f>IF($A7=0,"",VLOOKUP($A7,'00_Mat'!$A$4:$J$1165,3,FALSE))</f>
        <v>u</v>
      </c>
      <c r="D7" s="250">
        <f>M9*16</f>
        <v>5440</v>
      </c>
      <c r="E7" s="204"/>
      <c r="F7" s="236">
        <v>0.1</v>
      </c>
      <c r="G7" s="221">
        <f t="shared" ref="G7:G11" si="1">ROUNDUP((D7+(D7*F7)),0)</f>
        <v>5984</v>
      </c>
      <c r="H7" s="143">
        <f>IF($A7=0,"",VLOOKUP($A7,'00_Mat'!$A$4:$J$1135,5,FALSE))</f>
        <v>1377</v>
      </c>
      <c r="I7" s="143">
        <f t="shared" ref="I7:I11" si="2">G7*H7</f>
        <v>8239968</v>
      </c>
      <c r="J7" s="231"/>
    </row>
    <row r="8" ht="14.25" customHeight="1">
      <c r="A8" s="254" t="s">
        <v>11</v>
      </c>
      <c r="B8" s="3" t="str">
        <f>IF($A8=0,"",VLOOKUP($A8,'00_Mat'!$A$4:$J$1165,2,FALSE))</f>
        <v>Bolson de Arena (1m3) </v>
      </c>
      <c r="C8" s="3" t="str">
        <f>IF($A8=0,"",VLOOKUP($A8,'00_Mat'!$A$4:$J$1165,3,FALSE))</f>
        <v>m3</v>
      </c>
      <c r="D8" s="250">
        <f>M9*0.025</f>
        <v>8.5</v>
      </c>
      <c r="E8" s="204"/>
      <c r="F8" s="236">
        <v>0.15</v>
      </c>
      <c r="G8" s="221">
        <f t="shared" si="1"/>
        <v>10</v>
      </c>
      <c r="H8" s="143">
        <f>IF($A8=0,"",VLOOKUP($A8,'00_Mat'!$A$4:$J$1135,5,FALSE))</f>
        <v>33470</v>
      </c>
      <c r="I8" s="143">
        <f t="shared" si="2"/>
        <v>334700</v>
      </c>
      <c r="M8" s="153" t="s">
        <v>1043</v>
      </c>
    </row>
    <row r="9" ht="14.25" customHeight="1">
      <c r="A9" s="254" t="s">
        <v>19</v>
      </c>
      <c r="B9" s="3" t="str">
        <f>IF($A9=0,"",VLOOKUP($A9,'00_Mat'!$A$4:$J$1165,2,FALSE))</f>
        <v>Bolsa Cemento "Loma Negra" 25 k (u)</v>
      </c>
      <c r="C9" s="3" t="str">
        <f>IF($A9=0,"",VLOOKUP($A9,'00_Mat'!$A$4:$J$1165,3,FALSE))</f>
        <v>u</v>
      </c>
      <c r="D9" s="255">
        <f>(M9*5.45)/25</f>
        <v>74.12</v>
      </c>
      <c r="E9" s="204"/>
      <c r="F9" s="236">
        <v>0.15</v>
      </c>
      <c r="G9" s="221">
        <f t="shared" si="1"/>
        <v>86</v>
      </c>
      <c r="H9" s="143">
        <f>IF($A9=0,"",VLOOKUP($A9,'00_Mat'!$A$4:$J$1135,5,FALSE))</f>
        <v>7000</v>
      </c>
      <c r="I9" s="143">
        <f t="shared" si="2"/>
        <v>602000</v>
      </c>
      <c r="M9" s="194">
        <f>M5*K5</f>
        <v>340</v>
      </c>
    </row>
    <row r="10" ht="14.25" customHeight="1">
      <c r="A10" s="254" t="s">
        <v>25</v>
      </c>
      <c r="B10" s="3" t="str">
        <f>IF($A10=0,"",VLOOKUP($A10,'00_Mat'!$A$4:$J$1165,2,FALSE))</f>
        <v>Bolsa Cal "Cacique" 25 k (u)</v>
      </c>
      <c r="C10" s="3" t="str">
        <f>IF($A10=0,"",VLOOKUP($A10,'00_Mat'!$A$4:$J$1165,3,FALSE))</f>
        <v>u</v>
      </c>
      <c r="D10" s="255">
        <f>(M9*5.33)/25</f>
        <v>72.488</v>
      </c>
      <c r="E10" s="204"/>
      <c r="F10" s="236">
        <v>0.1</v>
      </c>
      <c r="G10" s="221">
        <f t="shared" si="1"/>
        <v>80</v>
      </c>
      <c r="H10" s="143">
        <f>IF($A10=0,"",VLOOKUP($A10,'00_Mat'!$A$4:$J$1135,5,FALSE))</f>
        <v>5371.900826</v>
      </c>
      <c r="I10" s="143">
        <f t="shared" si="2"/>
        <v>429752.0661</v>
      </c>
    </row>
    <row r="11" ht="14.25" customHeight="1">
      <c r="A11" s="254" t="s">
        <v>132</v>
      </c>
      <c r="B11" s="3" t="str">
        <f>IF($A11=0,"",VLOOKUP($A11,'00_Mat'!$A$4:$J$1165,2,FALSE))</f>
        <v>Hierros ADN 420 Φ 6 </v>
      </c>
      <c r="C11" s="3" t="str">
        <f>IF($A11=0,"",VLOOKUP($A11,'00_Mat'!$A$4:$J$1165,3,FALSE))</f>
        <v>u</v>
      </c>
      <c r="D11" s="255">
        <f>(M5*4)/12</f>
        <v>28.33333333</v>
      </c>
      <c r="E11" s="204"/>
      <c r="F11" s="236">
        <v>0.1</v>
      </c>
      <c r="G11" s="221">
        <f t="shared" si="1"/>
        <v>32</v>
      </c>
      <c r="H11" s="143">
        <f>IF($A11=0,"",VLOOKUP($A11,'00_Mat'!$A$4:$J$1135,5,FALSE))</f>
        <v>5250</v>
      </c>
      <c r="I11" s="143">
        <f t="shared" si="2"/>
        <v>168000</v>
      </c>
    </row>
    <row r="12" ht="14.25" customHeight="1">
      <c r="A12" s="3"/>
      <c r="B12" s="92"/>
      <c r="C12" s="92"/>
      <c r="D12" s="229"/>
      <c r="E12" s="204"/>
      <c r="F12" s="206"/>
      <c r="G12" s="221"/>
      <c r="H12" s="143"/>
      <c r="I12" s="143"/>
    </row>
    <row r="13" ht="14.25" customHeight="1">
      <c r="A13" s="20"/>
      <c r="B13" s="92"/>
      <c r="C13" s="92"/>
      <c r="D13" s="229"/>
      <c r="E13" s="204"/>
      <c r="F13" s="206"/>
      <c r="G13" s="221"/>
      <c r="H13" s="143"/>
      <c r="I13" s="143"/>
    </row>
    <row r="14" ht="14.25" customHeight="1">
      <c r="A14" s="3"/>
      <c r="B14" s="92"/>
      <c r="C14" s="92"/>
      <c r="D14" s="229"/>
      <c r="E14" s="204"/>
      <c r="F14" s="206"/>
      <c r="G14" s="221"/>
      <c r="H14" s="143"/>
      <c r="I14" s="143"/>
    </row>
    <row r="15" ht="14.25" customHeight="1">
      <c r="A15" s="3"/>
      <c r="B15" s="92"/>
      <c r="C15" s="92"/>
      <c r="D15" s="229"/>
      <c r="E15" s="204"/>
      <c r="F15" s="206"/>
      <c r="G15" s="221"/>
      <c r="H15" s="143"/>
      <c r="I15" s="143"/>
    </row>
    <row r="16" ht="14.25" customHeight="1">
      <c r="A16" s="204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04"/>
      <c r="E16" s="204"/>
      <c r="F16" s="206"/>
      <c r="G16" s="221">
        <f t="shared" ref="G16:G18" si="3">ROUNDUP((D16+(D16*F16)),0)</f>
        <v>0</v>
      </c>
      <c r="H16" s="143" t="str">
        <f>IF($A16=0,"",VLOOKUP($A16,'00_Mat'!$A$4:$J$1135,5,FALSE))</f>
        <v/>
      </c>
      <c r="I16" s="143"/>
    </row>
    <row r="17" ht="14.25" customHeight="1">
      <c r="A17" s="204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04"/>
      <c r="E17" s="204"/>
      <c r="F17" s="206"/>
      <c r="G17" s="221">
        <f t="shared" si="3"/>
        <v>0</v>
      </c>
      <c r="H17" s="143" t="str">
        <f>IF($A17=0,"",VLOOKUP($A17,'00_Mat'!$A$4:$J$1135,5,FALSE))</f>
        <v/>
      </c>
      <c r="I17" s="143"/>
    </row>
    <row r="18" ht="14.25" customHeight="1">
      <c r="A18" s="204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04"/>
      <c r="E18" s="204"/>
      <c r="F18" s="206"/>
      <c r="G18" s="221">
        <f t="shared" si="3"/>
        <v>0</v>
      </c>
      <c r="H18" s="143" t="str">
        <f>IF($A18=0,"",VLOOKUP($A18,'00_Mat'!$A$4:$J$1135,5,FALSE))</f>
        <v/>
      </c>
      <c r="I18" s="143"/>
    </row>
    <row r="19" ht="14.25" customHeight="1">
      <c r="F19" s="208"/>
      <c r="G19" s="3"/>
      <c r="H19" s="143"/>
      <c r="I19" s="143"/>
    </row>
    <row r="20" ht="14.25" customHeight="1">
      <c r="A20" s="222" t="s">
        <v>996</v>
      </c>
      <c r="B20" s="223"/>
      <c r="C20" s="223"/>
      <c r="D20" s="223"/>
      <c r="E20" s="223"/>
      <c r="F20" s="223"/>
      <c r="G20" s="211"/>
      <c r="H20" s="223"/>
      <c r="I20" s="224">
        <f>SUM(I7:I18)</f>
        <v>9774420.066</v>
      </c>
      <c r="J20" s="92"/>
      <c r="K20" s="92"/>
      <c r="L20" s="92"/>
    </row>
    <row r="21" ht="14.25" customHeight="1">
      <c r="A21" s="232" t="str">
        <f>$I$3</f>
        <v>m²</v>
      </c>
      <c r="B21" s="233"/>
      <c r="C21" s="233"/>
      <c r="D21" s="233"/>
      <c r="E21" s="233"/>
      <c r="F21" s="233"/>
      <c r="G21" s="21"/>
      <c r="H21" s="233"/>
      <c r="I21" s="205">
        <f>$H$3</f>
        <v>340</v>
      </c>
      <c r="J21" s="92"/>
      <c r="K21" s="92"/>
      <c r="L21" s="92"/>
    </row>
    <row r="22" ht="14.25" customHeight="1">
      <c r="A22" s="234" t="s">
        <v>997</v>
      </c>
      <c r="B22" s="232" t="str">
        <f>A21</f>
        <v>m²</v>
      </c>
      <c r="C22" s="233"/>
      <c r="D22" s="233"/>
      <c r="E22" s="233"/>
      <c r="F22" s="233"/>
      <c r="G22" s="21"/>
      <c r="H22" s="233"/>
      <c r="I22" s="235">
        <f>I20/I21</f>
        <v>28748.29431</v>
      </c>
      <c r="J22" s="92"/>
      <c r="K22" s="92"/>
      <c r="L22" s="92"/>
    </row>
    <row r="23" ht="14.25" customHeight="1">
      <c r="G23" s="3"/>
      <c r="H23" s="153" t="s">
        <v>1047</v>
      </c>
      <c r="I23" s="151">
        <f>I22/M9</f>
        <v>84.5538068</v>
      </c>
    </row>
    <row r="24" ht="14.25" customHeight="1">
      <c r="G24" s="3"/>
    </row>
    <row r="25" ht="14.25" customHeight="1">
      <c r="A25" s="201" t="s">
        <v>998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02" t="s">
        <v>988</v>
      </c>
      <c r="B26" s="202" t="s">
        <v>989</v>
      </c>
      <c r="C26" s="202" t="s">
        <v>990</v>
      </c>
      <c r="D26" s="202" t="s">
        <v>991</v>
      </c>
      <c r="E26" s="202" t="s">
        <v>999</v>
      </c>
      <c r="F26" s="202" t="s">
        <v>992</v>
      </c>
      <c r="G26" s="4" t="s">
        <v>993</v>
      </c>
      <c r="H26" s="202" t="s">
        <v>994</v>
      </c>
      <c r="I26" s="202" t="s">
        <v>995</v>
      </c>
    </row>
    <row r="27" ht="14.25" customHeight="1">
      <c r="A27" s="61" t="s">
        <v>621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29">
        <v>1.0</v>
      </c>
      <c r="E27" s="229">
        <f t="shared" ref="E27:E30" si="4">$M$9/60</f>
        <v>5.666666667</v>
      </c>
      <c r="F27" s="236">
        <v>0.25</v>
      </c>
      <c r="G27" s="217">
        <f t="shared" ref="G27:G32" si="5">ROUNDUP(((D27*E27)*(1+F27)),0)</f>
        <v>8</v>
      </c>
      <c r="H27" s="143">
        <f>IF($A27=0,"",VLOOKUP($A27,'00_MO'!$A$4:$D$7,4,FALSE))</f>
        <v>120000</v>
      </c>
      <c r="I27" s="143">
        <f t="shared" ref="I27:I30" si="6">G27*H27</f>
        <v>960000</v>
      </c>
      <c r="K27" s="153" t="s">
        <v>1051</v>
      </c>
    </row>
    <row r="28" ht="14.25" customHeight="1">
      <c r="A28" s="61" t="s">
        <v>623</v>
      </c>
      <c r="B28" s="92" t="str">
        <f>IF($A28=0,"",VLOOKUP($A28,'00_MO'!$A$4:$D$7,2,FALSE))</f>
        <v>Puntero</v>
      </c>
      <c r="C28" s="92" t="str">
        <f>IF($A28=0,"",VLOOKUP($A28,'00_MO'!$A$4:$D$7,3,FALSE))</f>
        <v>u</v>
      </c>
      <c r="D28" s="229">
        <v>2.0</v>
      </c>
      <c r="E28" s="229">
        <f t="shared" si="4"/>
        <v>5.666666667</v>
      </c>
      <c r="F28" s="236">
        <v>0.25</v>
      </c>
      <c r="G28" s="217">
        <f t="shared" si="5"/>
        <v>15</v>
      </c>
      <c r="H28" s="143">
        <f>IF($A28=0,"",VLOOKUP($A28,'00_MO'!$A$4:$D$7,4,FALSE))</f>
        <v>105000</v>
      </c>
      <c r="I28" s="143">
        <f t="shared" si="6"/>
        <v>1575000</v>
      </c>
    </row>
    <row r="29" ht="14.25" customHeight="1">
      <c r="A29" s="61" t="s">
        <v>625</v>
      </c>
      <c r="B29" s="92" t="str">
        <f>IF($A29=0,"",VLOOKUP($A29,'00_MO'!$A$4:$D$7,2,FALSE))</f>
        <v>Oficial</v>
      </c>
      <c r="C29" s="92" t="str">
        <f>IF($A29=0,"",VLOOKUP($A29,'00_MO'!$A$4:$D$7,3,FALSE))</f>
        <v>u</v>
      </c>
      <c r="D29" s="229">
        <v>3.0</v>
      </c>
      <c r="E29" s="229">
        <f t="shared" si="4"/>
        <v>5.666666667</v>
      </c>
      <c r="F29" s="236">
        <v>0.25</v>
      </c>
      <c r="G29" s="217">
        <f t="shared" si="5"/>
        <v>22</v>
      </c>
      <c r="H29" s="143">
        <f>IF($A29=0,"",VLOOKUP($A29,'00_MO'!$A$4:$D$7,4,FALSE))</f>
        <v>90000</v>
      </c>
      <c r="I29" s="143">
        <f t="shared" si="6"/>
        <v>1980000</v>
      </c>
      <c r="K29" s="153" t="s">
        <v>1052</v>
      </c>
    </row>
    <row r="30" ht="14.25" customHeight="1">
      <c r="A30" s="61" t="s">
        <v>627</v>
      </c>
      <c r="B30" s="92" t="str">
        <f>IF($A30=0,"",VLOOKUP($A30,'00_MO'!$A$4:$D$7,2,FALSE))</f>
        <v>Ayudante</v>
      </c>
      <c r="C30" s="92" t="str">
        <f>IF($A30=0,"",VLOOKUP($A30,'00_MO'!$A$4:$D$7,3,FALSE))</f>
        <v>u</v>
      </c>
      <c r="D30" s="229">
        <v>3.0</v>
      </c>
      <c r="E30" s="229">
        <f t="shared" si="4"/>
        <v>5.666666667</v>
      </c>
      <c r="F30" s="236">
        <v>0.25</v>
      </c>
      <c r="G30" s="217">
        <f t="shared" si="5"/>
        <v>22</v>
      </c>
      <c r="H30" s="143">
        <f>IF($A30=0,"",VLOOKUP($A30,'00_MO'!$A$4:$D$7,4,FALSE))</f>
        <v>60000</v>
      </c>
      <c r="I30" s="143">
        <f t="shared" si="6"/>
        <v>1320000</v>
      </c>
    </row>
    <row r="31" ht="14.25" customHeight="1">
      <c r="A31" s="204"/>
      <c r="B31" s="92" t="str">
        <f>IF($A31=0,"",VLOOKUP($A31,'00_MO'!$A$4:$D$7,2,FALSE))</f>
        <v/>
      </c>
      <c r="C31" s="92" t="str">
        <f>IF($A31=0,"",VLOOKUP($A31,'00_MO'!$A$4:$D$7,3,FALSE))</f>
        <v/>
      </c>
      <c r="D31" s="204"/>
      <c r="E31" s="229"/>
      <c r="F31" s="206"/>
      <c r="G31" s="217">
        <f t="shared" si="5"/>
        <v>0</v>
      </c>
      <c r="H31" s="143" t="str">
        <f>IF($A31=0,"",VLOOKUP($A31,'00_MO'!$A$4:$D$7,4,FALSE))</f>
        <v/>
      </c>
      <c r="I31" s="143"/>
    </row>
    <row r="32" ht="14.25" customHeight="1">
      <c r="A32" s="204"/>
      <c r="B32" s="92" t="str">
        <f>IF($A32=0,"",VLOOKUP($A32,'00_MO'!$A$4:$D$7,2,FALSE))</f>
        <v/>
      </c>
      <c r="C32" s="92" t="str">
        <f>IF($A32=0,"",VLOOKUP($A32,'00_MO'!$A$4:$D$7,3,FALSE))</f>
        <v/>
      </c>
      <c r="D32" s="204"/>
      <c r="E32" s="204"/>
      <c r="F32" s="206"/>
      <c r="G32" s="217">
        <f t="shared" si="5"/>
        <v>0</v>
      </c>
      <c r="H32" s="143" t="str">
        <f>IF($A32=0,"",VLOOKUP($A32,'00_MO'!$A$4:$D$7,4,FALSE))</f>
        <v/>
      </c>
      <c r="I32" s="143"/>
    </row>
    <row r="33" ht="14.25" customHeight="1">
      <c r="F33" s="208"/>
      <c r="G33" s="3"/>
      <c r="H33" s="143"/>
      <c r="I33" s="143"/>
    </row>
    <row r="34" ht="14.25" customHeight="1">
      <c r="A34" s="222" t="s">
        <v>987</v>
      </c>
      <c r="B34" s="223"/>
      <c r="C34" s="223"/>
      <c r="D34" s="223"/>
      <c r="E34" s="223"/>
      <c r="F34" s="223"/>
      <c r="G34" s="211"/>
      <c r="H34" s="223"/>
      <c r="I34" s="224">
        <f>SUM(I27:I32)</f>
        <v>5835000</v>
      </c>
    </row>
    <row r="35" ht="14.25" customHeight="1">
      <c r="A35" s="232" t="str">
        <f>$I$3</f>
        <v>m²</v>
      </c>
      <c r="B35" s="233"/>
      <c r="C35" s="233"/>
      <c r="D35" s="233"/>
      <c r="E35" s="233"/>
      <c r="F35" s="233"/>
      <c r="G35" s="21"/>
      <c r="H35" s="233"/>
      <c r="I35" s="205">
        <f>$H$3</f>
        <v>340</v>
      </c>
      <c r="J35" s="92"/>
      <c r="K35" s="92"/>
      <c r="L35" s="92"/>
    </row>
    <row r="36" ht="14.25" customHeight="1">
      <c r="A36" s="234" t="s">
        <v>997</v>
      </c>
      <c r="B36" s="232" t="str">
        <f>A35</f>
        <v>m²</v>
      </c>
      <c r="C36" s="233"/>
      <c r="D36" s="233"/>
      <c r="E36" s="233"/>
      <c r="F36" s="233"/>
      <c r="G36" s="21"/>
      <c r="H36" s="233"/>
      <c r="I36" s="235">
        <f>I34/I35</f>
        <v>17161.76471</v>
      </c>
      <c r="J36" s="92"/>
      <c r="K36" s="92"/>
      <c r="L36" s="92"/>
    </row>
    <row r="37" ht="14.25" customHeight="1">
      <c r="G37" s="3"/>
      <c r="H37" s="153" t="s">
        <v>1047</v>
      </c>
      <c r="I37" s="151">
        <f>I36/M9</f>
        <v>50.47577855</v>
      </c>
    </row>
    <row r="38" ht="14.25" customHeight="1">
      <c r="G38" s="3"/>
    </row>
    <row r="39" ht="14.25" customHeight="1">
      <c r="A39" s="201" t="s">
        <v>1000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02" t="s">
        <v>988</v>
      </c>
      <c r="B40" s="202" t="s">
        <v>989</v>
      </c>
      <c r="C40" s="202" t="s">
        <v>990</v>
      </c>
      <c r="D40" s="202" t="s">
        <v>991</v>
      </c>
      <c r="E40" s="202" t="s">
        <v>999</v>
      </c>
      <c r="F40" s="202" t="s">
        <v>992</v>
      </c>
      <c r="G40" s="4" t="s">
        <v>993</v>
      </c>
      <c r="H40" s="202" t="s">
        <v>994</v>
      </c>
      <c r="I40" s="202" t="s">
        <v>995</v>
      </c>
    </row>
    <row r="41" ht="14.25" customHeight="1">
      <c r="A41" s="3"/>
      <c r="B41" s="92" t="str">
        <f>IF($A41=0,"",VLOOKUP($A41,'00_Mat'!$A$4:$J$1135,2,FALSE))</f>
        <v/>
      </c>
      <c r="C41" s="92" t="str">
        <f>IF($A41=0,"",VLOOKUP($A41,'00_Mat'!$A$4:$J$1135,3,FALSE))</f>
        <v/>
      </c>
      <c r="D41" s="230"/>
      <c r="E41" s="204"/>
      <c r="F41" s="236"/>
      <c r="G41" s="221">
        <f t="shared" ref="G41:G45" si="7">ROUNDUP((D41+(D41*F41)),0)</f>
        <v>0</v>
      </c>
      <c r="H41" s="143" t="str">
        <f>IF($A41=0,"",VLOOKUP($A41,'00_Mat'!$A$4:$J$1135,5,FALSE))</f>
        <v/>
      </c>
      <c r="I41" s="143">
        <f t="shared" ref="I41:I46" si="8">G41*H41</f>
        <v>0</v>
      </c>
      <c r="J41" s="237"/>
    </row>
    <row r="42" ht="14.25" customHeight="1">
      <c r="A42" s="3"/>
      <c r="B42" s="92" t="str">
        <f>IF($A42=0,"",VLOOKUP($A42,'00_Mat'!$A$4:$J$1135,2,FALSE))</f>
        <v/>
      </c>
      <c r="C42" s="92" t="str">
        <f>IF($A42=0,"",VLOOKUP($A42,'00_Mat'!$A$4:$J$1135,3,FALSE))</f>
        <v/>
      </c>
      <c r="D42" s="230"/>
      <c r="E42" s="204"/>
      <c r="F42" s="236"/>
      <c r="G42" s="221">
        <f t="shared" si="7"/>
        <v>0</v>
      </c>
      <c r="H42" s="143" t="str">
        <f>IF($A42=0,"",VLOOKUP($A42,'00_Mat'!$A$4:$J$1135,5,FALSE))</f>
        <v/>
      </c>
      <c r="I42" s="143">
        <f t="shared" si="8"/>
        <v>0</v>
      </c>
      <c r="J42" s="237"/>
    </row>
    <row r="43" ht="14.25" customHeight="1">
      <c r="A43" s="3"/>
      <c r="B43" s="92" t="str">
        <f>IF($A43=0,"",VLOOKUP($A43,'00_Mat'!$A$4:$J$1135,2,FALSE))</f>
        <v/>
      </c>
      <c r="C43" s="92" t="str">
        <f>IF($A43=0,"",VLOOKUP($A43,'00_Mat'!$A$4:$J$1135,3,FALSE))</f>
        <v/>
      </c>
      <c r="D43" s="230"/>
      <c r="E43" s="204"/>
      <c r="F43" s="236"/>
      <c r="G43" s="221">
        <f t="shared" si="7"/>
        <v>0</v>
      </c>
      <c r="H43" s="143" t="str">
        <f>IF($A43=0,"",VLOOKUP($A43,'00_Mat'!$A$4:$J$1135,5,FALSE))</f>
        <v/>
      </c>
      <c r="I43" s="143">
        <f t="shared" si="8"/>
        <v>0</v>
      </c>
    </row>
    <row r="44" ht="14.25" customHeight="1">
      <c r="A44" s="20"/>
      <c r="B44" s="92" t="str">
        <f>IF($A44=0,"",VLOOKUP($A44,'00_Mat'!$A$4:$J$1135,2,FALSE))</f>
        <v/>
      </c>
      <c r="C44" s="92" t="str">
        <f>IF($A44=0,"",VLOOKUP($A44,'00_Mat'!$A$4:$J$1135,3,FALSE))</f>
        <v/>
      </c>
      <c r="D44" s="230"/>
      <c r="E44" s="204"/>
      <c r="F44" s="236"/>
      <c r="G44" s="221">
        <f t="shared" si="7"/>
        <v>0</v>
      </c>
      <c r="H44" s="143" t="str">
        <f>IF($A44=0,"",VLOOKUP($A44,'00_Mat'!$A$4:$J$1135,5,FALSE))</f>
        <v/>
      </c>
      <c r="I44" s="143">
        <f t="shared" si="8"/>
        <v>0</v>
      </c>
    </row>
    <row r="45" ht="14.25" customHeight="1">
      <c r="B45" s="194" t="str">
        <f>IF($A45=0,"",VLOOKUP($A45,'00_Mat'!$A$4:$J$1135,2,FALSE))</f>
        <v/>
      </c>
      <c r="C45" s="92" t="str">
        <f>IF($A45=0,"",VLOOKUP($A45,'00_Mat'!$A$4:$J$1135,3,FALSE))</f>
        <v/>
      </c>
      <c r="D45" s="230"/>
      <c r="E45" s="204"/>
      <c r="F45" s="236"/>
      <c r="G45" s="221">
        <f t="shared" si="7"/>
        <v>0</v>
      </c>
      <c r="H45" s="231"/>
      <c r="I45" s="143">
        <f t="shared" si="8"/>
        <v>0</v>
      </c>
    </row>
    <row r="46" ht="14.25" customHeight="1">
      <c r="A46" s="204"/>
      <c r="B46" s="92" t="str">
        <f>IF($A46=0,"",VLOOKUP($A46,'00_Mat'!$A$4:$J$1135,2,FALSE))</f>
        <v/>
      </c>
      <c r="C46" s="92" t="str">
        <f>IF($A46=0,"",VLOOKUP($A46,'00_Mat'!$A$4:$J$1135,3,FALSE))</f>
        <v/>
      </c>
      <c r="D46" s="229"/>
      <c r="E46" s="204"/>
      <c r="F46" s="236"/>
      <c r="G46" s="217">
        <f>ROUNDUP(((D46*E46)*(1+F46)),0)</f>
        <v>0</v>
      </c>
      <c r="H46" s="143" t="str">
        <f>IF($A46=0,"",VLOOKUP($A46,'00_Mat'!$A$4:$J$1135,5,FALSE))</f>
        <v/>
      </c>
      <c r="I46" s="143">
        <f t="shared" si="8"/>
        <v>0</v>
      </c>
      <c r="J46" s="153"/>
    </row>
    <row r="47" ht="14.25" customHeight="1">
      <c r="F47" s="208"/>
      <c r="G47" s="3"/>
      <c r="H47" s="143"/>
      <c r="I47" s="143"/>
    </row>
    <row r="48" ht="14.25" customHeight="1">
      <c r="A48" s="222" t="s">
        <v>987</v>
      </c>
      <c r="B48" s="223"/>
      <c r="C48" s="223"/>
      <c r="D48" s="223"/>
      <c r="E48" s="223"/>
      <c r="F48" s="223"/>
      <c r="G48" s="211"/>
      <c r="H48" s="223"/>
      <c r="I48" s="224">
        <f>SUM(I41:I46)</f>
        <v>0</v>
      </c>
    </row>
    <row r="49" ht="14.25" customHeight="1">
      <c r="A49" s="232" t="str">
        <f>$I$3</f>
        <v>m²</v>
      </c>
      <c r="B49" s="233"/>
      <c r="C49" s="233"/>
      <c r="D49" s="233"/>
      <c r="E49" s="233"/>
      <c r="F49" s="233"/>
      <c r="G49" s="21"/>
      <c r="H49" s="233"/>
      <c r="I49" s="205">
        <f>$H$3</f>
        <v>340</v>
      </c>
      <c r="J49" s="92"/>
      <c r="K49" s="92"/>
      <c r="L49" s="92"/>
    </row>
    <row r="50" ht="14.25" customHeight="1">
      <c r="A50" s="234" t="s">
        <v>997</v>
      </c>
      <c r="B50" s="232" t="str">
        <f>A49</f>
        <v>m²</v>
      </c>
      <c r="C50" s="233"/>
      <c r="D50" s="233"/>
      <c r="E50" s="233"/>
      <c r="F50" s="233"/>
      <c r="G50" s="21"/>
      <c r="H50" s="233"/>
      <c r="I50" s="235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01" t="s">
        <v>1010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02" t="s">
        <v>988</v>
      </c>
      <c r="B54" s="202" t="s">
        <v>989</v>
      </c>
      <c r="C54" s="202" t="s">
        <v>990</v>
      </c>
      <c r="D54" s="203" t="s">
        <v>991</v>
      </c>
      <c r="E54" s="197"/>
      <c r="F54" s="202" t="s">
        <v>992</v>
      </c>
      <c r="G54" s="4" t="s">
        <v>993</v>
      </c>
      <c r="H54" s="202" t="s">
        <v>994</v>
      </c>
      <c r="I54" s="202" t="s">
        <v>995</v>
      </c>
    </row>
    <row r="55" ht="14.25" customHeight="1">
      <c r="A55" s="229" t="s">
        <v>1053</v>
      </c>
      <c r="B55" s="92" t="str">
        <f>IF($A55=0,"",VLOOKUP($A55,'00_Mat'!$A$4:$J$1135,2,FALSE))</f>
        <v>Disco corte</v>
      </c>
      <c r="C55" s="92" t="str">
        <f>IF($A55=0,"",VLOOKUP($A55,'00_Mat'!$A$4:$J$1135,3,FALSE))</f>
        <v>u</v>
      </c>
      <c r="D55" s="230">
        <v>1.0</v>
      </c>
      <c r="E55" s="204"/>
      <c r="F55" s="236">
        <v>0.1</v>
      </c>
      <c r="G55" s="221">
        <f t="shared" ref="G55:G60" si="9">ROUNDUP((D55+(D55*F55)),0)</f>
        <v>2</v>
      </c>
      <c r="H55" s="143">
        <f>IF($A55=0,"",VLOOKUP($A55,'00_Mat'!$A$4:$J$1135,5,FALSE))</f>
        <v>40000</v>
      </c>
      <c r="I55" s="143">
        <f t="shared" ref="I55:I58" si="10">G55*H55</f>
        <v>80000</v>
      </c>
      <c r="J55" s="237"/>
    </row>
    <row r="56" ht="14.25" customHeight="1">
      <c r="A56" s="3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0">
        <v>10.0</v>
      </c>
      <c r="E56" s="204"/>
      <c r="F56" s="236">
        <v>0.1</v>
      </c>
      <c r="G56" s="221">
        <f t="shared" si="9"/>
        <v>11</v>
      </c>
      <c r="H56" s="143" t="str">
        <f>IF($A56=0,"",VLOOKUP($A56,'00_Mat'!$A$4:$J$1135,5,FALSE))</f>
        <v/>
      </c>
      <c r="I56" s="143">
        <f t="shared" si="10"/>
        <v>0</v>
      </c>
      <c r="J56" s="237"/>
    </row>
    <row r="57" ht="14.25" customHeight="1">
      <c r="A57" s="3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0">
        <v>1.0</v>
      </c>
      <c r="E57" s="204"/>
      <c r="F57" s="236">
        <v>0.1</v>
      </c>
      <c r="G57" s="221">
        <f t="shared" si="9"/>
        <v>2</v>
      </c>
      <c r="H57" s="143" t="str">
        <f>IF($A57=0,"",VLOOKUP($A57,'00_Mat'!$A$4:$J$1135,5,FALSE))</f>
        <v/>
      </c>
      <c r="I57" s="143">
        <f t="shared" si="10"/>
        <v>0</v>
      </c>
    </row>
    <row r="58" ht="14.25" customHeight="1">
      <c r="A58" s="20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0">
        <v>1.0</v>
      </c>
      <c r="E58" s="204"/>
      <c r="F58" s="236">
        <v>0.1</v>
      </c>
      <c r="G58" s="221">
        <f t="shared" si="9"/>
        <v>2</v>
      </c>
      <c r="H58" s="143" t="str">
        <f>IF($A58=0,"",VLOOKUP($A58,'00_Mat'!$A$4:$J$1135,5,FALSE))</f>
        <v/>
      </c>
      <c r="I58" s="143">
        <f t="shared" si="10"/>
        <v>0</v>
      </c>
    </row>
    <row r="59" ht="14.25" customHeight="1">
      <c r="A59" s="204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05"/>
      <c r="E59" s="204"/>
      <c r="F59" s="206"/>
      <c r="G59" s="221">
        <f t="shared" si="9"/>
        <v>0</v>
      </c>
      <c r="H59" s="143" t="str">
        <f>IF($A59=0,"",VLOOKUP($A59,'00_Mat'!$A$4:$J$1135,5,FALSE))</f>
        <v/>
      </c>
      <c r="I59" s="143"/>
    </row>
    <row r="60" ht="14.25" customHeight="1">
      <c r="A60" s="204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05"/>
      <c r="E60" s="204"/>
      <c r="F60" s="206"/>
      <c r="G60" s="221">
        <f t="shared" si="9"/>
        <v>0</v>
      </c>
      <c r="H60" s="143" t="str">
        <f>IF($A60=0,"",VLOOKUP($A60,'00_Mat'!$A$4:$J$1135,5,FALSE))</f>
        <v/>
      </c>
      <c r="I60" s="143"/>
    </row>
    <row r="61" ht="14.25" customHeight="1">
      <c r="F61" s="208"/>
      <c r="G61" s="3"/>
      <c r="H61" s="143"/>
      <c r="I61" s="143"/>
    </row>
    <row r="62" ht="14.25" customHeight="1">
      <c r="A62" s="222" t="s">
        <v>987</v>
      </c>
      <c r="B62" s="223"/>
      <c r="C62" s="223"/>
      <c r="D62" s="223"/>
      <c r="E62" s="223"/>
      <c r="F62" s="223"/>
      <c r="G62" s="211"/>
      <c r="H62" s="223"/>
      <c r="I62" s="224">
        <f>SUM(I55:I60)</f>
        <v>80000</v>
      </c>
    </row>
    <row r="63" ht="14.25" customHeight="1">
      <c r="A63" s="232" t="str">
        <f>$I$3</f>
        <v>m²</v>
      </c>
      <c r="B63" s="233"/>
      <c r="C63" s="233"/>
      <c r="D63" s="233"/>
      <c r="E63" s="233"/>
      <c r="F63" s="233"/>
      <c r="G63" s="21"/>
      <c r="H63" s="233"/>
      <c r="I63" s="205">
        <f>$H$3</f>
        <v>340</v>
      </c>
      <c r="J63" s="92"/>
      <c r="K63" s="92"/>
      <c r="L63" s="92"/>
    </row>
    <row r="64" ht="14.25" customHeight="1">
      <c r="A64" s="234" t="s">
        <v>997</v>
      </c>
      <c r="B64" s="232" t="str">
        <f>A63</f>
        <v>m²</v>
      </c>
      <c r="C64" s="233"/>
      <c r="D64" s="233"/>
      <c r="E64" s="233"/>
      <c r="F64" s="233"/>
      <c r="G64" s="21"/>
      <c r="H64" s="233"/>
      <c r="I64" s="235">
        <f>I62/I63</f>
        <v>235.2941176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01" t="s">
        <v>1025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02" t="s">
        <v>988</v>
      </c>
      <c r="B68" s="202" t="s">
        <v>989</v>
      </c>
      <c r="C68" s="202" t="s">
        <v>990</v>
      </c>
      <c r="D68" s="202" t="s">
        <v>991</v>
      </c>
      <c r="E68" s="202" t="s">
        <v>999</v>
      </c>
      <c r="F68" s="202" t="s">
        <v>992</v>
      </c>
      <c r="G68" s="4" t="s">
        <v>993</v>
      </c>
      <c r="H68" s="202" t="s">
        <v>994</v>
      </c>
      <c r="I68" s="202" t="s">
        <v>995</v>
      </c>
    </row>
    <row r="69" ht="14.25" customHeight="1">
      <c r="A69" s="204"/>
      <c r="B69" s="92" t="str">
        <f>IF($A69=0,"",VLOOKUP($A69,'00_Sub'!$A$4:$D$1007,2,FALSE))</f>
        <v/>
      </c>
      <c r="C69" s="92" t="str">
        <f>IF($A69=0,"",VLOOKUP($A69,'00_Sub'!$A$4:$D$1007,3,FALSE))</f>
        <v/>
      </c>
      <c r="D69" s="204"/>
      <c r="E69" s="204"/>
      <c r="F69" s="206"/>
      <c r="G69" s="221">
        <f t="shared" ref="G69:G74" si="11">ROUNDUP((D69+(D69*F69)),0)</f>
        <v>0</v>
      </c>
      <c r="H69" s="143" t="str">
        <f>IF($A69=0,"",VLOOKUP($A69,'00_Sub'!$A$4:$D$1007,4,FALSE))</f>
        <v/>
      </c>
      <c r="I69" s="143"/>
    </row>
    <row r="70" ht="14.25" customHeight="1">
      <c r="A70" s="204"/>
      <c r="B70" s="92" t="str">
        <f>IF($A70=0,"",VLOOKUP($A70,'00_Sub'!$A$4:$D$1007,2,FALSE))</f>
        <v/>
      </c>
      <c r="C70" s="92" t="str">
        <f>IF($A70=0,"",VLOOKUP($A70,'00_Sub'!$A$4:$D$1007,3,FALSE))</f>
        <v/>
      </c>
      <c r="D70" s="204"/>
      <c r="E70" s="204"/>
      <c r="F70" s="206"/>
      <c r="G70" s="221">
        <f t="shared" si="11"/>
        <v>0</v>
      </c>
      <c r="H70" s="143" t="str">
        <f>IF($A70=0,"",VLOOKUP($A70,'00_Sub'!$A$4:$D$1007,4,FALSE))</f>
        <v/>
      </c>
      <c r="I70" s="143"/>
    </row>
    <row r="71" ht="14.25" customHeight="1">
      <c r="A71" s="204"/>
      <c r="B71" s="92" t="str">
        <f>IF($A71=0,"",VLOOKUP($A71,'00_Sub'!$A$4:$D$1007,2,FALSE))</f>
        <v/>
      </c>
      <c r="C71" s="92" t="str">
        <f>IF($A71=0,"",VLOOKUP($A71,'00_Sub'!$A$4:$D$1007,3,FALSE))</f>
        <v/>
      </c>
      <c r="D71" s="204"/>
      <c r="E71" s="204"/>
      <c r="F71" s="206"/>
      <c r="G71" s="221">
        <f t="shared" si="11"/>
        <v>0</v>
      </c>
      <c r="H71" s="143" t="str">
        <f>IF($A71=0,"",VLOOKUP($A71,'00_Sub'!$A$4:$D$1007,4,FALSE))</f>
        <v/>
      </c>
      <c r="I71" s="143"/>
    </row>
    <row r="72" ht="14.25" customHeight="1">
      <c r="A72" s="204"/>
      <c r="B72" s="92" t="str">
        <f>IF($A72=0,"",VLOOKUP($A72,'00_Sub'!$A$4:$D$1007,2,FALSE))</f>
        <v/>
      </c>
      <c r="C72" s="92" t="str">
        <f>IF($A72=0,"",VLOOKUP($A72,'00_Sub'!$A$4:$D$1007,3,FALSE))</f>
        <v/>
      </c>
      <c r="D72" s="204"/>
      <c r="E72" s="204"/>
      <c r="F72" s="206"/>
      <c r="G72" s="221">
        <f t="shared" si="11"/>
        <v>0</v>
      </c>
      <c r="H72" s="143" t="str">
        <f>IF($A72=0,"",VLOOKUP($A72,'00_Sub'!$A$4:$D$1007,4,FALSE))</f>
        <v/>
      </c>
      <c r="I72" s="143"/>
    </row>
    <row r="73" ht="14.25" customHeight="1">
      <c r="A73" s="204"/>
      <c r="B73" s="92" t="str">
        <f>IF($A73=0,"",VLOOKUP($A73,'00_Sub'!$A$4:$D$1007,2,FALSE))</f>
        <v/>
      </c>
      <c r="C73" s="92" t="str">
        <f>IF($A73=0,"",VLOOKUP($A73,'00_Sub'!$A$4:$D$1007,3,FALSE))</f>
        <v/>
      </c>
      <c r="D73" s="204"/>
      <c r="E73" s="204"/>
      <c r="F73" s="206"/>
      <c r="G73" s="221">
        <f t="shared" si="11"/>
        <v>0</v>
      </c>
      <c r="H73" s="143" t="str">
        <f>IF($A73=0,"",VLOOKUP($A73,'00_Sub'!$A$4:$D$1007,4,FALSE))</f>
        <v/>
      </c>
      <c r="I73" s="143"/>
    </row>
    <row r="74" ht="14.25" customHeight="1">
      <c r="A74" s="204"/>
      <c r="B74" s="92" t="str">
        <f>IF($A74=0,"",VLOOKUP($A74,'00_Sub'!$A$4:$D$1007,2,FALSE))</f>
        <v/>
      </c>
      <c r="C74" s="92" t="str">
        <f>IF($A74=0,"",VLOOKUP($A74,'00_Sub'!$A$4:$D$1007,3,FALSE))</f>
        <v/>
      </c>
      <c r="D74" s="204"/>
      <c r="E74" s="204"/>
      <c r="F74" s="206"/>
      <c r="G74" s="221">
        <f t="shared" si="11"/>
        <v>0</v>
      </c>
      <c r="H74" s="143" t="str">
        <f>IF($A74=0,"",VLOOKUP($A74,'00_Sub'!$A$4:$D$1007,4,FALSE))</f>
        <v/>
      </c>
      <c r="I74" s="143"/>
    </row>
    <row r="75" ht="14.25" customHeight="1">
      <c r="F75" s="208"/>
      <c r="G75" s="3"/>
      <c r="H75" s="143"/>
      <c r="I75" s="143"/>
    </row>
    <row r="76" ht="14.25" customHeight="1">
      <c r="A76" s="222" t="s">
        <v>987</v>
      </c>
      <c r="B76" s="223"/>
      <c r="C76" s="223"/>
      <c r="D76" s="223"/>
      <c r="E76" s="223"/>
      <c r="F76" s="223"/>
      <c r="G76" s="211"/>
      <c r="H76" s="223"/>
      <c r="I76" s="224">
        <f>SUM(I69:I74)</f>
        <v>0</v>
      </c>
    </row>
    <row r="77" ht="14.25" customHeight="1">
      <c r="A77" s="232" t="str">
        <f>$I$3</f>
        <v>m²</v>
      </c>
      <c r="B77" s="233"/>
      <c r="C77" s="233"/>
      <c r="D77" s="233"/>
      <c r="E77" s="233"/>
      <c r="F77" s="233"/>
      <c r="G77" s="21"/>
      <c r="H77" s="233"/>
      <c r="I77" s="205">
        <f>$H$3</f>
        <v>340</v>
      </c>
      <c r="J77" s="92"/>
      <c r="K77" s="92"/>
      <c r="L77" s="92"/>
    </row>
    <row r="78" ht="14.25" customHeight="1">
      <c r="A78" s="234" t="s">
        <v>997</v>
      </c>
      <c r="B78" s="232" t="str">
        <f>A77</f>
        <v>m²</v>
      </c>
      <c r="C78" s="233"/>
      <c r="D78" s="233"/>
      <c r="E78" s="233"/>
      <c r="F78" s="233"/>
      <c r="G78" s="21"/>
      <c r="H78" s="233"/>
      <c r="I78" s="235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3">
    <mergeCell ref="B3:F3"/>
    <mergeCell ref="D6:E6"/>
    <mergeCell ref="D54:E54"/>
  </mergeCells>
  <printOptions/>
  <pageMargins bottom="0.75" footer="0.0" header="0.0" left="0.7" right="0.7" top="0.75"/>
  <pageSetup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0" width="8.71"/>
    <col customWidth="1" min="11" max="11" width="11.29"/>
    <col customWidth="1" min="12" max="12" width="10.14"/>
    <col customWidth="1" min="13" max="13" width="19.29"/>
  </cols>
  <sheetData>
    <row r="1" ht="33.75" customHeight="1">
      <c r="A1" s="91" t="str">
        <f>'01_C&amp;P'!A1</f>
        <v>EDIFICIO LAS HERAS</v>
      </c>
      <c r="B1" s="91"/>
      <c r="C1" s="91"/>
      <c r="G1" s="3"/>
    </row>
    <row r="2" ht="14.25" customHeight="1">
      <c r="G2" s="3"/>
    </row>
    <row r="3" ht="23.25" customHeight="1">
      <c r="A3" s="195">
        <f>'01_C&amp;P'!A42</f>
        <v>46144</v>
      </c>
      <c r="B3" s="196" t="str">
        <f>IF($A3=0,"",VLOOKUP($A3,'01_C&amp;P'!$A$9:$D$192,2,FALSE))</f>
        <v>CONTRAPISO INTERIOR . e=12cm</v>
      </c>
      <c r="C3" s="197"/>
      <c r="D3" s="197"/>
      <c r="E3" s="197"/>
      <c r="F3" s="197"/>
      <c r="G3" s="198"/>
      <c r="H3" s="199">
        <f>IF($A3=0,"",VLOOKUP($A3,'01_C&amp;P'!$A$9:$D$192,4,FALSE))</f>
        <v>144</v>
      </c>
      <c r="I3" s="200" t="str">
        <f>IF($A3=0,"",VLOOKUP($A3,'01_C&amp;P'!$A$9:$D$192,3,FALSE))</f>
        <v>m²</v>
      </c>
      <c r="M3" s="153"/>
    </row>
    <row r="4" ht="14.25" customHeight="1">
      <c r="G4" s="3"/>
      <c r="K4" s="153" t="s">
        <v>1042</v>
      </c>
    </row>
    <row r="5" ht="14.25" customHeight="1">
      <c r="A5" s="201" t="s">
        <v>0</v>
      </c>
      <c r="B5" s="94"/>
      <c r="C5" s="94"/>
      <c r="D5" s="94"/>
      <c r="E5" s="94"/>
      <c r="F5" s="94"/>
      <c r="G5" s="2"/>
      <c r="H5" s="94"/>
      <c r="I5" s="94"/>
      <c r="K5" s="153">
        <v>0.12</v>
      </c>
    </row>
    <row r="6" ht="14.25" customHeight="1">
      <c r="A6" s="202" t="s">
        <v>988</v>
      </c>
      <c r="B6" s="202" t="s">
        <v>989</v>
      </c>
      <c r="C6" s="202" t="s">
        <v>990</v>
      </c>
      <c r="D6" s="203" t="s">
        <v>991</v>
      </c>
      <c r="E6" s="197"/>
      <c r="F6" s="202" t="s">
        <v>992</v>
      </c>
      <c r="G6" s="4" t="s">
        <v>993</v>
      </c>
      <c r="H6" s="202" t="s">
        <v>994</v>
      </c>
      <c r="I6" s="202" t="s">
        <v>995</v>
      </c>
    </row>
    <row r="7" ht="14.25" customHeight="1">
      <c r="A7" s="249" t="s">
        <v>1054</v>
      </c>
      <c r="B7" s="3" t="str">
        <f>IF($A7=0,"",VLOOKUP($A7,'00_Mat'!$A$4:$J$1165,2,FALSE))</f>
        <v>Bolson de Arena (1m3) </v>
      </c>
      <c r="C7" s="3" t="str">
        <f>IF($A7=0,"",VLOOKUP($A7,'00_Mat'!$A$4:$J$1165,3,FALSE))</f>
        <v>m3</v>
      </c>
      <c r="D7" s="250">
        <f>L8</f>
        <v>17.28</v>
      </c>
      <c r="E7" s="204"/>
      <c r="F7" s="236">
        <v>0.25</v>
      </c>
      <c r="G7" s="221">
        <f t="shared" ref="G7:G11" si="1">ROUNDUP((D7+(D7*F7)),0)</f>
        <v>22</v>
      </c>
      <c r="H7" s="143">
        <f>IF($A7=0,"",VLOOKUP($A7,'00_Mat'!$A$4:$J$1135,5,FALSE))</f>
        <v>33470</v>
      </c>
      <c r="I7" s="143">
        <f t="shared" ref="I7:I11" si="2">G7*H7</f>
        <v>736340</v>
      </c>
      <c r="J7" s="231"/>
      <c r="L7" s="153" t="s">
        <v>1067</v>
      </c>
    </row>
    <row r="8" ht="14.25" customHeight="1">
      <c r="A8" s="249" t="s">
        <v>1055</v>
      </c>
      <c r="B8" s="3" t="str">
        <f>IF($A8=0,"",VLOOKUP($A8,'00_Mat'!$A$4:$J$1165,2,FALSE))</f>
        <v>Bolsa Cemento "Loma Negra" 25 k (u)</v>
      </c>
      <c r="C8" s="3" t="str">
        <f>IF($A8=0,"",VLOOKUP($A8,'00_Mat'!$A$4:$J$1165,3,FALSE))</f>
        <v>u</v>
      </c>
      <c r="D8" s="250">
        <f>15*L8</f>
        <v>259.2</v>
      </c>
      <c r="E8" s="204"/>
      <c r="F8" s="236">
        <v>0.25</v>
      </c>
      <c r="G8" s="221">
        <f t="shared" si="1"/>
        <v>324</v>
      </c>
      <c r="H8" s="143">
        <f>IF($A8=0,"",VLOOKUP($A8,'00_Mat'!$A$4:$J$1135,5,FALSE))</f>
        <v>7000</v>
      </c>
      <c r="I8" s="143">
        <f t="shared" si="2"/>
        <v>2268000</v>
      </c>
      <c r="L8" s="194">
        <f>H3*K5</f>
        <v>17.28</v>
      </c>
    </row>
    <row r="9" ht="14.25" customHeight="1">
      <c r="A9" s="3" t="s">
        <v>42</v>
      </c>
      <c r="B9" s="3" t="str">
        <f>IF($A9=0,"",VLOOKUP($A9,'00_Mat'!$A$4:$J$1165,2,FALSE))</f>
        <v>Ladrillo Comun </v>
      </c>
      <c r="C9" s="3" t="str">
        <f>IF($A9=0,"",VLOOKUP($A9,'00_Mat'!$A$4:$J$1165,3,FALSE))</f>
        <v>u</v>
      </c>
      <c r="D9" s="253">
        <f>H3*0.7</f>
        <v>100.8</v>
      </c>
      <c r="E9" s="204"/>
      <c r="F9" s="236"/>
      <c r="G9" s="221">
        <f t="shared" si="1"/>
        <v>101</v>
      </c>
      <c r="H9" s="143">
        <f>IF($A9=0,"",VLOOKUP($A9,'00_Mat'!$A$4:$J$1135,5,FALSE))</f>
        <v>190.61</v>
      </c>
      <c r="I9" s="143">
        <f t="shared" si="2"/>
        <v>19251.61</v>
      </c>
    </row>
    <row r="10" ht="14.25" customHeight="1">
      <c r="A10" s="3"/>
      <c r="B10" s="3" t="str">
        <f>IF($A10=0,"",VLOOKUP($A10,'00_Mat'!$A$4:$J$1165,2,FALSE))</f>
        <v/>
      </c>
      <c r="C10" s="3" t="str">
        <f>IF($A10=0,"",VLOOKUP($A10,'00_Mat'!$A$4:$J$1165,3,FALSE))</f>
        <v/>
      </c>
      <c r="D10" s="255"/>
      <c r="E10" s="204"/>
      <c r="F10" s="236"/>
      <c r="G10" s="221">
        <f t="shared" si="1"/>
        <v>0</v>
      </c>
      <c r="H10" s="143" t="str">
        <f>IF($A10=0,"",VLOOKUP($A10,'00_Mat'!$A$4:$J$1135,5,FALSE))</f>
        <v/>
      </c>
      <c r="I10" s="143">
        <f t="shared" si="2"/>
        <v>0</v>
      </c>
    </row>
    <row r="11" ht="14.25" customHeight="1">
      <c r="A11" s="254"/>
      <c r="B11" s="3" t="str">
        <f>IF($A11=0,"",VLOOKUP($A11,'00_Mat'!$A$4:$J$1165,2,FALSE))</f>
        <v/>
      </c>
      <c r="C11" s="3" t="str">
        <f>IF($A11=0,"",VLOOKUP($A11,'00_Mat'!$A$4:$J$1165,3,FALSE))</f>
        <v/>
      </c>
      <c r="D11" s="255"/>
      <c r="E11" s="204"/>
      <c r="F11" s="236"/>
      <c r="G11" s="221">
        <f t="shared" si="1"/>
        <v>0</v>
      </c>
      <c r="H11" s="143" t="str">
        <f>IF($A11=0,"",VLOOKUP($A11,'00_Mat'!$A$4:$J$1135,5,FALSE))</f>
        <v/>
      </c>
      <c r="I11" s="143">
        <f t="shared" si="2"/>
        <v>0</v>
      </c>
    </row>
    <row r="12" ht="14.25" customHeight="1">
      <c r="A12" s="3"/>
      <c r="B12" s="92"/>
      <c r="C12" s="92"/>
      <c r="D12" s="229"/>
      <c r="E12" s="204"/>
      <c r="F12" s="206"/>
      <c r="G12" s="221"/>
      <c r="H12" s="143"/>
      <c r="I12" s="143"/>
    </row>
    <row r="13" ht="14.25" customHeight="1">
      <c r="A13" s="20"/>
      <c r="B13" s="92"/>
      <c r="C13" s="92"/>
      <c r="D13" s="229"/>
      <c r="E13" s="204"/>
      <c r="F13" s="206"/>
      <c r="G13" s="221"/>
      <c r="H13" s="143"/>
      <c r="I13" s="143"/>
    </row>
    <row r="14" ht="14.25" customHeight="1">
      <c r="A14" s="3"/>
      <c r="B14" s="92"/>
      <c r="C14" s="92"/>
      <c r="D14" s="229"/>
      <c r="E14" s="204"/>
      <c r="F14" s="206"/>
      <c r="G14" s="221"/>
      <c r="H14" s="143"/>
      <c r="I14" s="143"/>
    </row>
    <row r="15" ht="14.25" customHeight="1">
      <c r="A15" s="3"/>
      <c r="B15" s="92"/>
      <c r="C15" s="92"/>
      <c r="D15" s="229"/>
      <c r="E15" s="204"/>
      <c r="F15" s="206"/>
      <c r="G15" s="221"/>
      <c r="H15" s="143"/>
      <c r="I15" s="143"/>
    </row>
    <row r="16" ht="14.25" customHeight="1">
      <c r="A16" s="204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04"/>
      <c r="E16" s="204"/>
      <c r="F16" s="206"/>
      <c r="G16" s="221">
        <f t="shared" ref="G16:G18" si="3">ROUNDUP((D16+(D16*F16)),0)</f>
        <v>0</v>
      </c>
      <c r="H16" s="143" t="str">
        <f>IF($A16=0,"",VLOOKUP($A16,'00_Mat'!$A$4:$J$1135,5,FALSE))</f>
        <v/>
      </c>
      <c r="I16" s="143"/>
    </row>
    <row r="17" ht="14.25" customHeight="1">
      <c r="A17" s="204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04"/>
      <c r="E17" s="204"/>
      <c r="F17" s="206"/>
      <c r="G17" s="221">
        <f t="shared" si="3"/>
        <v>0</v>
      </c>
      <c r="H17" s="143" t="str">
        <f>IF($A17=0,"",VLOOKUP($A17,'00_Mat'!$A$4:$J$1135,5,FALSE))</f>
        <v/>
      </c>
      <c r="I17" s="143"/>
    </row>
    <row r="18" ht="14.25" customHeight="1">
      <c r="A18" s="204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04"/>
      <c r="E18" s="204"/>
      <c r="F18" s="206"/>
      <c r="G18" s="221">
        <f t="shared" si="3"/>
        <v>0</v>
      </c>
      <c r="H18" s="143" t="str">
        <f>IF($A18=0,"",VLOOKUP($A18,'00_Mat'!$A$4:$J$1135,5,FALSE))</f>
        <v/>
      </c>
      <c r="I18" s="143"/>
    </row>
    <row r="19" ht="14.25" customHeight="1">
      <c r="F19" s="208"/>
      <c r="G19" s="3"/>
      <c r="H19" s="143"/>
      <c r="I19" s="143"/>
    </row>
    <row r="20" ht="14.25" customHeight="1">
      <c r="A20" s="222" t="s">
        <v>996</v>
      </c>
      <c r="B20" s="223"/>
      <c r="C20" s="223"/>
      <c r="D20" s="223"/>
      <c r="E20" s="223"/>
      <c r="F20" s="223"/>
      <c r="G20" s="211"/>
      <c r="H20" s="223"/>
      <c r="I20" s="224">
        <f>SUM(I7:I18)</f>
        <v>3023591.61</v>
      </c>
      <c r="J20" s="92"/>
      <c r="K20" s="92"/>
      <c r="L20" s="92"/>
    </row>
    <row r="21" ht="14.25" customHeight="1">
      <c r="A21" s="232" t="str">
        <f>$I$3</f>
        <v>m²</v>
      </c>
      <c r="B21" s="233"/>
      <c r="C21" s="233"/>
      <c r="D21" s="233"/>
      <c r="E21" s="233"/>
      <c r="F21" s="233"/>
      <c r="G21" s="21"/>
      <c r="H21" s="233"/>
      <c r="I21" s="205">
        <f>$H$3</f>
        <v>144</v>
      </c>
      <c r="J21" s="92"/>
      <c r="K21" s="92"/>
      <c r="L21" s="92"/>
    </row>
    <row r="22" ht="14.25" customHeight="1">
      <c r="A22" s="234" t="s">
        <v>997</v>
      </c>
      <c r="B22" s="232" t="str">
        <f>A21</f>
        <v>m²</v>
      </c>
      <c r="C22" s="233"/>
      <c r="D22" s="233"/>
      <c r="E22" s="233"/>
      <c r="F22" s="233"/>
      <c r="G22" s="21"/>
      <c r="H22" s="233"/>
      <c r="I22" s="235">
        <f>I20/I21</f>
        <v>20997.16396</v>
      </c>
      <c r="J22" s="92"/>
      <c r="K22" s="92"/>
      <c r="L22" s="92"/>
    </row>
    <row r="23" ht="14.25" customHeight="1">
      <c r="G23" s="3"/>
      <c r="I23" s="151"/>
    </row>
    <row r="24" ht="14.25" customHeight="1">
      <c r="G24" s="3"/>
    </row>
    <row r="25" ht="14.25" customHeight="1">
      <c r="A25" s="201" t="s">
        <v>998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02" t="s">
        <v>988</v>
      </c>
      <c r="B26" s="202" t="s">
        <v>989</v>
      </c>
      <c r="C26" s="202" t="s">
        <v>990</v>
      </c>
      <c r="D26" s="202" t="s">
        <v>991</v>
      </c>
      <c r="E26" s="202" t="s">
        <v>999</v>
      </c>
      <c r="F26" s="202" t="s">
        <v>992</v>
      </c>
      <c r="G26" s="4" t="s">
        <v>993</v>
      </c>
      <c r="H26" s="202" t="s">
        <v>994</v>
      </c>
      <c r="I26" s="202" t="s">
        <v>995</v>
      </c>
    </row>
    <row r="27" ht="14.25" customHeight="1">
      <c r="A27" s="61" t="s">
        <v>621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29">
        <v>1.0</v>
      </c>
      <c r="E27" s="229">
        <v>1.0</v>
      </c>
      <c r="F27" s="236">
        <v>0.25</v>
      </c>
      <c r="G27" s="217">
        <f t="shared" ref="G27:G32" si="4">ROUNDUP(((D27*E27)*(1+F27)),0)</f>
        <v>2</v>
      </c>
      <c r="H27" s="143">
        <f>IF($A27=0,"",VLOOKUP($A27,'00_MO'!$A$4:$D$7,4,FALSE))</f>
        <v>120000</v>
      </c>
      <c r="I27" s="143">
        <f t="shared" ref="I27:I30" si="5">G27*H27</f>
        <v>240000</v>
      </c>
      <c r="K27" s="153" t="s">
        <v>1068</v>
      </c>
    </row>
    <row r="28" ht="14.25" customHeight="1">
      <c r="A28" s="61" t="s">
        <v>623</v>
      </c>
      <c r="B28" s="92" t="str">
        <f>IF($A28=0,"",VLOOKUP($A28,'00_MO'!$A$4:$D$7,2,FALSE))</f>
        <v>Puntero</v>
      </c>
      <c r="C28" s="92" t="str">
        <f>IF($A28=0,"",VLOOKUP($A28,'00_MO'!$A$4:$D$7,3,FALSE))</f>
        <v>u</v>
      </c>
      <c r="D28" s="229">
        <v>2.0</v>
      </c>
      <c r="E28" s="229">
        <v>1.0</v>
      </c>
      <c r="F28" s="236">
        <v>0.25</v>
      </c>
      <c r="G28" s="217">
        <f t="shared" si="4"/>
        <v>3</v>
      </c>
      <c r="H28" s="143">
        <f>IF($A28=0,"",VLOOKUP($A28,'00_MO'!$A$4:$D$7,4,FALSE))</f>
        <v>105000</v>
      </c>
      <c r="I28" s="143">
        <f t="shared" si="5"/>
        <v>315000</v>
      </c>
    </row>
    <row r="29" ht="14.25" customHeight="1">
      <c r="A29" s="61" t="s">
        <v>625</v>
      </c>
      <c r="B29" s="92" t="str">
        <f>IF($A29=0,"",VLOOKUP($A29,'00_MO'!$A$4:$D$7,2,FALSE))</f>
        <v>Oficial</v>
      </c>
      <c r="C29" s="92" t="str">
        <f>IF($A29=0,"",VLOOKUP($A29,'00_MO'!$A$4:$D$7,3,FALSE))</f>
        <v>u</v>
      </c>
      <c r="D29" s="229">
        <v>3.0</v>
      </c>
      <c r="E29" s="229">
        <v>1.0</v>
      </c>
      <c r="F29" s="236">
        <v>0.25</v>
      </c>
      <c r="G29" s="217">
        <f t="shared" si="4"/>
        <v>4</v>
      </c>
      <c r="H29" s="143">
        <f>IF($A29=0,"",VLOOKUP($A29,'00_MO'!$A$4:$D$7,4,FALSE))</f>
        <v>90000</v>
      </c>
      <c r="I29" s="143">
        <f t="shared" si="5"/>
        <v>360000</v>
      </c>
    </row>
    <row r="30" ht="14.25" customHeight="1">
      <c r="A30" s="61" t="s">
        <v>627</v>
      </c>
      <c r="B30" s="92" t="str">
        <f>IF($A30=0,"",VLOOKUP($A30,'00_MO'!$A$4:$D$7,2,FALSE))</f>
        <v>Ayudante</v>
      </c>
      <c r="C30" s="92" t="str">
        <f>IF($A30=0,"",VLOOKUP($A30,'00_MO'!$A$4:$D$7,3,FALSE))</f>
        <v>u</v>
      </c>
      <c r="D30" s="229">
        <v>3.0</v>
      </c>
      <c r="E30" s="229">
        <v>1.0</v>
      </c>
      <c r="F30" s="236">
        <v>0.25</v>
      </c>
      <c r="G30" s="217">
        <f t="shared" si="4"/>
        <v>4</v>
      </c>
      <c r="H30" s="143">
        <f>IF($A30=0,"",VLOOKUP($A30,'00_MO'!$A$4:$D$7,4,FALSE))</f>
        <v>60000</v>
      </c>
      <c r="I30" s="143">
        <f t="shared" si="5"/>
        <v>240000</v>
      </c>
    </row>
    <row r="31" ht="14.25" customHeight="1">
      <c r="A31" s="204"/>
      <c r="B31" s="92" t="str">
        <f>IF($A31=0,"",VLOOKUP($A31,'00_MO'!$A$4:$D$7,2,FALSE))</f>
        <v/>
      </c>
      <c r="C31" s="92" t="str">
        <f>IF($A31=0,"",VLOOKUP($A31,'00_MO'!$A$4:$D$7,3,FALSE))</f>
        <v/>
      </c>
      <c r="D31" s="204"/>
      <c r="E31" s="229"/>
      <c r="F31" s="206"/>
      <c r="G31" s="217">
        <f t="shared" si="4"/>
        <v>0</v>
      </c>
      <c r="H31" s="143" t="str">
        <f>IF($A31=0,"",VLOOKUP($A31,'00_MO'!$A$4:$D$7,4,FALSE))</f>
        <v/>
      </c>
      <c r="I31" s="143"/>
    </row>
    <row r="32" ht="14.25" customHeight="1">
      <c r="A32" s="204"/>
      <c r="B32" s="92" t="str">
        <f>IF($A32=0,"",VLOOKUP($A32,'00_MO'!$A$4:$D$7,2,FALSE))</f>
        <v/>
      </c>
      <c r="C32" s="92" t="str">
        <f>IF($A32=0,"",VLOOKUP($A32,'00_MO'!$A$4:$D$7,3,FALSE))</f>
        <v/>
      </c>
      <c r="D32" s="204"/>
      <c r="E32" s="204"/>
      <c r="F32" s="206"/>
      <c r="G32" s="217">
        <f t="shared" si="4"/>
        <v>0</v>
      </c>
      <c r="H32" s="143" t="str">
        <f>IF($A32=0,"",VLOOKUP($A32,'00_MO'!$A$4:$D$7,4,FALSE))</f>
        <v/>
      </c>
      <c r="I32" s="143"/>
    </row>
    <row r="33" ht="14.25" customHeight="1">
      <c r="F33" s="208"/>
      <c r="G33" s="3"/>
      <c r="H33" s="143"/>
      <c r="I33" s="143"/>
    </row>
    <row r="34" ht="14.25" customHeight="1">
      <c r="A34" s="222" t="s">
        <v>987</v>
      </c>
      <c r="B34" s="223"/>
      <c r="C34" s="223"/>
      <c r="D34" s="223"/>
      <c r="E34" s="223"/>
      <c r="F34" s="223"/>
      <c r="G34" s="211"/>
      <c r="H34" s="223"/>
      <c r="I34" s="224">
        <f>SUM(I27:I32)</f>
        <v>1155000</v>
      </c>
    </row>
    <row r="35" ht="14.25" customHeight="1">
      <c r="A35" s="232" t="str">
        <f>$I$3</f>
        <v>m²</v>
      </c>
      <c r="B35" s="233"/>
      <c r="C35" s="233"/>
      <c r="D35" s="233"/>
      <c r="E35" s="233"/>
      <c r="F35" s="233"/>
      <c r="G35" s="21"/>
      <c r="H35" s="233"/>
      <c r="I35" s="205">
        <f>$H$3</f>
        <v>144</v>
      </c>
      <c r="J35" s="92"/>
      <c r="K35" s="92"/>
      <c r="L35" s="92"/>
    </row>
    <row r="36" ht="14.25" customHeight="1">
      <c r="A36" s="234" t="s">
        <v>997</v>
      </c>
      <c r="B36" s="232" t="str">
        <f>A35</f>
        <v>m²</v>
      </c>
      <c r="C36" s="233"/>
      <c r="D36" s="233"/>
      <c r="E36" s="233"/>
      <c r="F36" s="233"/>
      <c r="G36" s="21"/>
      <c r="H36" s="233"/>
      <c r="I36" s="235">
        <f>I34/I35</f>
        <v>8020.833333</v>
      </c>
      <c r="J36" s="92"/>
      <c r="K36" s="92"/>
      <c r="L36" s="92"/>
    </row>
    <row r="37" ht="14.25" customHeight="1">
      <c r="G37" s="3"/>
      <c r="I37" s="151"/>
    </row>
    <row r="38" ht="14.25" customHeight="1">
      <c r="G38" s="3"/>
    </row>
    <row r="39" ht="14.25" customHeight="1">
      <c r="A39" s="201" t="s">
        <v>1000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02" t="s">
        <v>988</v>
      </c>
      <c r="B40" s="202" t="s">
        <v>989</v>
      </c>
      <c r="C40" s="202" t="s">
        <v>990</v>
      </c>
      <c r="D40" s="202" t="s">
        <v>991</v>
      </c>
      <c r="E40" s="202" t="s">
        <v>999</v>
      </c>
      <c r="F40" s="202" t="s">
        <v>992</v>
      </c>
      <c r="G40" s="4" t="s">
        <v>993</v>
      </c>
      <c r="H40" s="202" t="s">
        <v>994</v>
      </c>
      <c r="I40" s="202" t="s">
        <v>995</v>
      </c>
    </row>
    <row r="41" ht="14.25" customHeight="1">
      <c r="A41" s="3"/>
      <c r="B41" s="92" t="str">
        <f>IF($A41=0,"",VLOOKUP($A41,'00_Mat'!$A$4:$J$1135,2,FALSE))</f>
        <v/>
      </c>
      <c r="C41" s="92" t="str">
        <f>IF($A41=0,"",VLOOKUP($A41,'00_Mat'!$A$4:$J$1135,3,FALSE))</f>
        <v/>
      </c>
      <c r="D41" s="230"/>
      <c r="E41" s="204"/>
      <c r="F41" s="236"/>
      <c r="G41" s="221">
        <f t="shared" ref="G41:G45" si="6">ROUNDUP((D41+(D41*F41)),0)</f>
        <v>0</v>
      </c>
      <c r="H41" s="143" t="str">
        <f>IF($A41=0,"",VLOOKUP($A41,'00_Mat'!$A$4:$J$1135,5,FALSE))</f>
        <v/>
      </c>
      <c r="I41" s="143">
        <f t="shared" ref="I41:I46" si="7">G41*H41</f>
        <v>0</v>
      </c>
      <c r="J41" s="237"/>
    </row>
    <row r="42" ht="14.25" customHeight="1">
      <c r="A42" s="3"/>
      <c r="B42" s="92" t="str">
        <f>IF($A42=0,"",VLOOKUP($A42,'00_Mat'!$A$4:$J$1135,2,FALSE))</f>
        <v/>
      </c>
      <c r="C42" s="92" t="str">
        <f>IF($A42=0,"",VLOOKUP($A42,'00_Mat'!$A$4:$J$1135,3,FALSE))</f>
        <v/>
      </c>
      <c r="D42" s="230"/>
      <c r="E42" s="204"/>
      <c r="F42" s="236"/>
      <c r="G42" s="221">
        <f t="shared" si="6"/>
        <v>0</v>
      </c>
      <c r="H42" s="143" t="str">
        <f>IF($A42=0,"",VLOOKUP($A42,'00_Mat'!$A$4:$J$1135,5,FALSE))</f>
        <v/>
      </c>
      <c r="I42" s="143">
        <f t="shared" si="7"/>
        <v>0</v>
      </c>
      <c r="J42" s="237"/>
    </row>
    <row r="43" ht="14.25" customHeight="1">
      <c r="A43" s="3"/>
      <c r="B43" s="92" t="str">
        <f>IF($A43=0,"",VLOOKUP($A43,'00_Mat'!$A$4:$J$1135,2,FALSE))</f>
        <v/>
      </c>
      <c r="C43" s="92" t="str">
        <f>IF($A43=0,"",VLOOKUP($A43,'00_Mat'!$A$4:$J$1135,3,FALSE))</f>
        <v/>
      </c>
      <c r="D43" s="230"/>
      <c r="E43" s="204"/>
      <c r="F43" s="236"/>
      <c r="G43" s="221">
        <f t="shared" si="6"/>
        <v>0</v>
      </c>
      <c r="H43" s="143" t="str">
        <f>IF($A43=0,"",VLOOKUP($A43,'00_Mat'!$A$4:$J$1135,5,FALSE))</f>
        <v/>
      </c>
      <c r="I43" s="143">
        <f t="shared" si="7"/>
        <v>0</v>
      </c>
    </row>
    <row r="44" ht="14.25" customHeight="1">
      <c r="A44" s="20"/>
      <c r="B44" s="92" t="str">
        <f>IF($A44=0,"",VLOOKUP($A44,'00_Mat'!$A$4:$J$1135,2,FALSE))</f>
        <v/>
      </c>
      <c r="C44" s="92" t="str">
        <f>IF($A44=0,"",VLOOKUP($A44,'00_Mat'!$A$4:$J$1135,3,FALSE))</f>
        <v/>
      </c>
      <c r="D44" s="230"/>
      <c r="E44" s="204"/>
      <c r="F44" s="236"/>
      <c r="G44" s="221">
        <f t="shared" si="6"/>
        <v>0</v>
      </c>
      <c r="H44" s="143" t="str">
        <f>IF($A44=0,"",VLOOKUP($A44,'00_Mat'!$A$4:$J$1135,5,FALSE))</f>
        <v/>
      </c>
      <c r="I44" s="143">
        <f t="shared" si="7"/>
        <v>0</v>
      </c>
    </row>
    <row r="45" ht="14.25" customHeight="1">
      <c r="B45" s="194" t="str">
        <f>IF($A45=0,"",VLOOKUP($A45,'00_Mat'!$A$4:$J$1135,2,FALSE))</f>
        <v/>
      </c>
      <c r="C45" s="92" t="str">
        <f>IF($A45=0,"",VLOOKUP($A45,'00_Mat'!$A$4:$J$1135,3,FALSE))</f>
        <v/>
      </c>
      <c r="D45" s="230"/>
      <c r="E45" s="204"/>
      <c r="F45" s="236"/>
      <c r="G45" s="221">
        <f t="shared" si="6"/>
        <v>0</v>
      </c>
      <c r="H45" s="231"/>
      <c r="I45" s="143">
        <f t="shared" si="7"/>
        <v>0</v>
      </c>
    </row>
    <row r="46" ht="14.25" customHeight="1">
      <c r="A46" s="204"/>
      <c r="B46" s="92" t="str">
        <f>IF($A46=0,"",VLOOKUP($A46,'00_Mat'!$A$4:$J$1135,2,FALSE))</f>
        <v/>
      </c>
      <c r="C46" s="92" t="str">
        <f>IF($A46=0,"",VLOOKUP($A46,'00_Mat'!$A$4:$J$1135,3,FALSE))</f>
        <v/>
      </c>
      <c r="D46" s="229"/>
      <c r="E46" s="204"/>
      <c r="F46" s="236"/>
      <c r="G46" s="217">
        <f>ROUNDUP(((D46*E46)*(1+F46)),0)</f>
        <v>0</v>
      </c>
      <c r="H46" s="143" t="str">
        <f>IF($A46=0,"",VLOOKUP($A46,'00_Mat'!$A$4:$J$1135,5,FALSE))</f>
        <v/>
      </c>
      <c r="I46" s="143">
        <f t="shared" si="7"/>
        <v>0</v>
      </c>
      <c r="J46" s="153"/>
    </row>
    <row r="47" ht="14.25" customHeight="1">
      <c r="F47" s="208"/>
      <c r="G47" s="3"/>
      <c r="H47" s="143"/>
      <c r="I47" s="143"/>
    </row>
    <row r="48" ht="14.25" customHeight="1">
      <c r="A48" s="222" t="s">
        <v>987</v>
      </c>
      <c r="B48" s="223"/>
      <c r="C48" s="223"/>
      <c r="D48" s="223"/>
      <c r="E48" s="223"/>
      <c r="F48" s="223"/>
      <c r="G48" s="211"/>
      <c r="H48" s="223"/>
      <c r="I48" s="224">
        <f>SUM(I41:I46)</f>
        <v>0</v>
      </c>
    </row>
    <row r="49" ht="14.25" customHeight="1">
      <c r="A49" s="232" t="str">
        <f>$I$3</f>
        <v>m²</v>
      </c>
      <c r="B49" s="233"/>
      <c r="C49" s="233"/>
      <c r="D49" s="233"/>
      <c r="E49" s="233"/>
      <c r="F49" s="233"/>
      <c r="G49" s="21"/>
      <c r="H49" s="233"/>
      <c r="I49" s="205">
        <f>$H$3</f>
        <v>144</v>
      </c>
      <c r="J49" s="92"/>
      <c r="K49" s="92"/>
      <c r="L49" s="92"/>
    </row>
    <row r="50" ht="14.25" customHeight="1">
      <c r="A50" s="234" t="s">
        <v>997</v>
      </c>
      <c r="B50" s="232" t="str">
        <f>A49</f>
        <v>m²</v>
      </c>
      <c r="C50" s="233"/>
      <c r="D50" s="233"/>
      <c r="E50" s="233"/>
      <c r="F50" s="233"/>
      <c r="G50" s="21"/>
      <c r="H50" s="233"/>
      <c r="I50" s="235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01" t="s">
        <v>1010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02" t="s">
        <v>988</v>
      </c>
      <c r="B54" s="202" t="s">
        <v>989</v>
      </c>
      <c r="C54" s="202" t="s">
        <v>990</v>
      </c>
      <c r="D54" s="203" t="s">
        <v>991</v>
      </c>
      <c r="E54" s="197"/>
      <c r="F54" s="202" t="s">
        <v>992</v>
      </c>
      <c r="G54" s="4" t="s">
        <v>993</v>
      </c>
      <c r="H54" s="202" t="s">
        <v>994</v>
      </c>
      <c r="I54" s="202" t="s">
        <v>995</v>
      </c>
    </row>
    <row r="55" ht="14.25" customHeight="1">
      <c r="A55" s="229"/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30">
        <v>1.0</v>
      </c>
      <c r="E55" s="204"/>
      <c r="F55" s="236">
        <v>0.1</v>
      </c>
      <c r="G55" s="221">
        <f t="shared" ref="G55:G60" si="8">ROUNDUP((D55+(D55*F55)),0)</f>
        <v>2</v>
      </c>
      <c r="H55" s="143" t="str">
        <f>IF($A55=0,"",VLOOKUP($A55,'00_Mat'!$A$4:$J$1135,5,FALSE))</f>
        <v/>
      </c>
      <c r="I55" s="143">
        <f t="shared" ref="I55:I58" si="9">G55*H55</f>
        <v>0</v>
      </c>
      <c r="J55" s="237"/>
    </row>
    <row r="56" ht="14.25" customHeight="1">
      <c r="A56" s="3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0">
        <v>10.0</v>
      </c>
      <c r="E56" s="204"/>
      <c r="F56" s="236">
        <v>0.1</v>
      </c>
      <c r="G56" s="221">
        <f t="shared" si="8"/>
        <v>11</v>
      </c>
      <c r="H56" s="143" t="str">
        <f>IF($A56=0,"",VLOOKUP($A56,'00_Mat'!$A$4:$J$1135,5,FALSE))</f>
        <v/>
      </c>
      <c r="I56" s="143">
        <f t="shared" si="9"/>
        <v>0</v>
      </c>
      <c r="J56" s="237"/>
    </row>
    <row r="57" ht="14.25" customHeight="1">
      <c r="A57" s="3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0">
        <v>1.0</v>
      </c>
      <c r="E57" s="204"/>
      <c r="F57" s="236">
        <v>0.1</v>
      </c>
      <c r="G57" s="221">
        <f t="shared" si="8"/>
        <v>2</v>
      </c>
      <c r="H57" s="143" t="str">
        <f>IF($A57=0,"",VLOOKUP($A57,'00_Mat'!$A$4:$J$1135,5,FALSE))</f>
        <v/>
      </c>
      <c r="I57" s="143">
        <f t="shared" si="9"/>
        <v>0</v>
      </c>
    </row>
    <row r="58" ht="14.25" customHeight="1">
      <c r="A58" s="20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0">
        <v>1.0</v>
      </c>
      <c r="E58" s="204"/>
      <c r="F58" s="236">
        <v>0.1</v>
      </c>
      <c r="G58" s="221">
        <f t="shared" si="8"/>
        <v>2</v>
      </c>
      <c r="H58" s="143" t="str">
        <f>IF($A58=0,"",VLOOKUP($A58,'00_Mat'!$A$4:$J$1135,5,FALSE))</f>
        <v/>
      </c>
      <c r="I58" s="143">
        <f t="shared" si="9"/>
        <v>0</v>
      </c>
    </row>
    <row r="59" ht="14.25" customHeight="1">
      <c r="A59" s="204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05"/>
      <c r="E59" s="204"/>
      <c r="F59" s="206"/>
      <c r="G59" s="221">
        <f t="shared" si="8"/>
        <v>0</v>
      </c>
      <c r="H59" s="143" t="str">
        <f>IF($A59=0,"",VLOOKUP($A59,'00_Mat'!$A$4:$J$1135,5,FALSE))</f>
        <v/>
      </c>
      <c r="I59" s="143"/>
    </row>
    <row r="60" ht="14.25" customHeight="1">
      <c r="A60" s="204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05"/>
      <c r="E60" s="204"/>
      <c r="F60" s="206"/>
      <c r="G60" s="221">
        <f t="shared" si="8"/>
        <v>0</v>
      </c>
      <c r="H60" s="143" t="str">
        <f>IF($A60=0,"",VLOOKUP($A60,'00_Mat'!$A$4:$J$1135,5,FALSE))</f>
        <v/>
      </c>
      <c r="I60" s="143"/>
    </row>
    <row r="61" ht="14.25" customHeight="1">
      <c r="F61" s="208"/>
      <c r="G61" s="3"/>
      <c r="H61" s="143"/>
      <c r="I61" s="143"/>
    </row>
    <row r="62" ht="14.25" customHeight="1">
      <c r="A62" s="222" t="s">
        <v>987</v>
      </c>
      <c r="B62" s="223"/>
      <c r="C62" s="223"/>
      <c r="D62" s="223"/>
      <c r="E62" s="223"/>
      <c r="F62" s="223"/>
      <c r="G62" s="211"/>
      <c r="H62" s="223"/>
      <c r="I62" s="224">
        <f>SUM(I55:I60)</f>
        <v>0</v>
      </c>
    </row>
    <row r="63" ht="14.25" customHeight="1">
      <c r="A63" s="232" t="str">
        <f>$I$3</f>
        <v>m²</v>
      </c>
      <c r="B63" s="233"/>
      <c r="C63" s="233"/>
      <c r="D63" s="233"/>
      <c r="E63" s="233"/>
      <c r="F63" s="233"/>
      <c r="G63" s="21"/>
      <c r="H63" s="233"/>
      <c r="I63" s="205">
        <f>$H$3</f>
        <v>144</v>
      </c>
      <c r="J63" s="92"/>
      <c r="K63" s="92"/>
      <c r="L63" s="92"/>
    </row>
    <row r="64" ht="14.25" customHeight="1">
      <c r="A64" s="234" t="s">
        <v>997</v>
      </c>
      <c r="B64" s="232" t="str">
        <f>A63</f>
        <v>m²</v>
      </c>
      <c r="C64" s="233"/>
      <c r="D64" s="233"/>
      <c r="E64" s="233"/>
      <c r="F64" s="233"/>
      <c r="G64" s="21"/>
      <c r="H64" s="233"/>
      <c r="I64" s="235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01" t="s">
        <v>1025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02" t="s">
        <v>988</v>
      </c>
      <c r="B68" s="202" t="s">
        <v>989</v>
      </c>
      <c r="C68" s="202" t="s">
        <v>990</v>
      </c>
      <c r="D68" s="202" t="s">
        <v>991</v>
      </c>
      <c r="E68" s="202" t="s">
        <v>999</v>
      </c>
      <c r="F68" s="202" t="s">
        <v>992</v>
      </c>
      <c r="G68" s="4" t="s">
        <v>993</v>
      </c>
      <c r="H68" s="202" t="s">
        <v>994</v>
      </c>
      <c r="I68" s="202" t="s">
        <v>995</v>
      </c>
    </row>
    <row r="69" ht="14.25" customHeight="1">
      <c r="A69" s="20" t="s">
        <v>743</v>
      </c>
      <c r="B69" s="92" t="str">
        <f>IF($A69=0,"",VLOOKUP($A69,'00_Sub'!$A$4:$D$1007,2,FALSE))</f>
        <v>BOMBEO HORMIGON CELULAR. Incluye mano de obra y bomba.</v>
      </c>
      <c r="C69" s="92" t="str">
        <f>IF($A69=0,"",VLOOKUP($A69,'00_Sub'!$A$4:$D$1007,3,FALSE))</f>
        <v>m²</v>
      </c>
      <c r="D69" s="205">
        <f>H3</f>
        <v>144</v>
      </c>
      <c r="E69" s="204"/>
      <c r="F69" s="236">
        <v>0.25</v>
      </c>
      <c r="G69" s="221">
        <f t="shared" ref="G69:G74" si="10">ROUNDUP((D69+(D69*F69)),0)</f>
        <v>180</v>
      </c>
      <c r="H69" s="143">
        <f>IF($A69=0,"",VLOOKUP($A69,'00_Sub'!$A$4:$D$1007,4,FALSE))</f>
        <v>12000</v>
      </c>
      <c r="I69" s="143">
        <f>G69*H69</f>
        <v>2160000</v>
      </c>
    </row>
    <row r="70" ht="14.25" customHeight="1">
      <c r="A70" s="204"/>
      <c r="B70" s="92" t="str">
        <f>IF($A70=0,"",VLOOKUP($A70,'00_Sub'!$A$4:$D$1007,2,FALSE))</f>
        <v/>
      </c>
      <c r="C70" s="92" t="str">
        <f>IF($A70=0,"",VLOOKUP($A70,'00_Sub'!$A$4:$D$1007,3,FALSE))</f>
        <v/>
      </c>
      <c r="D70" s="204"/>
      <c r="E70" s="204"/>
      <c r="F70" s="206"/>
      <c r="G70" s="221">
        <f t="shared" si="10"/>
        <v>0</v>
      </c>
      <c r="H70" s="143" t="str">
        <f>IF($A70=0,"",VLOOKUP($A70,'00_Sub'!$A$4:$D$1007,4,FALSE))</f>
        <v/>
      </c>
      <c r="I70" s="143"/>
    </row>
    <row r="71" ht="14.25" customHeight="1">
      <c r="A71" s="204"/>
      <c r="B71" s="92" t="str">
        <f>IF($A71=0,"",VLOOKUP($A71,'00_Sub'!$A$4:$D$1007,2,FALSE))</f>
        <v/>
      </c>
      <c r="C71" s="92" t="str">
        <f>IF($A71=0,"",VLOOKUP($A71,'00_Sub'!$A$4:$D$1007,3,FALSE))</f>
        <v/>
      </c>
      <c r="D71" s="204"/>
      <c r="E71" s="204"/>
      <c r="F71" s="206"/>
      <c r="G71" s="221">
        <f t="shared" si="10"/>
        <v>0</v>
      </c>
      <c r="H71" s="143" t="str">
        <f>IF($A71=0,"",VLOOKUP($A71,'00_Sub'!$A$4:$D$1007,4,FALSE))</f>
        <v/>
      </c>
      <c r="I71" s="143"/>
    </row>
    <row r="72" ht="14.25" customHeight="1">
      <c r="A72" s="204"/>
      <c r="B72" s="92" t="str">
        <f>IF($A72=0,"",VLOOKUP($A72,'00_Sub'!$A$4:$D$1007,2,FALSE))</f>
        <v/>
      </c>
      <c r="C72" s="92" t="str">
        <f>IF($A72=0,"",VLOOKUP($A72,'00_Sub'!$A$4:$D$1007,3,FALSE))</f>
        <v/>
      </c>
      <c r="D72" s="204"/>
      <c r="E72" s="204"/>
      <c r="F72" s="206"/>
      <c r="G72" s="221">
        <f t="shared" si="10"/>
        <v>0</v>
      </c>
      <c r="H72" s="143" t="str">
        <f>IF($A72=0,"",VLOOKUP($A72,'00_Sub'!$A$4:$D$1007,4,FALSE))</f>
        <v/>
      </c>
      <c r="I72" s="143"/>
    </row>
    <row r="73" ht="14.25" customHeight="1">
      <c r="A73" s="204"/>
      <c r="B73" s="92" t="str">
        <f>IF($A73=0,"",VLOOKUP($A73,'00_Sub'!$A$4:$D$1007,2,FALSE))</f>
        <v/>
      </c>
      <c r="C73" s="92" t="str">
        <f>IF($A73=0,"",VLOOKUP($A73,'00_Sub'!$A$4:$D$1007,3,FALSE))</f>
        <v/>
      </c>
      <c r="D73" s="204"/>
      <c r="E73" s="204"/>
      <c r="F73" s="206"/>
      <c r="G73" s="221">
        <f t="shared" si="10"/>
        <v>0</v>
      </c>
      <c r="H73" s="143" t="str">
        <f>IF($A73=0,"",VLOOKUP($A73,'00_Sub'!$A$4:$D$1007,4,FALSE))</f>
        <v/>
      </c>
      <c r="I73" s="143"/>
    </row>
    <row r="74" ht="14.25" customHeight="1">
      <c r="A74" s="204"/>
      <c r="B74" s="92" t="str">
        <f>IF($A74=0,"",VLOOKUP($A74,'00_Sub'!$A$4:$D$1007,2,FALSE))</f>
        <v/>
      </c>
      <c r="C74" s="92" t="str">
        <f>IF($A74=0,"",VLOOKUP($A74,'00_Sub'!$A$4:$D$1007,3,FALSE))</f>
        <v/>
      </c>
      <c r="D74" s="204"/>
      <c r="E74" s="204"/>
      <c r="F74" s="206"/>
      <c r="G74" s="221">
        <f t="shared" si="10"/>
        <v>0</v>
      </c>
      <c r="H74" s="143" t="str">
        <f>IF($A74=0,"",VLOOKUP($A74,'00_Sub'!$A$4:$D$1007,4,FALSE))</f>
        <v/>
      </c>
      <c r="I74" s="143"/>
    </row>
    <row r="75" ht="14.25" customHeight="1">
      <c r="F75" s="208"/>
      <c r="G75" s="3"/>
      <c r="H75" s="143"/>
      <c r="I75" s="143"/>
    </row>
    <row r="76" ht="14.25" customHeight="1">
      <c r="A76" s="222" t="s">
        <v>987</v>
      </c>
      <c r="B76" s="223"/>
      <c r="C76" s="223"/>
      <c r="D76" s="223"/>
      <c r="E76" s="223"/>
      <c r="F76" s="223"/>
      <c r="G76" s="211"/>
      <c r="H76" s="223"/>
      <c r="I76" s="224">
        <f>SUM(I69:I74)</f>
        <v>2160000</v>
      </c>
    </row>
    <row r="77" ht="14.25" customHeight="1">
      <c r="A77" s="232" t="str">
        <f>$I$3</f>
        <v>m²</v>
      </c>
      <c r="B77" s="233"/>
      <c r="C77" s="233"/>
      <c r="D77" s="233"/>
      <c r="E77" s="233"/>
      <c r="F77" s="233"/>
      <c r="G77" s="21"/>
      <c r="H77" s="233"/>
      <c r="I77" s="205">
        <f>$H$3</f>
        <v>144</v>
      </c>
      <c r="J77" s="92"/>
      <c r="K77" s="92"/>
      <c r="L77" s="92"/>
    </row>
    <row r="78" ht="14.25" customHeight="1">
      <c r="A78" s="234" t="s">
        <v>997</v>
      </c>
      <c r="B78" s="232" t="str">
        <f>A77</f>
        <v>m²</v>
      </c>
      <c r="C78" s="233"/>
      <c r="D78" s="233"/>
      <c r="E78" s="233"/>
      <c r="F78" s="233"/>
      <c r="G78" s="21"/>
      <c r="H78" s="233"/>
      <c r="I78" s="235">
        <f>I76/I77</f>
        <v>15000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3">
    <mergeCell ref="B3:F3"/>
    <mergeCell ref="D6:E6"/>
    <mergeCell ref="D54:E54"/>
  </mergeCells>
  <printOptions/>
  <pageMargins bottom="0.75" footer="0.0" header="0.0" left="0.7" right="0.7" top="0.75"/>
  <pageSetup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0" width="8.71"/>
    <col customWidth="1" min="11" max="11" width="11.29"/>
    <col customWidth="1" min="12" max="12" width="10.14"/>
    <col customWidth="1" min="13" max="13" width="19.29"/>
  </cols>
  <sheetData>
    <row r="1" ht="33.75" customHeight="1">
      <c r="A1" s="91" t="str">
        <f>'01_C&amp;P'!A1</f>
        <v>EDIFICIO LAS HERAS</v>
      </c>
      <c r="B1" s="91"/>
      <c r="C1" s="91"/>
      <c r="G1" s="3"/>
    </row>
    <row r="2" ht="14.25" customHeight="1">
      <c r="G2" s="3"/>
    </row>
    <row r="3" ht="23.25" customHeight="1">
      <c r="A3" s="195" t="str">
        <f>'01_C&amp;P'!A43</f>
        <v>2.51</v>
      </c>
      <c r="B3" s="196" t="str">
        <f>IF($A3=0,"",VLOOKUP($A3,'01_C&amp;P'!$A$9:$D$192,2,FALSE))</f>
        <v>PAVIMENTO ALISADO EN ESTACIONAMIENTO. e=10cm</v>
      </c>
      <c r="C3" s="197"/>
      <c r="D3" s="197"/>
      <c r="E3" s="197"/>
      <c r="F3" s="197"/>
      <c r="G3" s="198"/>
      <c r="H3" s="199">
        <f>IF($A3=0,"",VLOOKUP($A3,'01_C&amp;P'!$A$9:$D$192,4,FALSE))</f>
        <v>267</v>
      </c>
      <c r="I3" s="200" t="str">
        <f>IF($A3=0,"",VLOOKUP($A3,'01_C&amp;P'!$A$9:$D$192,3,FALSE))</f>
        <v>m²</v>
      </c>
      <c r="M3" s="153"/>
    </row>
    <row r="4" ht="14.25" customHeight="1">
      <c r="G4" s="3"/>
      <c r="K4" s="153" t="s">
        <v>1042</v>
      </c>
      <c r="M4" s="153" t="s">
        <v>1043</v>
      </c>
    </row>
    <row r="5" ht="14.25" customHeight="1">
      <c r="A5" s="201" t="s">
        <v>0</v>
      </c>
      <c r="B5" s="94"/>
      <c r="C5" s="94"/>
      <c r="D5" s="94"/>
      <c r="E5" s="94"/>
      <c r="F5" s="94"/>
      <c r="G5" s="2"/>
      <c r="H5" s="94"/>
      <c r="I5" s="94"/>
      <c r="K5" s="153">
        <v>0.1</v>
      </c>
      <c r="M5" s="251">
        <f>H3</f>
        <v>267</v>
      </c>
    </row>
    <row r="6" ht="14.25" customHeight="1">
      <c r="A6" s="202" t="s">
        <v>988</v>
      </c>
      <c r="B6" s="202" t="s">
        <v>989</v>
      </c>
      <c r="C6" s="202" t="s">
        <v>990</v>
      </c>
      <c r="D6" s="203" t="s">
        <v>991</v>
      </c>
      <c r="E6" s="197"/>
      <c r="F6" s="202" t="s">
        <v>992</v>
      </c>
      <c r="G6" s="4" t="s">
        <v>993</v>
      </c>
      <c r="H6" s="202" t="s">
        <v>994</v>
      </c>
      <c r="I6" s="202" t="s">
        <v>995</v>
      </c>
    </row>
    <row r="7" ht="14.25" customHeight="1">
      <c r="A7" s="252" t="s">
        <v>1044</v>
      </c>
      <c r="B7" s="3" t="str">
        <f>IF($A7=0,"",VLOOKUP($A7,'00_Mat'!$A$4:$J$1165,2,FALSE))</f>
        <v>Malla Φ 5,5  (2 m x 5 m) (hierros cada 0,18 x 0,18 m) </v>
      </c>
      <c r="C7" s="3" t="str">
        <f>IF($A7=0,"",VLOOKUP($A7,'00_Mat'!$A$4:$J$1165,3,FALSE))</f>
        <v>u</v>
      </c>
      <c r="D7" s="250">
        <f>M5/10</f>
        <v>26.7</v>
      </c>
      <c r="E7" s="204"/>
      <c r="F7" s="236">
        <v>0.25</v>
      </c>
      <c r="G7" s="221">
        <f t="shared" ref="G7:G11" si="1">ROUNDUP((D7+(D7*F7)),0)</f>
        <v>34</v>
      </c>
      <c r="H7" s="143">
        <f>IF($A7=0,"",VLOOKUP($A7,'00_Mat'!$A$4:$J$1135,5,FALSE))</f>
        <v>37608</v>
      </c>
      <c r="I7" s="143">
        <f t="shared" ref="I7:I11" si="2">G7*H7</f>
        <v>1278672</v>
      </c>
      <c r="J7" s="231"/>
    </row>
    <row r="8" ht="14.25" customHeight="1">
      <c r="A8" s="249" t="s">
        <v>560</v>
      </c>
      <c r="B8" s="3" t="str">
        <f>IF($A8=0,"",VLOOKUP($A8,'00_Mat'!$A$4:$J$1165,2,FALSE))</f>
        <v>Hormigon H30</v>
      </c>
      <c r="C8" s="3" t="str">
        <f>IF($A8=0,"",VLOOKUP($A8,'00_Mat'!$A$4:$J$1165,3,FALSE))</f>
        <v>m3</v>
      </c>
      <c r="D8" s="250">
        <f>M5*K5</f>
        <v>26.7</v>
      </c>
      <c r="E8" s="204"/>
      <c r="F8" s="236">
        <v>0.15</v>
      </c>
      <c r="G8" s="221">
        <f t="shared" si="1"/>
        <v>31</v>
      </c>
      <c r="H8" s="143">
        <f>IF($A8=0,"",VLOOKUP($A8,'00_Mat'!$A$4:$J$1135,5,FALSE))</f>
        <v>158000</v>
      </c>
      <c r="I8" s="143">
        <f t="shared" si="2"/>
        <v>4898000</v>
      </c>
    </row>
    <row r="9" ht="14.25" customHeight="1">
      <c r="A9" s="3" t="s">
        <v>602</v>
      </c>
      <c r="B9" s="3" t="str">
        <f>IF($A9=0,"",VLOOKUP($A9,'00_Mat'!$A$4:$J$1165,2,FALSE))</f>
        <v>Bomba Pluma Traslado e Instalacion</v>
      </c>
      <c r="C9" s="3" t="str">
        <f>IF($A9=0,"",VLOOKUP($A9,'00_Mat'!$A$4:$J$1165,3,FALSE))</f>
        <v>u</v>
      </c>
      <c r="D9" s="253">
        <v>1.0</v>
      </c>
      <c r="E9" s="204"/>
      <c r="F9" s="236"/>
      <c r="G9" s="221">
        <f t="shared" si="1"/>
        <v>1</v>
      </c>
      <c r="H9" s="143">
        <f>IF($A9=0,"",VLOOKUP($A9,'00_Mat'!$A$4:$J$1135,5,FALSE))</f>
        <v>600000</v>
      </c>
      <c r="I9" s="143">
        <f t="shared" si="2"/>
        <v>600000</v>
      </c>
      <c r="J9" s="153" t="s">
        <v>1031</v>
      </c>
    </row>
    <row r="10" ht="14.25" customHeight="1">
      <c r="A10" s="3" t="s">
        <v>604</v>
      </c>
      <c r="B10" s="3" t="str">
        <f>IF($A10=0,"",VLOOKUP($A10,'00_Mat'!$A$4:$J$1165,2,FALSE))</f>
        <v>Bomba Pluma m3 bombeable</v>
      </c>
      <c r="C10" s="3" t="str">
        <f>IF($A10=0,"",VLOOKUP($A10,'00_Mat'!$A$4:$J$1165,3,FALSE))</f>
        <v>m3</v>
      </c>
      <c r="D10" s="250">
        <f>D8</f>
        <v>26.7</v>
      </c>
      <c r="E10" s="204"/>
      <c r="F10" s="236"/>
      <c r="G10" s="221">
        <f t="shared" si="1"/>
        <v>27</v>
      </c>
      <c r="H10" s="143">
        <f>IF($A10=0,"",VLOOKUP($A10,'00_Mat'!$A$4:$J$1135,5,FALSE))</f>
        <v>6000</v>
      </c>
      <c r="I10" s="143">
        <f t="shared" si="2"/>
        <v>162000</v>
      </c>
      <c r="J10" s="153" t="s">
        <v>1045</v>
      </c>
    </row>
    <row r="11" ht="14.25" customHeight="1">
      <c r="A11" s="249" t="s">
        <v>42</v>
      </c>
      <c r="B11" s="3" t="str">
        <f>IF($A11=0,"",VLOOKUP($A11,'00_Mat'!$A$4:$J$1165,2,FALSE))</f>
        <v>Ladrillo Comun </v>
      </c>
      <c r="C11" s="3" t="str">
        <f>IF($A11=0,"",VLOOKUP($A11,'00_Mat'!$A$4:$J$1165,3,FALSE))</f>
        <v>u</v>
      </c>
      <c r="D11" s="253">
        <v>200.0</v>
      </c>
      <c r="E11" s="204"/>
      <c r="F11" s="236"/>
      <c r="G11" s="221">
        <f t="shared" si="1"/>
        <v>200</v>
      </c>
      <c r="H11" s="143">
        <f>IF($A11=0,"",VLOOKUP($A11,'00_Mat'!$A$4:$J$1135,5,FALSE))</f>
        <v>190.61</v>
      </c>
      <c r="I11" s="143">
        <f t="shared" si="2"/>
        <v>38122</v>
      </c>
      <c r="J11" s="153" t="s">
        <v>1046</v>
      </c>
    </row>
    <row r="12" ht="14.25" customHeight="1">
      <c r="A12" s="3"/>
      <c r="B12" s="92"/>
      <c r="C12" s="92"/>
      <c r="D12" s="229"/>
      <c r="E12" s="204"/>
      <c r="F12" s="206"/>
      <c r="G12" s="221"/>
      <c r="H12" s="143"/>
      <c r="I12" s="143"/>
    </row>
    <row r="13" ht="14.25" customHeight="1">
      <c r="A13" s="20"/>
      <c r="B13" s="92"/>
      <c r="C13" s="92"/>
      <c r="D13" s="229"/>
      <c r="E13" s="204"/>
      <c r="F13" s="206"/>
      <c r="G13" s="221"/>
      <c r="H13" s="143"/>
      <c r="I13" s="143"/>
    </row>
    <row r="14" ht="14.25" customHeight="1">
      <c r="A14" s="3"/>
      <c r="B14" s="92"/>
      <c r="C14" s="92"/>
      <c r="D14" s="229"/>
      <c r="E14" s="204"/>
      <c r="F14" s="206"/>
      <c r="G14" s="221"/>
      <c r="H14" s="143"/>
      <c r="I14" s="143"/>
    </row>
    <row r="15" ht="14.25" customHeight="1">
      <c r="A15" s="3"/>
      <c r="B15" s="92"/>
      <c r="C15" s="92"/>
      <c r="D15" s="229"/>
      <c r="E15" s="204"/>
      <c r="F15" s="206"/>
      <c r="G15" s="221"/>
      <c r="H15" s="143"/>
      <c r="I15" s="143"/>
    </row>
    <row r="16" ht="14.25" customHeight="1">
      <c r="A16" s="204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04"/>
      <c r="E16" s="204"/>
      <c r="F16" s="206"/>
      <c r="G16" s="221">
        <f t="shared" ref="G16:G18" si="3">ROUNDUP((D16+(D16*F16)),0)</f>
        <v>0</v>
      </c>
      <c r="H16" s="143" t="str">
        <f>IF($A16=0,"",VLOOKUP($A16,'00_Mat'!$A$4:$J$1135,5,FALSE))</f>
        <v/>
      </c>
      <c r="I16" s="143"/>
    </row>
    <row r="17" ht="14.25" customHeight="1">
      <c r="A17" s="204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04"/>
      <c r="E17" s="204"/>
      <c r="F17" s="206"/>
      <c r="G17" s="221">
        <f t="shared" si="3"/>
        <v>0</v>
      </c>
      <c r="H17" s="143" t="str">
        <f>IF($A17=0,"",VLOOKUP($A17,'00_Mat'!$A$4:$J$1135,5,FALSE))</f>
        <v/>
      </c>
      <c r="I17" s="143"/>
    </row>
    <row r="18" ht="14.25" customHeight="1">
      <c r="A18" s="204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04"/>
      <c r="E18" s="204"/>
      <c r="F18" s="206"/>
      <c r="G18" s="221">
        <f t="shared" si="3"/>
        <v>0</v>
      </c>
      <c r="H18" s="143" t="str">
        <f>IF($A18=0,"",VLOOKUP($A18,'00_Mat'!$A$4:$J$1135,5,FALSE))</f>
        <v/>
      </c>
      <c r="I18" s="143"/>
    </row>
    <row r="19" ht="14.25" customHeight="1">
      <c r="F19" s="208"/>
      <c r="G19" s="3"/>
      <c r="H19" s="143"/>
      <c r="I19" s="143"/>
    </row>
    <row r="20" ht="14.25" customHeight="1">
      <c r="A20" s="222" t="s">
        <v>996</v>
      </c>
      <c r="B20" s="223"/>
      <c r="C20" s="223"/>
      <c r="D20" s="223"/>
      <c r="E20" s="223"/>
      <c r="F20" s="223"/>
      <c r="G20" s="211"/>
      <c r="H20" s="223"/>
      <c r="I20" s="224">
        <f>SUM(I7:I18)</f>
        <v>6976794</v>
      </c>
      <c r="J20" s="92"/>
      <c r="K20" s="92"/>
      <c r="L20" s="92"/>
    </row>
    <row r="21" ht="14.25" customHeight="1">
      <c r="A21" s="232" t="str">
        <f>$I$3</f>
        <v>m²</v>
      </c>
      <c r="B21" s="233"/>
      <c r="C21" s="233"/>
      <c r="D21" s="233"/>
      <c r="E21" s="233"/>
      <c r="F21" s="233"/>
      <c r="G21" s="21"/>
      <c r="H21" s="233"/>
      <c r="I21" s="205">
        <f>$H$3</f>
        <v>267</v>
      </c>
      <c r="J21" s="92"/>
      <c r="K21" s="92"/>
      <c r="L21" s="92"/>
    </row>
    <row r="22" ht="14.25" customHeight="1">
      <c r="A22" s="234" t="s">
        <v>997</v>
      </c>
      <c r="B22" s="232" t="str">
        <f>A21</f>
        <v>m²</v>
      </c>
      <c r="C22" s="233"/>
      <c r="D22" s="233"/>
      <c r="E22" s="233"/>
      <c r="F22" s="233"/>
      <c r="G22" s="21"/>
      <c r="H22" s="233"/>
      <c r="I22" s="235">
        <f>I20/I21</f>
        <v>26130.31461</v>
      </c>
      <c r="J22" s="92"/>
      <c r="K22" s="92"/>
      <c r="L22" s="92"/>
    </row>
    <row r="23" ht="14.25" customHeight="1">
      <c r="G23" s="3"/>
      <c r="H23" s="153" t="s">
        <v>1047</v>
      </c>
      <c r="I23" s="151">
        <f>I22/M5</f>
        <v>97.86634684</v>
      </c>
    </row>
    <row r="24" ht="14.25" customHeight="1">
      <c r="G24" s="3"/>
    </row>
    <row r="25" ht="14.25" customHeight="1">
      <c r="A25" s="201" t="s">
        <v>998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02" t="s">
        <v>988</v>
      </c>
      <c r="B26" s="202" t="s">
        <v>989</v>
      </c>
      <c r="C26" s="202" t="s">
        <v>990</v>
      </c>
      <c r="D26" s="202" t="s">
        <v>991</v>
      </c>
      <c r="E26" s="202" t="s">
        <v>999</v>
      </c>
      <c r="F26" s="202" t="s">
        <v>992</v>
      </c>
      <c r="G26" s="4" t="s">
        <v>993</v>
      </c>
      <c r="H26" s="202" t="s">
        <v>994</v>
      </c>
      <c r="I26" s="202" t="s">
        <v>995</v>
      </c>
      <c r="K26" s="153" t="s">
        <v>1048</v>
      </c>
    </row>
    <row r="27" ht="14.25" customHeight="1">
      <c r="A27" s="61" t="s">
        <v>621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29">
        <v>1.0</v>
      </c>
      <c r="E27" s="229">
        <v>1.0</v>
      </c>
      <c r="F27" s="236">
        <v>0.25</v>
      </c>
      <c r="G27" s="217">
        <f t="shared" ref="G27:G32" si="4">ROUNDUP(((D27*E27)*(1+F27)),0)</f>
        <v>2</v>
      </c>
      <c r="H27" s="143">
        <f>IF($A27=0,"",VLOOKUP($A27,'00_MO'!$A$4:$D$7,4,FALSE))</f>
        <v>120000</v>
      </c>
      <c r="I27" s="143">
        <f t="shared" ref="I27:I30" si="5">G27*H27</f>
        <v>240000</v>
      </c>
    </row>
    <row r="28" ht="14.25" customHeight="1">
      <c r="A28" s="61" t="s">
        <v>623</v>
      </c>
      <c r="B28" s="92" t="str">
        <f>IF($A28=0,"",VLOOKUP($A28,'00_MO'!$A$4:$D$7,2,FALSE))</f>
        <v>Puntero</v>
      </c>
      <c r="C28" s="92" t="str">
        <f>IF($A28=0,"",VLOOKUP($A28,'00_MO'!$A$4:$D$7,3,FALSE))</f>
        <v>u</v>
      </c>
      <c r="D28" s="229">
        <v>2.0</v>
      </c>
      <c r="E28" s="229">
        <v>1.0</v>
      </c>
      <c r="F28" s="236">
        <v>0.25</v>
      </c>
      <c r="G28" s="217">
        <f t="shared" si="4"/>
        <v>3</v>
      </c>
      <c r="H28" s="143">
        <f>IF($A28=0,"",VLOOKUP($A28,'00_MO'!$A$4:$D$7,4,FALSE))</f>
        <v>105000</v>
      </c>
      <c r="I28" s="143">
        <f t="shared" si="5"/>
        <v>315000</v>
      </c>
    </row>
    <row r="29" ht="14.25" customHeight="1">
      <c r="A29" s="61" t="s">
        <v>625</v>
      </c>
      <c r="B29" s="92" t="str">
        <f>IF($A29=0,"",VLOOKUP($A29,'00_MO'!$A$4:$D$7,2,FALSE))</f>
        <v>Oficial</v>
      </c>
      <c r="C29" s="92" t="str">
        <f>IF($A29=0,"",VLOOKUP($A29,'00_MO'!$A$4:$D$7,3,FALSE))</f>
        <v>u</v>
      </c>
      <c r="D29" s="229">
        <v>3.0</v>
      </c>
      <c r="E29" s="229">
        <v>1.0</v>
      </c>
      <c r="F29" s="236">
        <v>0.25</v>
      </c>
      <c r="G29" s="217">
        <f t="shared" si="4"/>
        <v>4</v>
      </c>
      <c r="H29" s="143">
        <f>IF($A29=0,"",VLOOKUP($A29,'00_MO'!$A$4:$D$7,4,FALSE))</f>
        <v>90000</v>
      </c>
      <c r="I29" s="143">
        <f t="shared" si="5"/>
        <v>360000</v>
      </c>
    </row>
    <row r="30" ht="14.25" customHeight="1">
      <c r="A30" s="61" t="s">
        <v>627</v>
      </c>
      <c r="B30" s="92" t="str">
        <f>IF($A30=0,"",VLOOKUP($A30,'00_MO'!$A$4:$D$7,2,FALSE))</f>
        <v>Ayudante</v>
      </c>
      <c r="C30" s="92" t="str">
        <f>IF($A30=0,"",VLOOKUP($A30,'00_MO'!$A$4:$D$7,3,FALSE))</f>
        <v>u</v>
      </c>
      <c r="D30" s="229">
        <v>3.0</v>
      </c>
      <c r="E30" s="229">
        <v>1.0</v>
      </c>
      <c r="F30" s="236">
        <v>0.25</v>
      </c>
      <c r="G30" s="217">
        <f t="shared" si="4"/>
        <v>4</v>
      </c>
      <c r="H30" s="143">
        <f>IF($A30=0,"",VLOOKUP($A30,'00_MO'!$A$4:$D$7,4,FALSE))</f>
        <v>60000</v>
      </c>
      <c r="I30" s="143">
        <f t="shared" si="5"/>
        <v>240000</v>
      </c>
    </row>
    <row r="31" ht="14.25" customHeight="1">
      <c r="A31" s="204"/>
      <c r="B31" s="92" t="str">
        <f>IF($A31=0,"",VLOOKUP($A31,'00_MO'!$A$4:$D$7,2,FALSE))</f>
        <v/>
      </c>
      <c r="C31" s="92" t="str">
        <f>IF($A31=0,"",VLOOKUP($A31,'00_MO'!$A$4:$D$7,3,FALSE))</f>
        <v/>
      </c>
      <c r="D31" s="204"/>
      <c r="E31" s="229"/>
      <c r="F31" s="206"/>
      <c r="G31" s="217">
        <f t="shared" si="4"/>
        <v>0</v>
      </c>
      <c r="H31" s="143" t="str">
        <f>IF($A31=0,"",VLOOKUP($A31,'00_MO'!$A$4:$D$7,4,FALSE))</f>
        <v/>
      </c>
      <c r="I31" s="143"/>
    </row>
    <row r="32" ht="14.25" customHeight="1">
      <c r="A32" s="204"/>
      <c r="B32" s="92" t="str">
        <f>IF($A32=0,"",VLOOKUP($A32,'00_MO'!$A$4:$D$7,2,FALSE))</f>
        <v/>
      </c>
      <c r="C32" s="92" t="str">
        <f>IF($A32=0,"",VLOOKUP($A32,'00_MO'!$A$4:$D$7,3,FALSE))</f>
        <v/>
      </c>
      <c r="D32" s="204"/>
      <c r="E32" s="204"/>
      <c r="F32" s="206"/>
      <c r="G32" s="217">
        <f t="shared" si="4"/>
        <v>0</v>
      </c>
      <c r="H32" s="143" t="str">
        <f>IF($A32=0,"",VLOOKUP($A32,'00_MO'!$A$4:$D$7,4,FALSE))</f>
        <v/>
      </c>
      <c r="I32" s="143"/>
    </row>
    <row r="33" ht="14.25" customHeight="1">
      <c r="F33" s="208"/>
      <c r="G33" s="3"/>
      <c r="H33" s="143"/>
      <c r="I33" s="143"/>
    </row>
    <row r="34" ht="14.25" customHeight="1">
      <c r="A34" s="222" t="s">
        <v>987</v>
      </c>
      <c r="B34" s="223"/>
      <c r="C34" s="223"/>
      <c r="D34" s="223"/>
      <c r="E34" s="223"/>
      <c r="F34" s="223"/>
      <c r="G34" s="211"/>
      <c r="H34" s="223"/>
      <c r="I34" s="224">
        <f>SUM(I27:I32)</f>
        <v>1155000</v>
      </c>
    </row>
    <row r="35" ht="14.25" customHeight="1">
      <c r="A35" s="232" t="str">
        <f>$I$3</f>
        <v>m²</v>
      </c>
      <c r="B35" s="233"/>
      <c r="C35" s="233"/>
      <c r="D35" s="233"/>
      <c r="E35" s="233"/>
      <c r="F35" s="233"/>
      <c r="G35" s="21"/>
      <c r="H35" s="233"/>
      <c r="I35" s="205">
        <f>$H$3</f>
        <v>267</v>
      </c>
      <c r="J35" s="92"/>
      <c r="K35" s="92"/>
      <c r="L35" s="92"/>
    </row>
    <row r="36" ht="14.25" customHeight="1">
      <c r="A36" s="234" t="s">
        <v>997</v>
      </c>
      <c r="B36" s="232" t="str">
        <f>A35</f>
        <v>m²</v>
      </c>
      <c r="C36" s="233"/>
      <c r="D36" s="233"/>
      <c r="E36" s="233"/>
      <c r="F36" s="233"/>
      <c r="G36" s="21"/>
      <c r="H36" s="233"/>
      <c r="I36" s="235">
        <f>I34/I35</f>
        <v>4325.842697</v>
      </c>
      <c r="J36" s="92"/>
      <c r="K36" s="92"/>
      <c r="L36" s="92"/>
    </row>
    <row r="37" ht="14.25" customHeight="1">
      <c r="G37" s="3"/>
      <c r="H37" s="153" t="s">
        <v>1047</v>
      </c>
      <c r="I37" s="151">
        <f>I36/M5</f>
        <v>16.20165804</v>
      </c>
    </row>
    <row r="38" ht="14.25" customHeight="1">
      <c r="G38" s="3"/>
    </row>
    <row r="39" ht="14.25" customHeight="1">
      <c r="A39" s="201" t="s">
        <v>1000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02" t="s">
        <v>988</v>
      </c>
      <c r="B40" s="202" t="s">
        <v>989</v>
      </c>
      <c r="C40" s="202" t="s">
        <v>990</v>
      </c>
      <c r="D40" s="202" t="s">
        <v>991</v>
      </c>
      <c r="E40" s="202" t="s">
        <v>999</v>
      </c>
      <c r="F40" s="202" t="s">
        <v>992</v>
      </c>
      <c r="G40" s="4" t="s">
        <v>993</v>
      </c>
      <c r="H40" s="202" t="s">
        <v>994</v>
      </c>
      <c r="I40" s="202" t="s">
        <v>995</v>
      </c>
    </row>
    <row r="41" ht="14.25" customHeight="1">
      <c r="A41" s="3"/>
      <c r="B41" s="92" t="str">
        <f>IF($A41=0,"",VLOOKUP($A41,'00_Mat'!$A$4:$J$1135,2,FALSE))</f>
        <v/>
      </c>
      <c r="C41" s="92" t="str">
        <f>IF($A41=0,"",VLOOKUP($A41,'00_Mat'!$A$4:$J$1135,3,FALSE))</f>
        <v/>
      </c>
      <c r="D41" s="230"/>
      <c r="E41" s="204"/>
      <c r="F41" s="236"/>
      <c r="G41" s="221">
        <f t="shared" ref="G41:G45" si="6">ROUNDUP((D41+(D41*F41)),0)</f>
        <v>0</v>
      </c>
      <c r="H41" s="143" t="str">
        <f>IF($A41=0,"",VLOOKUP($A41,'00_Mat'!$A$4:$J$1135,5,FALSE))</f>
        <v/>
      </c>
      <c r="I41" s="143">
        <f t="shared" ref="I41:I46" si="7">G41*H41</f>
        <v>0</v>
      </c>
      <c r="J41" s="237"/>
    </row>
    <row r="42" ht="14.25" customHeight="1">
      <c r="A42" s="3"/>
      <c r="B42" s="92" t="str">
        <f>IF($A42=0,"",VLOOKUP($A42,'00_Mat'!$A$4:$J$1135,2,FALSE))</f>
        <v/>
      </c>
      <c r="C42" s="92" t="str">
        <f>IF($A42=0,"",VLOOKUP($A42,'00_Mat'!$A$4:$J$1135,3,FALSE))</f>
        <v/>
      </c>
      <c r="D42" s="230"/>
      <c r="E42" s="204"/>
      <c r="F42" s="236"/>
      <c r="G42" s="221">
        <f t="shared" si="6"/>
        <v>0</v>
      </c>
      <c r="H42" s="143" t="str">
        <f>IF($A42=0,"",VLOOKUP($A42,'00_Mat'!$A$4:$J$1135,5,FALSE))</f>
        <v/>
      </c>
      <c r="I42" s="143">
        <f t="shared" si="7"/>
        <v>0</v>
      </c>
      <c r="J42" s="237"/>
    </row>
    <row r="43" ht="14.25" customHeight="1">
      <c r="A43" s="3"/>
      <c r="B43" s="92" t="str">
        <f>IF($A43=0,"",VLOOKUP($A43,'00_Mat'!$A$4:$J$1135,2,FALSE))</f>
        <v/>
      </c>
      <c r="C43" s="92" t="str">
        <f>IF($A43=0,"",VLOOKUP($A43,'00_Mat'!$A$4:$J$1135,3,FALSE))</f>
        <v/>
      </c>
      <c r="D43" s="230"/>
      <c r="E43" s="204"/>
      <c r="F43" s="236"/>
      <c r="G43" s="221">
        <f t="shared" si="6"/>
        <v>0</v>
      </c>
      <c r="H43" s="143" t="str">
        <f>IF($A43=0,"",VLOOKUP($A43,'00_Mat'!$A$4:$J$1135,5,FALSE))</f>
        <v/>
      </c>
      <c r="I43" s="143">
        <f t="shared" si="7"/>
        <v>0</v>
      </c>
    </row>
    <row r="44" ht="14.25" customHeight="1">
      <c r="A44" s="20"/>
      <c r="B44" s="92" t="str">
        <f>IF($A44=0,"",VLOOKUP($A44,'00_Mat'!$A$4:$J$1135,2,FALSE))</f>
        <v/>
      </c>
      <c r="C44" s="92" t="str">
        <f>IF($A44=0,"",VLOOKUP($A44,'00_Mat'!$A$4:$J$1135,3,FALSE))</f>
        <v/>
      </c>
      <c r="D44" s="230"/>
      <c r="E44" s="204"/>
      <c r="F44" s="236"/>
      <c r="G44" s="221">
        <f t="shared" si="6"/>
        <v>0</v>
      </c>
      <c r="H44" s="143" t="str">
        <f>IF($A44=0,"",VLOOKUP($A44,'00_Mat'!$A$4:$J$1135,5,FALSE))</f>
        <v/>
      </c>
      <c r="I44" s="143">
        <f t="shared" si="7"/>
        <v>0</v>
      </c>
    </row>
    <row r="45" ht="14.25" customHeight="1">
      <c r="B45" s="194" t="str">
        <f>IF($A45=0,"",VLOOKUP($A45,'00_Mat'!$A$4:$J$1135,2,FALSE))</f>
        <v/>
      </c>
      <c r="C45" s="92" t="str">
        <f>IF($A45=0,"",VLOOKUP($A45,'00_Mat'!$A$4:$J$1135,3,FALSE))</f>
        <v/>
      </c>
      <c r="D45" s="230"/>
      <c r="E45" s="204"/>
      <c r="F45" s="236"/>
      <c r="G45" s="221">
        <f t="shared" si="6"/>
        <v>0</v>
      </c>
      <c r="H45" s="231"/>
      <c r="I45" s="143">
        <f t="shared" si="7"/>
        <v>0</v>
      </c>
    </row>
    <row r="46" ht="14.25" customHeight="1">
      <c r="A46" s="204"/>
      <c r="B46" s="92" t="str">
        <f>IF($A46=0,"",VLOOKUP($A46,'00_Mat'!$A$4:$J$1135,2,FALSE))</f>
        <v/>
      </c>
      <c r="C46" s="92" t="str">
        <f>IF($A46=0,"",VLOOKUP($A46,'00_Mat'!$A$4:$J$1135,3,FALSE))</f>
        <v/>
      </c>
      <c r="D46" s="229"/>
      <c r="E46" s="204"/>
      <c r="F46" s="236"/>
      <c r="G46" s="217">
        <f>ROUNDUP(((D46*E46)*(1+F46)),0)</f>
        <v>0</v>
      </c>
      <c r="H46" s="143" t="str">
        <f>IF($A46=0,"",VLOOKUP($A46,'00_Mat'!$A$4:$J$1135,5,FALSE))</f>
        <v/>
      </c>
      <c r="I46" s="143">
        <f t="shared" si="7"/>
        <v>0</v>
      </c>
      <c r="J46" s="153"/>
    </row>
    <row r="47" ht="14.25" customHeight="1">
      <c r="F47" s="208"/>
      <c r="G47" s="3"/>
      <c r="H47" s="143"/>
      <c r="I47" s="143"/>
    </row>
    <row r="48" ht="14.25" customHeight="1">
      <c r="A48" s="222" t="s">
        <v>987</v>
      </c>
      <c r="B48" s="223"/>
      <c r="C48" s="223"/>
      <c r="D48" s="223"/>
      <c r="E48" s="223"/>
      <c r="F48" s="223"/>
      <c r="G48" s="211"/>
      <c r="H48" s="223"/>
      <c r="I48" s="224">
        <f>SUM(I41:I46)</f>
        <v>0</v>
      </c>
    </row>
    <row r="49" ht="14.25" customHeight="1">
      <c r="A49" s="232" t="str">
        <f>$I$3</f>
        <v>m²</v>
      </c>
      <c r="B49" s="233"/>
      <c r="C49" s="233"/>
      <c r="D49" s="233"/>
      <c r="E49" s="233"/>
      <c r="F49" s="233"/>
      <c r="G49" s="21"/>
      <c r="H49" s="233"/>
      <c r="I49" s="205">
        <f>$H$3</f>
        <v>267</v>
      </c>
      <c r="J49" s="92"/>
      <c r="K49" s="92"/>
      <c r="L49" s="92"/>
    </row>
    <row r="50" ht="14.25" customHeight="1">
      <c r="A50" s="234" t="s">
        <v>997</v>
      </c>
      <c r="B50" s="232" t="str">
        <f>A49</f>
        <v>m²</v>
      </c>
      <c r="C50" s="233"/>
      <c r="D50" s="233"/>
      <c r="E50" s="233"/>
      <c r="F50" s="233"/>
      <c r="G50" s="21"/>
      <c r="H50" s="233"/>
      <c r="I50" s="235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01" t="s">
        <v>1010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02" t="s">
        <v>988</v>
      </c>
      <c r="B54" s="202" t="s">
        <v>989</v>
      </c>
      <c r="C54" s="202" t="s">
        <v>990</v>
      </c>
      <c r="D54" s="203" t="s">
        <v>991</v>
      </c>
      <c r="E54" s="197"/>
      <c r="F54" s="202" t="s">
        <v>992</v>
      </c>
      <c r="G54" s="4" t="s">
        <v>993</v>
      </c>
      <c r="H54" s="202" t="s">
        <v>994</v>
      </c>
      <c r="I54" s="202" t="s">
        <v>995</v>
      </c>
    </row>
    <row r="55" ht="14.25" customHeight="1">
      <c r="A55" s="229"/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30">
        <v>1.0</v>
      </c>
      <c r="E55" s="204"/>
      <c r="F55" s="236">
        <v>0.1</v>
      </c>
      <c r="G55" s="221">
        <f t="shared" ref="G55:G60" si="8">ROUNDUP((D55+(D55*F55)),0)</f>
        <v>2</v>
      </c>
      <c r="H55" s="143" t="str">
        <f>IF($A55=0,"",VLOOKUP($A55,'00_Mat'!$A$4:$J$1135,5,FALSE))</f>
        <v/>
      </c>
      <c r="I55" s="143">
        <f t="shared" ref="I55:I58" si="9">G55*H55</f>
        <v>0</v>
      </c>
      <c r="J55" s="237"/>
    </row>
    <row r="56" ht="14.25" customHeight="1">
      <c r="A56" s="3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0">
        <v>10.0</v>
      </c>
      <c r="E56" s="204"/>
      <c r="F56" s="236">
        <v>0.1</v>
      </c>
      <c r="G56" s="221">
        <f t="shared" si="8"/>
        <v>11</v>
      </c>
      <c r="H56" s="143" t="str">
        <f>IF($A56=0,"",VLOOKUP($A56,'00_Mat'!$A$4:$J$1135,5,FALSE))</f>
        <v/>
      </c>
      <c r="I56" s="143">
        <f t="shared" si="9"/>
        <v>0</v>
      </c>
      <c r="J56" s="237"/>
    </row>
    <row r="57" ht="14.25" customHeight="1">
      <c r="A57" s="3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0">
        <v>1.0</v>
      </c>
      <c r="E57" s="204"/>
      <c r="F57" s="236">
        <v>0.1</v>
      </c>
      <c r="G57" s="221">
        <f t="shared" si="8"/>
        <v>2</v>
      </c>
      <c r="H57" s="143" t="str">
        <f>IF($A57=0,"",VLOOKUP($A57,'00_Mat'!$A$4:$J$1135,5,FALSE))</f>
        <v/>
      </c>
      <c r="I57" s="143">
        <f t="shared" si="9"/>
        <v>0</v>
      </c>
    </row>
    <row r="58" ht="14.25" customHeight="1">
      <c r="A58" s="20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0">
        <v>1.0</v>
      </c>
      <c r="E58" s="204"/>
      <c r="F58" s="236">
        <v>0.1</v>
      </c>
      <c r="G58" s="221">
        <f t="shared" si="8"/>
        <v>2</v>
      </c>
      <c r="H58" s="143" t="str">
        <f>IF($A58=0,"",VLOOKUP($A58,'00_Mat'!$A$4:$J$1135,5,FALSE))</f>
        <v/>
      </c>
      <c r="I58" s="143">
        <f t="shared" si="9"/>
        <v>0</v>
      </c>
    </row>
    <row r="59" ht="14.25" customHeight="1">
      <c r="A59" s="204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05"/>
      <c r="E59" s="204"/>
      <c r="F59" s="206"/>
      <c r="G59" s="221">
        <f t="shared" si="8"/>
        <v>0</v>
      </c>
      <c r="H59" s="143" t="str">
        <f>IF($A59=0,"",VLOOKUP($A59,'00_Mat'!$A$4:$J$1135,5,FALSE))</f>
        <v/>
      </c>
      <c r="I59" s="143"/>
    </row>
    <row r="60" ht="14.25" customHeight="1">
      <c r="A60" s="204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05"/>
      <c r="E60" s="204"/>
      <c r="F60" s="206"/>
      <c r="G60" s="221">
        <f t="shared" si="8"/>
        <v>0</v>
      </c>
      <c r="H60" s="143" t="str">
        <f>IF($A60=0,"",VLOOKUP($A60,'00_Mat'!$A$4:$J$1135,5,FALSE))</f>
        <v/>
      </c>
      <c r="I60" s="143"/>
    </row>
    <row r="61" ht="14.25" customHeight="1">
      <c r="F61" s="208"/>
      <c r="G61" s="3"/>
      <c r="H61" s="143"/>
      <c r="I61" s="143"/>
    </row>
    <row r="62" ht="14.25" customHeight="1">
      <c r="A62" s="222" t="s">
        <v>987</v>
      </c>
      <c r="B62" s="223"/>
      <c r="C62" s="223"/>
      <c r="D62" s="223"/>
      <c r="E62" s="223"/>
      <c r="F62" s="223"/>
      <c r="G62" s="211"/>
      <c r="H62" s="223"/>
      <c r="I62" s="224">
        <f>SUM(I55:I60)</f>
        <v>0</v>
      </c>
    </row>
    <row r="63" ht="14.25" customHeight="1">
      <c r="A63" s="232" t="str">
        <f>$I$3</f>
        <v>m²</v>
      </c>
      <c r="B63" s="233"/>
      <c r="C63" s="233"/>
      <c r="D63" s="233"/>
      <c r="E63" s="233"/>
      <c r="F63" s="233"/>
      <c r="G63" s="21"/>
      <c r="H63" s="233"/>
      <c r="I63" s="205">
        <f>$H$3</f>
        <v>267</v>
      </c>
      <c r="J63" s="92"/>
      <c r="K63" s="92"/>
      <c r="L63" s="92"/>
    </row>
    <row r="64" ht="14.25" customHeight="1">
      <c r="A64" s="234" t="s">
        <v>997</v>
      </c>
      <c r="B64" s="232" t="str">
        <f>A63</f>
        <v>m²</v>
      </c>
      <c r="C64" s="233"/>
      <c r="D64" s="233"/>
      <c r="E64" s="233"/>
      <c r="F64" s="233"/>
      <c r="G64" s="21"/>
      <c r="H64" s="233"/>
      <c r="I64" s="235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01" t="s">
        <v>1025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02" t="s">
        <v>988</v>
      </c>
      <c r="B68" s="202" t="s">
        <v>989</v>
      </c>
      <c r="C68" s="202" t="s">
        <v>990</v>
      </c>
      <c r="D68" s="202" t="s">
        <v>991</v>
      </c>
      <c r="E68" s="202" t="s">
        <v>999</v>
      </c>
      <c r="F68" s="202" t="s">
        <v>992</v>
      </c>
      <c r="G68" s="4" t="s">
        <v>993</v>
      </c>
      <c r="H68" s="202" t="s">
        <v>994</v>
      </c>
      <c r="I68" s="202" t="s">
        <v>995</v>
      </c>
    </row>
    <row r="69" ht="14.25" customHeight="1">
      <c r="A69" s="3" t="s">
        <v>736</v>
      </c>
      <c r="B69" s="92" t="str">
        <f>IF($A69=0,"",VLOOKUP($A69,'00_Sub'!$A$4:$D$1007,2,FALSE))</f>
        <v>PISO</v>
      </c>
      <c r="C69" s="92" t="str">
        <f>IF($A69=0,"",VLOOKUP($A69,'00_Sub'!$A$4:$D$1007,3,FALSE))</f>
        <v>m²</v>
      </c>
      <c r="D69" s="205">
        <f>H3</f>
        <v>267</v>
      </c>
      <c r="E69" s="204"/>
      <c r="F69" s="236">
        <v>0.25</v>
      </c>
      <c r="G69" s="221">
        <f t="shared" ref="G69:G74" si="10">ROUNDUP((D69+(D69*F69)),0)</f>
        <v>334</v>
      </c>
      <c r="H69" s="143">
        <f>IF($A69=0,"",VLOOKUP($A69,'00_Sub'!$A$4:$D$1007,4,FALSE))</f>
        <v>10000</v>
      </c>
      <c r="I69" s="143">
        <f>G69*H69</f>
        <v>3340000</v>
      </c>
    </row>
    <row r="70" ht="14.25" customHeight="1">
      <c r="A70" s="204"/>
      <c r="B70" s="92" t="str">
        <f>IF($A70=0,"",VLOOKUP($A70,'00_Sub'!$A$4:$D$1007,2,FALSE))</f>
        <v/>
      </c>
      <c r="C70" s="92" t="str">
        <f>IF($A70=0,"",VLOOKUP($A70,'00_Sub'!$A$4:$D$1007,3,FALSE))</f>
        <v/>
      </c>
      <c r="D70" s="204"/>
      <c r="E70" s="204"/>
      <c r="F70" s="206"/>
      <c r="G70" s="221">
        <f t="shared" si="10"/>
        <v>0</v>
      </c>
      <c r="H70" s="143" t="str">
        <f>IF($A70=0,"",VLOOKUP($A70,'00_Sub'!$A$4:$D$1007,4,FALSE))</f>
        <v/>
      </c>
      <c r="I70" s="143"/>
    </row>
    <row r="71" ht="14.25" customHeight="1">
      <c r="A71" s="204"/>
      <c r="B71" s="92" t="str">
        <f>IF($A71=0,"",VLOOKUP($A71,'00_Sub'!$A$4:$D$1007,2,FALSE))</f>
        <v/>
      </c>
      <c r="C71" s="92" t="str">
        <f>IF($A71=0,"",VLOOKUP($A71,'00_Sub'!$A$4:$D$1007,3,FALSE))</f>
        <v/>
      </c>
      <c r="D71" s="204"/>
      <c r="E71" s="204"/>
      <c r="F71" s="206"/>
      <c r="G71" s="221">
        <f t="shared" si="10"/>
        <v>0</v>
      </c>
      <c r="H71" s="143" t="str">
        <f>IF($A71=0,"",VLOOKUP($A71,'00_Sub'!$A$4:$D$1007,4,FALSE))</f>
        <v/>
      </c>
      <c r="I71" s="143"/>
    </row>
    <row r="72" ht="14.25" customHeight="1">
      <c r="A72" s="204"/>
      <c r="B72" s="92" t="str">
        <f>IF($A72=0,"",VLOOKUP($A72,'00_Sub'!$A$4:$D$1007,2,FALSE))</f>
        <v/>
      </c>
      <c r="C72" s="92" t="str">
        <f>IF($A72=0,"",VLOOKUP($A72,'00_Sub'!$A$4:$D$1007,3,FALSE))</f>
        <v/>
      </c>
      <c r="D72" s="204"/>
      <c r="E72" s="204"/>
      <c r="F72" s="206"/>
      <c r="G72" s="221">
        <f t="shared" si="10"/>
        <v>0</v>
      </c>
      <c r="H72" s="143" t="str">
        <f>IF($A72=0,"",VLOOKUP($A72,'00_Sub'!$A$4:$D$1007,4,FALSE))</f>
        <v/>
      </c>
      <c r="I72" s="143"/>
    </row>
    <row r="73" ht="14.25" customHeight="1">
      <c r="A73" s="204"/>
      <c r="B73" s="92" t="str">
        <f>IF($A73=0,"",VLOOKUP($A73,'00_Sub'!$A$4:$D$1007,2,FALSE))</f>
        <v/>
      </c>
      <c r="C73" s="92" t="str">
        <f>IF($A73=0,"",VLOOKUP($A73,'00_Sub'!$A$4:$D$1007,3,FALSE))</f>
        <v/>
      </c>
      <c r="D73" s="204"/>
      <c r="E73" s="204"/>
      <c r="F73" s="206"/>
      <c r="G73" s="221">
        <f t="shared" si="10"/>
        <v>0</v>
      </c>
      <c r="H73" s="143" t="str">
        <f>IF($A73=0,"",VLOOKUP($A73,'00_Sub'!$A$4:$D$1007,4,FALSE))</f>
        <v/>
      </c>
      <c r="I73" s="143"/>
    </row>
    <row r="74" ht="14.25" customHeight="1">
      <c r="A74" s="204"/>
      <c r="B74" s="92" t="str">
        <f>IF($A74=0,"",VLOOKUP($A74,'00_Sub'!$A$4:$D$1007,2,FALSE))</f>
        <v/>
      </c>
      <c r="C74" s="92" t="str">
        <f>IF($A74=0,"",VLOOKUP($A74,'00_Sub'!$A$4:$D$1007,3,FALSE))</f>
        <v/>
      </c>
      <c r="D74" s="204"/>
      <c r="E74" s="204"/>
      <c r="F74" s="206"/>
      <c r="G74" s="221">
        <f t="shared" si="10"/>
        <v>0</v>
      </c>
      <c r="H74" s="143" t="str">
        <f>IF($A74=0,"",VLOOKUP($A74,'00_Sub'!$A$4:$D$1007,4,FALSE))</f>
        <v/>
      </c>
      <c r="I74" s="143"/>
    </row>
    <row r="75" ht="14.25" customHeight="1">
      <c r="F75" s="208"/>
      <c r="G75" s="3"/>
      <c r="H75" s="143"/>
      <c r="I75" s="143"/>
    </row>
    <row r="76" ht="14.25" customHeight="1">
      <c r="A76" s="222" t="s">
        <v>987</v>
      </c>
      <c r="B76" s="223"/>
      <c r="C76" s="223"/>
      <c r="D76" s="223"/>
      <c r="E76" s="223"/>
      <c r="F76" s="223"/>
      <c r="G76" s="211"/>
      <c r="H76" s="223"/>
      <c r="I76" s="224">
        <f>SUM(I69:I74)</f>
        <v>3340000</v>
      </c>
    </row>
    <row r="77" ht="14.25" customHeight="1">
      <c r="A77" s="232" t="str">
        <f>$I$3</f>
        <v>m²</v>
      </c>
      <c r="B77" s="233"/>
      <c r="C77" s="233"/>
      <c r="D77" s="233"/>
      <c r="E77" s="233"/>
      <c r="F77" s="233"/>
      <c r="G77" s="21"/>
      <c r="H77" s="233"/>
      <c r="I77" s="205">
        <f>$H$3</f>
        <v>267</v>
      </c>
      <c r="J77" s="92"/>
      <c r="K77" s="92"/>
      <c r="L77" s="92"/>
    </row>
    <row r="78" ht="14.25" customHeight="1">
      <c r="A78" s="234" t="s">
        <v>997</v>
      </c>
      <c r="B78" s="232" t="str">
        <f>A77</f>
        <v>m²</v>
      </c>
      <c r="C78" s="233"/>
      <c r="D78" s="233"/>
      <c r="E78" s="233"/>
      <c r="F78" s="233"/>
      <c r="G78" s="21"/>
      <c r="H78" s="233"/>
      <c r="I78" s="235">
        <f>I76/I77</f>
        <v>12509.3633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3">
    <mergeCell ref="B3:F3"/>
    <mergeCell ref="D6:E6"/>
    <mergeCell ref="D54:E54"/>
  </mergeCells>
  <printOptions/>
  <pageMargins bottom="0.75" footer="0.0" header="0.0" left="0.7" right="0.7" top="0.75"/>
  <pageSetup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86"/>
    <col customWidth="1" min="10" max="12" width="8.71"/>
  </cols>
  <sheetData>
    <row r="1" ht="33.75" customHeight="1">
      <c r="A1" s="91" t="str">
        <f>'01_C&amp;P'!A1</f>
        <v>EDIFICIO LAS HERAS</v>
      </c>
      <c r="B1" s="91"/>
      <c r="C1" s="91"/>
      <c r="G1" s="3"/>
    </row>
    <row r="2" ht="14.25" customHeight="1">
      <c r="G2" s="3"/>
    </row>
    <row r="3" ht="23.25" customHeight="1">
      <c r="A3" s="195">
        <f>'01_C&amp;P'!A44</f>
        <v>46175</v>
      </c>
      <c r="B3" s="196" t="str">
        <f>IF($A3=0,"",VLOOKUP($A3,'01_C&amp;P'!$A$9:$D$192,2,FALSE))</f>
        <v>CARPETA INTERIOR. e=3cm</v>
      </c>
      <c r="C3" s="197"/>
      <c r="D3" s="197"/>
      <c r="E3" s="197"/>
      <c r="F3" s="197"/>
      <c r="G3" s="198"/>
      <c r="H3" s="199">
        <f>IF($A3=0,"",VLOOKUP($A3,'01_C&amp;P'!$A$9:$D$192,4,FALSE))</f>
        <v>144</v>
      </c>
      <c r="I3" s="200" t="str">
        <f>IF($A3=0,"",VLOOKUP($A3,'01_C&amp;P'!$A$9:$D$192,3,FALSE))</f>
        <v>m²</v>
      </c>
    </row>
    <row r="4" ht="14.25" customHeight="1">
      <c r="G4" s="3"/>
      <c r="K4" s="153" t="s">
        <v>1042</v>
      </c>
      <c r="M4" s="153" t="s">
        <v>1043</v>
      </c>
    </row>
    <row r="5" ht="14.25" customHeight="1">
      <c r="A5" s="201" t="s">
        <v>0</v>
      </c>
      <c r="B5" s="94"/>
      <c r="C5" s="94"/>
      <c r="D5" s="94"/>
      <c r="E5" s="94"/>
      <c r="F5" s="94"/>
      <c r="G5" s="2"/>
      <c r="H5" s="94"/>
      <c r="I5" s="94"/>
      <c r="K5" s="153">
        <v>0.03</v>
      </c>
      <c r="M5" s="153">
        <v>270.0</v>
      </c>
    </row>
    <row r="6" ht="14.25" customHeight="1">
      <c r="A6" s="202" t="s">
        <v>988</v>
      </c>
      <c r="B6" s="202" t="s">
        <v>989</v>
      </c>
      <c r="C6" s="202" t="s">
        <v>990</v>
      </c>
      <c r="D6" s="203" t="s">
        <v>991</v>
      </c>
      <c r="E6" s="197"/>
      <c r="F6" s="202" t="s">
        <v>992</v>
      </c>
      <c r="G6" s="4" t="s">
        <v>993</v>
      </c>
      <c r="H6" s="202" t="s">
        <v>994</v>
      </c>
      <c r="I6" s="202" t="s">
        <v>995</v>
      </c>
    </row>
    <row r="7" ht="14.25" customHeight="1">
      <c r="A7" s="254" t="s">
        <v>19</v>
      </c>
      <c r="B7" s="3" t="str">
        <f>IF($A7=0,"",VLOOKUP($A7,'00_Mat'!$A$4:$J$1134,2,FALSE))</f>
        <v>Bolsa Cemento "Loma Negra" 25 k (u)</v>
      </c>
      <c r="C7" s="3" t="str">
        <f>IF($A7=0,"",VLOOKUP($A7,'00_Mat'!$A$4:$J$1134,3,FALSE))</f>
        <v>u</v>
      </c>
      <c r="D7" s="256">
        <f>(M5*12)/25</f>
        <v>129.6</v>
      </c>
      <c r="E7" s="204"/>
      <c r="F7" s="236">
        <v>0.1</v>
      </c>
      <c r="G7" s="221">
        <f t="shared" ref="G7:G18" si="1">ROUNDUP((D7+(D7*F7)),0)</f>
        <v>143</v>
      </c>
      <c r="H7" s="143">
        <f>IF($A7=0,"",VLOOKUP($A7,'00_Mat'!$A$4:$J$1135,5,FALSE))</f>
        <v>7000</v>
      </c>
      <c r="I7" s="143">
        <f t="shared" ref="I7:I8" si="2">G7*H7</f>
        <v>1001000</v>
      </c>
      <c r="L7" s="153" t="s">
        <v>1057</v>
      </c>
    </row>
    <row r="8" ht="14.25" customHeight="1">
      <c r="A8" s="254" t="s">
        <v>11</v>
      </c>
      <c r="B8" s="3" t="str">
        <f>IF($A8=0,"",VLOOKUP($A8,'00_Mat'!$A$4:$J$1134,2,FALSE))</f>
        <v>Bolson de Arena (1m3) </v>
      </c>
      <c r="C8" s="3" t="str">
        <f>IF($A8=0,"",VLOOKUP($A8,'00_Mat'!$A$4:$J$1134,3,FALSE))</f>
        <v>m3</v>
      </c>
      <c r="D8" s="256">
        <f>L8*1</f>
        <v>8.1</v>
      </c>
      <c r="E8" s="204"/>
      <c r="F8" s="236">
        <v>0.1</v>
      </c>
      <c r="G8" s="221">
        <f t="shared" si="1"/>
        <v>9</v>
      </c>
      <c r="H8" s="143">
        <f>IF($A8=0,"",VLOOKUP($A8,'00_Mat'!$A$4:$J$1135,5,FALSE))</f>
        <v>33470</v>
      </c>
      <c r="I8" s="143">
        <f t="shared" si="2"/>
        <v>301230</v>
      </c>
      <c r="L8" s="194">
        <f>M5*K5</f>
        <v>8.1</v>
      </c>
    </row>
    <row r="9" ht="14.25" customHeight="1">
      <c r="A9" s="204"/>
      <c r="B9" s="92" t="str">
        <f>IF($A9=0,"",VLOOKUP($A9,'00_Mat'!$A$4:$J$1135,2,FALSE))</f>
        <v/>
      </c>
      <c r="C9" s="92" t="str">
        <f>IF($A9=0,"",VLOOKUP($A9,'00_Mat'!$A$4:$J$1135,3,FALSE))</f>
        <v/>
      </c>
      <c r="D9" s="204"/>
      <c r="E9" s="204"/>
      <c r="F9" s="206"/>
      <c r="G9" s="221">
        <f t="shared" si="1"/>
        <v>0</v>
      </c>
      <c r="H9" s="143" t="str">
        <f>IF($A9=0,"",VLOOKUP($A9,'00_Mat'!$A$4:$J$1135,5,FALSE))</f>
        <v/>
      </c>
      <c r="I9" s="143"/>
    </row>
    <row r="10" ht="14.25" customHeight="1">
      <c r="A10" s="204"/>
      <c r="B10" s="92" t="str">
        <f>IF($A10=0,"",VLOOKUP($A10,'00_Mat'!$A$4:$J$1135,2,FALSE))</f>
        <v/>
      </c>
      <c r="C10" s="92" t="str">
        <f>IF($A10=0,"",VLOOKUP($A10,'00_Mat'!$A$4:$J$1135,3,FALSE))</f>
        <v/>
      </c>
      <c r="D10" s="204"/>
      <c r="E10" s="204"/>
      <c r="F10" s="206"/>
      <c r="G10" s="221">
        <f t="shared" si="1"/>
        <v>0</v>
      </c>
      <c r="H10" s="143" t="str">
        <f>IF($A10=0,"",VLOOKUP($A10,'00_Mat'!$A$4:$J$1135,5,FALSE))</f>
        <v/>
      </c>
      <c r="I10" s="143"/>
      <c r="L10" s="86" t="s">
        <v>1058</v>
      </c>
    </row>
    <row r="11" ht="14.25" customHeight="1">
      <c r="A11" s="204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04"/>
      <c r="E11" s="204"/>
      <c r="F11" s="206"/>
      <c r="G11" s="221">
        <f t="shared" si="1"/>
        <v>0</v>
      </c>
      <c r="H11" s="143" t="str">
        <f>IF($A11=0,"",VLOOKUP($A11,'00_Mat'!$A$4:$J$1135,5,FALSE))</f>
        <v/>
      </c>
      <c r="I11" s="143"/>
    </row>
    <row r="12" ht="14.25" customHeight="1">
      <c r="A12" s="204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04"/>
      <c r="E12" s="204"/>
      <c r="F12" s="206"/>
      <c r="G12" s="221">
        <f t="shared" si="1"/>
        <v>0</v>
      </c>
      <c r="H12" s="143" t="str">
        <f>IF($A12=0,"",VLOOKUP($A12,'00_Mat'!$A$4:$J$1135,5,FALSE))</f>
        <v/>
      </c>
      <c r="I12" s="143"/>
    </row>
    <row r="13" ht="14.25" customHeight="1">
      <c r="A13" s="204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04"/>
      <c r="E13" s="204"/>
      <c r="F13" s="206"/>
      <c r="G13" s="221">
        <f t="shared" si="1"/>
        <v>0</v>
      </c>
      <c r="H13" s="143" t="str">
        <f>IF($A13=0,"",VLOOKUP($A13,'00_Mat'!$A$4:$J$1135,5,FALSE))</f>
        <v/>
      </c>
      <c r="I13" s="143"/>
    </row>
    <row r="14" ht="14.25" customHeight="1">
      <c r="A14" s="204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04"/>
      <c r="E14" s="204"/>
      <c r="F14" s="206"/>
      <c r="G14" s="221">
        <f t="shared" si="1"/>
        <v>0</v>
      </c>
      <c r="H14" s="143" t="str">
        <f>IF($A14=0,"",VLOOKUP($A14,'00_Mat'!$A$4:$J$1135,5,FALSE))</f>
        <v/>
      </c>
      <c r="I14" s="143"/>
    </row>
    <row r="15" ht="14.25" customHeight="1">
      <c r="A15" s="204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04"/>
      <c r="E15" s="204"/>
      <c r="F15" s="206"/>
      <c r="G15" s="221">
        <f t="shared" si="1"/>
        <v>0</v>
      </c>
      <c r="H15" s="143" t="str">
        <f>IF($A15=0,"",VLOOKUP($A15,'00_Mat'!$A$4:$J$1135,5,FALSE))</f>
        <v/>
      </c>
      <c r="I15" s="143"/>
    </row>
    <row r="16" ht="14.25" customHeight="1">
      <c r="A16" s="204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04"/>
      <c r="E16" s="204"/>
      <c r="F16" s="206"/>
      <c r="G16" s="221">
        <f t="shared" si="1"/>
        <v>0</v>
      </c>
      <c r="H16" s="143" t="str">
        <f>IF($A16=0,"",VLOOKUP($A16,'00_Mat'!$A$4:$J$1135,5,FALSE))</f>
        <v/>
      </c>
      <c r="I16" s="143"/>
    </row>
    <row r="17" ht="14.25" customHeight="1">
      <c r="A17" s="204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04"/>
      <c r="E17" s="204"/>
      <c r="F17" s="206"/>
      <c r="G17" s="221">
        <f t="shared" si="1"/>
        <v>0</v>
      </c>
      <c r="H17" s="143" t="str">
        <f>IF($A17=0,"",VLOOKUP($A17,'00_Mat'!$A$4:$J$1135,5,FALSE))</f>
        <v/>
      </c>
      <c r="I17" s="143"/>
    </row>
    <row r="18" ht="14.25" customHeight="1">
      <c r="A18" s="204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04"/>
      <c r="E18" s="204"/>
      <c r="F18" s="206"/>
      <c r="G18" s="221">
        <f t="shared" si="1"/>
        <v>0</v>
      </c>
      <c r="H18" s="143" t="str">
        <f>IF($A18=0,"",VLOOKUP($A18,'00_Mat'!$A$4:$J$1135,5,FALSE))</f>
        <v/>
      </c>
      <c r="I18" s="143"/>
    </row>
    <row r="19" ht="14.25" customHeight="1">
      <c r="F19" s="208"/>
      <c r="G19" s="3"/>
      <c r="H19" s="143"/>
      <c r="I19" s="143"/>
    </row>
    <row r="20" ht="14.25" customHeight="1">
      <c r="A20" s="222" t="s">
        <v>996</v>
      </c>
      <c r="B20" s="223"/>
      <c r="C20" s="223"/>
      <c r="D20" s="223"/>
      <c r="E20" s="223"/>
      <c r="F20" s="223"/>
      <c r="G20" s="211"/>
      <c r="H20" s="223"/>
      <c r="I20" s="224">
        <f>SUM(I7:I18)</f>
        <v>1302230</v>
      </c>
      <c r="J20" s="92"/>
      <c r="K20" s="92"/>
      <c r="L20" s="92"/>
    </row>
    <row r="21" ht="14.25" customHeight="1">
      <c r="A21" s="232" t="str">
        <f>$I$3</f>
        <v>m²</v>
      </c>
      <c r="B21" s="233"/>
      <c r="C21" s="233"/>
      <c r="D21" s="233"/>
      <c r="E21" s="233"/>
      <c r="F21" s="233"/>
      <c r="G21" s="21"/>
      <c r="H21" s="233"/>
      <c r="I21" s="205">
        <f>$H$3</f>
        <v>144</v>
      </c>
      <c r="J21" s="92"/>
      <c r="K21" s="92"/>
      <c r="L21" s="92"/>
    </row>
    <row r="22" ht="14.25" customHeight="1">
      <c r="A22" s="234" t="s">
        <v>997</v>
      </c>
      <c r="B22" s="232" t="str">
        <f>A21</f>
        <v>m²</v>
      </c>
      <c r="C22" s="233"/>
      <c r="D22" s="233"/>
      <c r="E22" s="233"/>
      <c r="F22" s="233"/>
      <c r="G22" s="21"/>
      <c r="H22" s="233"/>
      <c r="I22" s="235">
        <f>I20/I21</f>
        <v>9043.263889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01" t="s">
        <v>998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02" t="s">
        <v>988</v>
      </c>
      <c r="B26" s="202" t="s">
        <v>989</v>
      </c>
      <c r="C26" s="202" t="s">
        <v>990</v>
      </c>
      <c r="D26" s="202" t="s">
        <v>991</v>
      </c>
      <c r="E26" s="202" t="s">
        <v>999</v>
      </c>
      <c r="F26" s="202" t="s">
        <v>992</v>
      </c>
      <c r="G26" s="4" t="s">
        <v>993</v>
      </c>
      <c r="H26" s="202" t="s">
        <v>994</v>
      </c>
      <c r="I26" s="202" t="s">
        <v>995</v>
      </c>
    </row>
    <row r="27" ht="14.25" customHeight="1">
      <c r="A27" s="61" t="s">
        <v>621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29">
        <v>1.0</v>
      </c>
      <c r="E27" s="229">
        <f>H3/60</f>
        <v>2.4</v>
      </c>
      <c r="F27" s="236">
        <v>0.25</v>
      </c>
      <c r="G27" s="217">
        <f t="shared" ref="G27:G32" si="3">ROUNDUP(((D27*E27)*(1+F27)),0)</f>
        <v>3</v>
      </c>
      <c r="H27" s="143">
        <f>IF($A27=0,"",VLOOKUP($A27,'00_MO'!$A$4:$D$7,4,FALSE))</f>
        <v>120000</v>
      </c>
      <c r="I27" s="143">
        <f t="shared" ref="I27:I30" si="4">G27*H27</f>
        <v>360000</v>
      </c>
    </row>
    <row r="28" ht="14.25" customHeight="1">
      <c r="A28" s="61" t="s">
        <v>623</v>
      </c>
      <c r="B28" s="92" t="str">
        <f>IF($A28=0,"",VLOOKUP($A28,'00_MO'!$A$4:$D$7,2,FALSE))</f>
        <v>Puntero</v>
      </c>
      <c r="C28" s="92" t="str">
        <f>IF($A28=0,"",VLOOKUP($A28,'00_MO'!$A$4:$D$7,3,FALSE))</f>
        <v>u</v>
      </c>
      <c r="D28" s="229">
        <v>2.0</v>
      </c>
      <c r="E28" s="229">
        <f>E27</f>
        <v>2.4</v>
      </c>
      <c r="F28" s="236">
        <v>0.25</v>
      </c>
      <c r="G28" s="217">
        <f t="shared" si="3"/>
        <v>6</v>
      </c>
      <c r="H28" s="143">
        <f>IF($A28=0,"",VLOOKUP($A28,'00_MO'!$A$4:$D$7,4,FALSE))</f>
        <v>105000</v>
      </c>
      <c r="I28" s="143">
        <f t="shared" si="4"/>
        <v>630000</v>
      </c>
    </row>
    <row r="29" ht="14.25" customHeight="1">
      <c r="A29" s="61" t="s">
        <v>625</v>
      </c>
      <c r="B29" s="92" t="str">
        <f>IF($A29=0,"",VLOOKUP($A29,'00_MO'!$A$4:$D$7,2,FALSE))</f>
        <v>Oficial</v>
      </c>
      <c r="C29" s="92" t="str">
        <f>IF($A29=0,"",VLOOKUP($A29,'00_MO'!$A$4:$D$7,3,FALSE))</f>
        <v>u</v>
      </c>
      <c r="D29" s="229">
        <v>3.0</v>
      </c>
      <c r="E29" s="229">
        <f>E27</f>
        <v>2.4</v>
      </c>
      <c r="F29" s="236">
        <v>0.25</v>
      </c>
      <c r="G29" s="217">
        <f t="shared" si="3"/>
        <v>9</v>
      </c>
      <c r="H29" s="143">
        <f>IF($A29=0,"",VLOOKUP($A29,'00_MO'!$A$4:$D$7,4,FALSE))</f>
        <v>90000</v>
      </c>
      <c r="I29" s="143">
        <f t="shared" si="4"/>
        <v>810000</v>
      </c>
    </row>
    <row r="30" ht="14.25" customHeight="1">
      <c r="A30" s="61" t="s">
        <v>627</v>
      </c>
      <c r="B30" s="92" t="str">
        <f>IF($A30=0,"",VLOOKUP($A30,'00_MO'!$A$4:$D$7,2,FALSE))</f>
        <v>Ayudante</v>
      </c>
      <c r="C30" s="92" t="str">
        <f>IF($A30=0,"",VLOOKUP($A30,'00_MO'!$A$4:$D$7,3,FALSE))</f>
        <v>u</v>
      </c>
      <c r="D30" s="229">
        <v>3.0</v>
      </c>
      <c r="E30" s="229">
        <f>E27</f>
        <v>2.4</v>
      </c>
      <c r="F30" s="236">
        <v>0.25</v>
      </c>
      <c r="G30" s="217">
        <f t="shared" si="3"/>
        <v>9</v>
      </c>
      <c r="H30" s="143">
        <f>IF($A30=0,"",VLOOKUP($A30,'00_MO'!$A$4:$D$7,4,FALSE))</f>
        <v>60000</v>
      </c>
      <c r="I30" s="143">
        <f t="shared" si="4"/>
        <v>540000</v>
      </c>
    </row>
    <row r="31" ht="14.25" customHeight="1">
      <c r="A31" s="204"/>
      <c r="B31" s="92" t="str">
        <f>IF($A31=0,"",VLOOKUP($A31,'00_MO'!$A$4:$D$7,2,FALSE))</f>
        <v/>
      </c>
      <c r="C31" s="92" t="str">
        <f>IF($A31=0,"",VLOOKUP($A31,'00_MO'!$A$4:$D$7,3,FALSE))</f>
        <v/>
      </c>
      <c r="D31" s="204"/>
      <c r="E31" s="204"/>
      <c r="F31" s="206"/>
      <c r="G31" s="217">
        <f t="shared" si="3"/>
        <v>0</v>
      </c>
      <c r="H31" s="143" t="str">
        <f>IF($A31=0,"",VLOOKUP($A31,'00_MO'!$A$4:$D$7,4,FALSE))</f>
        <v/>
      </c>
      <c r="I31" s="143"/>
    </row>
    <row r="32" ht="14.25" customHeight="1">
      <c r="A32" s="204"/>
      <c r="B32" s="92" t="str">
        <f>IF($A32=0,"",VLOOKUP($A32,'00_MO'!$A$4:$D$7,2,FALSE))</f>
        <v/>
      </c>
      <c r="C32" s="92" t="str">
        <f>IF($A32=0,"",VLOOKUP($A32,'00_MO'!$A$4:$D$7,3,FALSE))</f>
        <v/>
      </c>
      <c r="D32" s="204"/>
      <c r="E32" s="204"/>
      <c r="F32" s="206"/>
      <c r="G32" s="217">
        <f t="shared" si="3"/>
        <v>0</v>
      </c>
      <c r="H32" s="143" t="str">
        <f>IF($A32=0,"",VLOOKUP($A32,'00_MO'!$A$4:$D$7,4,FALSE))</f>
        <v/>
      </c>
      <c r="I32" s="143"/>
    </row>
    <row r="33" ht="14.25" customHeight="1">
      <c r="F33" s="208"/>
      <c r="G33" s="3"/>
      <c r="H33" s="143"/>
      <c r="I33" s="143"/>
    </row>
    <row r="34" ht="14.25" customHeight="1">
      <c r="A34" s="222" t="s">
        <v>987</v>
      </c>
      <c r="B34" s="223"/>
      <c r="C34" s="223"/>
      <c r="D34" s="223"/>
      <c r="E34" s="223"/>
      <c r="F34" s="223"/>
      <c r="G34" s="211"/>
      <c r="H34" s="223"/>
      <c r="I34" s="224">
        <f>SUM(I27:I32)</f>
        <v>2340000</v>
      </c>
    </row>
    <row r="35" ht="14.25" customHeight="1">
      <c r="A35" s="232" t="str">
        <f>$I$3</f>
        <v>m²</v>
      </c>
      <c r="B35" s="233"/>
      <c r="C35" s="233"/>
      <c r="D35" s="233"/>
      <c r="E35" s="233"/>
      <c r="F35" s="233"/>
      <c r="G35" s="21"/>
      <c r="H35" s="233"/>
      <c r="I35" s="205">
        <f>$H$3</f>
        <v>144</v>
      </c>
      <c r="J35" s="92"/>
      <c r="K35" s="92"/>
      <c r="L35" s="92"/>
    </row>
    <row r="36" ht="14.25" customHeight="1">
      <c r="A36" s="234" t="s">
        <v>997</v>
      </c>
      <c r="B36" s="232" t="str">
        <f>A35</f>
        <v>m²</v>
      </c>
      <c r="C36" s="233"/>
      <c r="D36" s="233"/>
      <c r="E36" s="233"/>
      <c r="F36" s="233"/>
      <c r="G36" s="21"/>
      <c r="H36" s="233"/>
      <c r="I36" s="235">
        <f>I34/I35</f>
        <v>16250</v>
      </c>
      <c r="J36" s="92"/>
      <c r="K36" s="92"/>
      <c r="L36" s="92"/>
    </row>
    <row r="37" ht="14.25" customHeight="1">
      <c r="G37" s="3"/>
      <c r="I37" s="151"/>
    </row>
    <row r="38" ht="14.25" customHeight="1">
      <c r="G38" s="3"/>
    </row>
    <row r="39" ht="14.25" customHeight="1">
      <c r="A39" s="201" t="s">
        <v>1000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02" t="s">
        <v>988</v>
      </c>
      <c r="B40" s="202" t="s">
        <v>989</v>
      </c>
      <c r="C40" s="202" t="s">
        <v>990</v>
      </c>
      <c r="D40" s="202" t="s">
        <v>991</v>
      </c>
      <c r="E40" s="202" t="s">
        <v>999</v>
      </c>
      <c r="F40" s="202" t="s">
        <v>992</v>
      </c>
      <c r="G40" s="4" t="s">
        <v>993</v>
      </c>
      <c r="H40" s="202" t="s">
        <v>994</v>
      </c>
      <c r="I40" s="202" t="s">
        <v>995</v>
      </c>
    </row>
    <row r="41" ht="14.25" customHeight="1">
      <c r="A41" s="204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04"/>
      <c r="E41" s="204"/>
      <c r="F41" s="206"/>
      <c r="G41" s="217">
        <f t="shared" ref="G41:G46" si="5">ROUNDUP(((D41*E41)*(1+F41)),0)</f>
        <v>0</v>
      </c>
      <c r="H41" s="143" t="str">
        <f>IF($A41=0,"",VLOOKUP($A41,'00_Eq'!$A$4:$D$100,4,FALSE))</f>
        <v/>
      </c>
      <c r="I41" s="143">
        <f>G41*H41</f>
        <v>0</v>
      </c>
    </row>
    <row r="42" ht="14.25" customHeight="1">
      <c r="A42" s="204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04"/>
      <c r="E42" s="204"/>
      <c r="F42" s="206"/>
      <c r="G42" s="217">
        <f t="shared" si="5"/>
        <v>0</v>
      </c>
      <c r="H42" s="143" t="str">
        <f>IF($A42=0,"",VLOOKUP($A42,'00_Eq'!$A$4:$D$100,4,FALSE))</f>
        <v/>
      </c>
      <c r="I42" s="143"/>
    </row>
    <row r="43" ht="14.25" customHeight="1">
      <c r="A43" s="204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04"/>
      <c r="E43" s="204"/>
      <c r="F43" s="206"/>
      <c r="G43" s="217">
        <f t="shared" si="5"/>
        <v>0</v>
      </c>
      <c r="H43" s="143" t="str">
        <f>IF($A43=0,"",VLOOKUP($A43,'00_Eq'!$A$4:$D$100,4,FALSE))</f>
        <v/>
      </c>
      <c r="I43" s="143"/>
    </row>
    <row r="44" ht="14.25" customHeight="1">
      <c r="A44" s="204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04"/>
      <c r="E44" s="204"/>
      <c r="F44" s="206"/>
      <c r="G44" s="217">
        <f t="shared" si="5"/>
        <v>0</v>
      </c>
      <c r="H44" s="143" t="str">
        <f>IF($A44=0,"",VLOOKUP($A44,'00_Eq'!$A$4:$D$100,4,FALSE))</f>
        <v/>
      </c>
      <c r="I44" s="143"/>
    </row>
    <row r="45" ht="14.25" customHeight="1">
      <c r="A45" s="204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04"/>
      <c r="E45" s="204"/>
      <c r="F45" s="206"/>
      <c r="G45" s="217">
        <f t="shared" si="5"/>
        <v>0</v>
      </c>
      <c r="H45" s="143" t="str">
        <f>IF($A45=0,"",VLOOKUP($A45,'00_Eq'!$A$4:$D$100,4,FALSE))</f>
        <v/>
      </c>
      <c r="I45" s="143"/>
    </row>
    <row r="46" ht="14.25" customHeight="1">
      <c r="A46" s="204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04"/>
      <c r="E46" s="204"/>
      <c r="F46" s="206"/>
      <c r="G46" s="217">
        <f t="shared" si="5"/>
        <v>0</v>
      </c>
      <c r="H46" s="143" t="str">
        <f>IF($A46=0,"",VLOOKUP($A46,'00_Eq'!$A$4:$D$100,4,FALSE))</f>
        <v/>
      </c>
      <c r="I46" s="143"/>
    </row>
    <row r="47" ht="14.25" customHeight="1">
      <c r="F47" s="208"/>
      <c r="G47" s="3"/>
      <c r="H47" s="143"/>
      <c r="I47" s="143"/>
    </row>
    <row r="48" ht="14.25" customHeight="1">
      <c r="A48" s="222" t="s">
        <v>987</v>
      </c>
      <c r="B48" s="223"/>
      <c r="C48" s="223"/>
      <c r="D48" s="223"/>
      <c r="E48" s="223"/>
      <c r="F48" s="223"/>
      <c r="G48" s="211"/>
      <c r="H48" s="223"/>
      <c r="I48" s="224">
        <f>SUM(I41:I46)</f>
        <v>0</v>
      </c>
    </row>
    <row r="49" ht="14.25" customHeight="1">
      <c r="A49" s="232" t="str">
        <f>$I$3</f>
        <v>m²</v>
      </c>
      <c r="B49" s="233"/>
      <c r="C49" s="233"/>
      <c r="D49" s="233"/>
      <c r="E49" s="233"/>
      <c r="F49" s="233"/>
      <c r="G49" s="21"/>
      <c r="H49" s="233"/>
      <c r="I49" s="205">
        <f>$H$3</f>
        <v>144</v>
      </c>
      <c r="J49" s="92"/>
      <c r="K49" s="92"/>
      <c r="L49" s="92"/>
    </row>
    <row r="50" ht="14.25" customHeight="1">
      <c r="A50" s="234" t="s">
        <v>997</v>
      </c>
      <c r="B50" s="232" t="str">
        <f>A49</f>
        <v>m²</v>
      </c>
      <c r="C50" s="233"/>
      <c r="D50" s="233"/>
      <c r="E50" s="233"/>
      <c r="F50" s="233"/>
      <c r="G50" s="21"/>
      <c r="H50" s="233"/>
      <c r="I50" s="235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01" t="s">
        <v>1010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02" t="s">
        <v>988</v>
      </c>
      <c r="B54" s="202" t="s">
        <v>989</v>
      </c>
      <c r="C54" s="202" t="s">
        <v>990</v>
      </c>
      <c r="D54" s="202" t="s">
        <v>991</v>
      </c>
      <c r="E54" s="202"/>
      <c r="F54" s="202" t="s">
        <v>992</v>
      </c>
      <c r="G54" s="4" t="s">
        <v>993</v>
      </c>
      <c r="H54" s="202" t="s">
        <v>994</v>
      </c>
      <c r="I54" s="202" t="s">
        <v>995</v>
      </c>
    </row>
    <row r="55" ht="14.25" customHeight="1">
      <c r="A55" s="204"/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05"/>
      <c r="E55" s="204"/>
      <c r="F55" s="206"/>
      <c r="G55" s="221">
        <f t="shared" ref="G55:G60" si="6">ROUNDUP((D55+(D55*F55)),0)</f>
        <v>0</v>
      </c>
      <c r="H55" s="143" t="str">
        <f>IF($A55=0,"",VLOOKUP($A55,'00_Mat'!$A$4:$J$1135,5,FALSE))</f>
        <v/>
      </c>
      <c r="I55" s="143">
        <f t="shared" ref="I55:I56" si="7">G55*H55</f>
        <v>0</v>
      </c>
    </row>
    <row r="56" ht="14.25" customHeight="1">
      <c r="A56" s="204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05"/>
      <c r="E56" s="204"/>
      <c r="F56" s="206"/>
      <c r="G56" s="221">
        <f t="shared" si="6"/>
        <v>0</v>
      </c>
      <c r="H56" s="143" t="str">
        <f>IF($A56=0,"",VLOOKUP($A56,'00_Mat'!$A$4:$J$1135,5,FALSE))</f>
        <v/>
      </c>
      <c r="I56" s="143">
        <f t="shared" si="7"/>
        <v>0</v>
      </c>
    </row>
    <row r="57" ht="14.25" customHeight="1">
      <c r="A57" s="204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05"/>
      <c r="E57" s="204"/>
      <c r="F57" s="206"/>
      <c r="G57" s="221">
        <f t="shared" si="6"/>
        <v>0</v>
      </c>
      <c r="H57" s="143" t="str">
        <f>IF($A57=0,"",VLOOKUP($A57,'00_Mat'!$A$4:$J$1135,5,FALSE))</f>
        <v/>
      </c>
      <c r="I57" s="143"/>
    </row>
    <row r="58" ht="14.25" customHeight="1">
      <c r="A58" s="204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05"/>
      <c r="E58" s="204"/>
      <c r="F58" s="206"/>
      <c r="G58" s="221">
        <f t="shared" si="6"/>
        <v>0</v>
      </c>
      <c r="H58" s="143" t="str">
        <f>IF($A58=0,"",VLOOKUP($A58,'00_Mat'!$A$4:$J$1135,5,FALSE))</f>
        <v/>
      </c>
      <c r="I58" s="143"/>
    </row>
    <row r="59" ht="14.25" customHeight="1">
      <c r="A59" s="204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05"/>
      <c r="E59" s="204"/>
      <c r="F59" s="206"/>
      <c r="G59" s="221">
        <f t="shared" si="6"/>
        <v>0</v>
      </c>
      <c r="H59" s="143" t="str">
        <f>IF($A59=0,"",VLOOKUP($A59,'00_Mat'!$A$4:$J$1135,5,FALSE))</f>
        <v/>
      </c>
      <c r="I59" s="143"/>
    </row>
    <row r="60" ht="14.25" customHeight="1">
      <c r="A60" s="204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05"/>
      <c r="E60" s="204"/>
      <c r="F60" s="206"/>
      <c r="G60" s="221">
        <f t="shared" si="6"/>
        <v>0</v>
      </c>
      <c r="H60" s="143" t="str">
        <f>IF($A60=0,"",VLOOKUP($A60,'00_Mat'!$A$4:$J$1135,5,FALSE))</f>
        <v/>
      </c>
      <c r="I60" s="143"/>
    </row>
    <row r="61" ht="14.25" customHeight="1">
      <c r="F61" s="208"/>
      <c r="G61" s="3"/>
      <c r="H61" s="143"/>
      <c r="I61" s="143"/>
    </row>
    <row r="62" ht="14.25" customHeight="1">
      <c r="A62" s="222" t="s">
        <v>987</v>
      </c>
      <c r="B62" s="223"/>
      <c r="C62" s="223"/>
      <c r="D62" s="223"/>
      <c r="E62" s="223"/>
      <c r="F62" s="223"/>
      <c r="G62" s="211"/>
      <c r="H62" s="223"/>
      <c r="I62" s="224">
        <f>SUM(I55:I60)</f>
        <v>0</v>
      </c>
    </row>
    <row r="63" ht="14.25" customHeight="1">
      <c r="A63" s="232" t="str">
        <f>$I$3</f>
        <v>m²</v>
      </c>
      <c r="B63" s="233"/>
      <c r="C63" s="233"/>
      <c r="D63" s="233"/>
      <c r="E63" s="233"/>
      <c r="F63" s="233"/>
      <c r="G63" s="21"/>
      <c r="H63" s="233"/>
      <c r="I63" s="205">
        <f>$H$3</f>
        <v>144</v>
      </c>
      <c r="J63" s="92"/>
      <c r="K63" s="92"/>
      <c r="L63" s="92"/>
    </row>
    <row r="64" ht="14.25" customHeight="1">
      <c r="A64" s="234" t="s">
        <v>997</v>
      </c>
      <c r="B64" s="232" t="str">
        <f>A63</f>
        <v>m²</v>
      </c>
      <c r="C64" s="233"/>
      <c r="D64" s="233"/>
      <c r="E64" s="233"/>
      <c r="F64" s="233"/>
      <c r="G64" s="21"/>
      <c r="H64" s="233"/>
      <c r="I64" s="235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01" t="s">
        <v>1025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02" t="s">
        <v>988</v>
      </c>
      <c r="B68" s="202" t="s">
        <v>989</v>
      </c>
      <c r="C68" s="202" t="s">
        <v>990</v>
      </c>
      <c r="D68" s="202" t="s">
        <v>991</v>
      </c>
      <c r="E68" s="202" t="s">
        <v>999</v>
      </c>
      <c r="F68" s="202" t="s">
        <v>992</v>
      </c>
      <c r="G68" s="4" t="s">
        <v>993</v>
      </c>
      <c r="H68" s="202" t="s">
        <v>994</v>
      </c>
      <c r="I68" s="202" t="s">
        <v>995</v>
      </c>
    </row>
    <row r="69" ht="14.25" customHeight="1">
      <c r="A69" s="204"/>
      <c r="B69" s="92" t="str">
        <f>IF($A69=0,"",VLOOKUP($A69,'00_Sub'!$A$4:$D$1007,2,FALSE))</f>
        <v/>
      </c>
      <c r="C69" s="92" t="str">
        <f>IF($A69=0,"",VLOOKUP($A69,'00_Sub'!$A$4:$D$1007,3,FALSE))</f>
        <v/>
      </c>
      <c r="D69" s="204"/>
      <c r="E69" s="204"/>
      <c r="F69" s="206"/>
      <c r="G69" s="221">
        <f t="shared" ref="G69:G74" si="8">ROUNDUP((D69+(D69*F69)),0)</f>
        <v>0</v>
      </c>
      <c r="H69" s="143" t="str">
        <f>IF($A69=0,"",VLOOKUP($A69,'00_Sub'!$A$4:$D$1007,4,FALSE))</f>
        <v/>
      </c>
      <c r="I69" s="143"/>
    </row>
    <row r="70" ht="14.25" customHeight="1">
      <c r="A70" s="204"/>
      <c r="B70" s="92" t="str">
        <f>IF($A70=0,"",VLOOKUP($A70,'00_Sub'!$A$4:$D$1007,2,FALSE))</f>
        <v/>
      </c>
      <c r="C70" s="92" t="str">
        <f>IF($A70=0,"",VLOOKUP($A70,'00_Sub'!$A$4:$D$1007,3,FALSE))</f>
        <v/>
      </c>
      <c r="D70" s="204"/>
      <c r="E70" s="204"/>
      <c r="F70" s="206"/>
      <c r="G70" s="221">
        <f t="shared" si="8"/>
        <v>0</v>
      </c>
      <c r="H70" s="143" t="str">
        <f>IF($A70=0,"",VLOOKUP($A70,'00_Sub'!$A$4:$D$1007,4,FALSE))</f>
        <v/>
      </c>
      <c r="I70" s="143"/>
    </row>
    <row r="71" ht="14.25" customHeight="1">
      <c r="A71" s="204"/>
      <c r="B71" s="92" t="str">
        <f>IF($A71=0,"",VLOOKUP($A71,'00_Sub'!$A$4:$D$1007,2,FALSE))</f>
        <v/>
      </c>
      <c r="C71" s="92" t="str">
        <f>IF($A71=0,"",VLOOKUP($A71,'00_Sub'!$A$4:$D$1007,3,FALSE))</f>
        <v/>
      </c>
      <c r="D71" s="204"/>
      <c r="E71" s="204"/>
      <c r="F71" s="206"/>
      <c r="G71" s="221">
        <f t="shared" si="8"/>
        <v>0</v>
      </c>
      <c r="H71" s="143" t="str">
        <f>IF($A71=0,"",VLOOKUP($A71,'00_Sub'!$A$4:$D$1007,4,FALSE))</f>
        <v/>
      </c>
      <c r="I71" s="143"/>
    </row>
    <row r="72" ht="14.25" customHeight="1">
      <c r="A72" s="204"/>
      <c r="B72" s="92" t="str">
        <f>IF($A72=0,"",VLOOKUP($A72,'00_Sub'!$A$4:$D$1007,2,FALSE))</f>
        <v/>
      </c>
      <c r="C72" s="92" t="str">
        <f>IF($A72=0,"",VLOOKUP($A72,'00_Sub'!$A$4:$D$1007,3,FALSE))</f>
        <v/>
      </c>
      <c r="D72" s="204"/>
      <c r="E72" s="204"/>
      <c r="F72" s="206"/>
      <c r="G72" s="221">
        <f t="shared" si="8"/>
        <v>0</v>
      </c>
      <c r="H72" s="143" t="str">
        <f>IF($A72=0,"",VLOOKUP($A72,'00_Sub'!$A$4:$D$1007,4,FALSE))</f>
        <v/>
      </c>
      <c r="I72" s="143"/>
    </row>
    <row r="73" ht="14.25" customHeight="1">
      <c r="A73" s="204"/>
      <c r="B73" s="92" t="str">
        <f>IF($A73=0,"",VLOOKUP($A73,'00_Sub'!$A$4:$D$1007,2,FALSE))</f>
        <v/>
      </c>
      <c r="C73" s="92" t="str">
        <f>IF($A73=0,"",VLOOKUP($A73,'00_Sub'!$A$4:$D$1007,3,FALSE))</f>
        <v/>
      </c>
      <c r="D73" s="204"/>
      <c r="E73" s="204"/>
      <c r="F73" s="206"/>
      <c r="G73" s="221">
        <f t="shared" si="8"/>
        <v>0</v>
      </c>
      <c r="H73" s="143" t="str">
        <f>IF($A73=0,"",VLOOKUP($A73,'00_Sub'!$A$4:$D$1007,4,FALSE))</f>
        <v/>
      </c>
      <c r="I73" s="143"/>
    </row>
    <row r="74" ht="14.25" customHeight="1">
      <c r="A74" s="204"/>
      <c r="B74" s="92" t="str">
        <f>IF($A74=0,"",VLOOKUP($A74,'00_Sub'!$A$4:$D$1007,2,FALSE))</f>
        <v/>
      </c>
      <c r="C74" s="92" t="str">
        <f>IF($A74=0,"",VLOOKUP($A74,'00_Sub'!$A$4:$D$1007,3,FALSE))</f>
        <v/>
      </c>
      <c r="D74" s="204"/>
      <c r="E74" s="204"/>
      <c r="F74" s="206"/>
      <c r="G74" s="221">
        <f t="shared" si="8"/>
        <v>0</v>
      </c>
      <c r="H74" s="143" t="str">
        <f>IF($A74=0,"",VLOOKUP($A74,'00_Sub'!$A$4:$D$1007,4,FALSE))</f>
        <v/>
      </c>
      <c r="I74" s="143"/>
    </row>
    <row r="75" ht="14.25" customHeight="1">
      <c r="F75" s="208"/>
      <c r="G75" s="3"/>
      <c r="H75" s="143"/>
      <c r="I75" s="143"/>
    </row>
    <row r="76" ht="14.25" customHeight="1">
      <c r="A76" s="222" t="s">
        <v>987</v>
      </c>
      <c r="B76" s="223"/>
      <c r="C76" s="223"/>
      <c r="D76" s="223"/>
      <c r="E76" s="223"/>
      <c r="F76" s="223"/>
      <c r="G76" s="211"/>
      <c r="H76" s="223"/>
      <c r="I76" s="224">
        <f>SUM(I69:I74)</f>
        <v>0</v>
      </c>
    </row>
    <row r="77" ht="14.25" customHeight="1">
      <c r="A77" s="232" t="str">
        <f>$I$3</f>
        <v>m²</v>
      </c>
      <c r="B77" s="233"/>
      <c r="C77" s="233"/>
      <c r="D77" s="233"/>
      <c r="E77" s="233"/>
      <c r="F77" s="233"/>
      <c r="G77" s="21"/>
      <c r="H77" s="233"/>
      <c r="I77" s="205">
        <f>$H$3</f>
        <v>144</v>
      </c>
      <c r="J77" s="92"/>
      <c r="K77" s="92"/>
      <c r="L77" s="92"/>
    </row>
    <row r="78" ht="14.25" customHeight="1">
      <c r="A78" s="234" t="s">
        <v>997</v>
      </c>
      <c r="B78" s="232" t="str">
        <f>A77</f>
        <v>m²</v>
      </c>
      <c r="C78" s="233"/>
      <c r="D78" s="233"/>
      <c r="E78" s="233"/>
      <c r="F78" s="233"/>
      <c r="G78" s="21"/>
      <c r="H78" s="233"/>
      <c r="I78" s="235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58.43"/>
    <col customWidth="1" min="3" max="3" width="8.14"/>
    <col customWidth="1" min="4" max="4" width="8.71"/>
    <col customWidth="1" min="5" max="5" width="6.57"/>
    <col customWidth="1" min="6" max="6" width="10.57"/>
    <col customWidth="1" min="7" max="7" width="12.71"/>
    <col customWidth="1" min="8" max="8" width="16.0"/>
    <col customWidth="1" min="9" max="9" width="15.86"/>
    <col customWidth="1" min="10" max="12" width="8.71"/>
  </cols>
  <sheetData>
    <row r="1" ht="33.75" customHeight="1">
      <c r="A1" s="91" t="str">
        <f>'01_C&amp;P'!A1</f>
        <v>EDIFICIO LAS HERAS</v>
      </c>
      <c r="B1" s="91"/>
      <c r="C1" s="91"/>
      <c r="G1" s="3"/>
    </row>
    <row r="2" ht="14.25" customHeight="1">
      <c r="G2" s="3"/>
    </row>
    <row r="3" ht="23.25" customHeight="1">
      <c r="A3" s="195">
        <f>'01_C&amp;P'!A45</f>
        <v>46205</v>
      </c>
      <c r="B3" s="196" t="str">
        <f>IF($A3=0,"",VLOOKUP($A3,'01_C&amp;P'!$A$9:$D$192,2,FALSE))</f>
        <v>REVOQUE INTERIOR. (GRUESO FRATAZADO)</v>
      </c>
      <c r="C3" s="197"/>
      <c r="D3" s="197"/>
      <c r="E3" s="197"/>
      <c r="F3" s="197"/>
      <c r="G3" s="198"/>
      <c r="H3" s="199">
        <f>IF($A3=0,"",VLOOKUP($A3,'01_C&amp;P'!$A$9:$D$192,4,FALSE))</f>
        <v>224</v>
      </c>
      <c r="I3" s="200" t="str">
        <f>IF($A3=0,"",VLOOKUP($A3,'01_C&amp;P'!$A$9:$D$192,3,FALSE))</f>
        <v>m²</v>
      </c>
    </row>
    <row r="4" ht="14.25" customHeight="1">
      <c r="G4" s="3"/>
    </row>
    <row r="5" ht="14.25" customHeight="1">
      <c r="A5" s="201" t="s">
        <v>0</v>
      </c>
      <c r="B5" s="94"/>
      <c r="C5" s="94"/>
      <c r="D5" s="94"/>
      <c r="E5" s="94"/>
      <c r="F5" s="94"/>
      <c r="G5" s="2"/>
      <c r="H5" s="94"/>
      <c r="I5" s="94"/>
      <c r="K5" s="153" t="s">
        <v>48</v>
      </c>
    </row>
    <row r="6" ht="14.25" customHeight="1">
      <c r="A6" s="202" t="s">
        <v>988</v>
      </c>
      <c r="B6" s="202" t="s">
        <v>989</v>
      </c>
      <c r="C6" s="202" t="s">
        <v>990</v>
      </c>
      <c r="D6" s="203" t="s">
        <v>991</v>
      </c>
      <c r="E6" s="197"/>
      <c r="F6" s="202" t="s">
        <v>992</v>
      </c>
      <c r="G6" s="4" t="s">
        <v>993</v>
      </c>
      <c r="H6" s="202" t="s">
        <v>994</v>
      </c>
      <c r="I6" s="202" t="s">
        <v>995</v>
      </c>
      <c r="K6" s="153">
        <f>28*4*2</f>
        <v>224</v>
      </c>
    </row>
    <row r="7" ht="14.25" customHeight="1">
      <c r="A7" s="254" t="s">
        <v>11</v>
      </c>
      <c r="B7" s="3" t="str">
        <f>IF($A7=0,"",VLOOKUP($A7,'00_Mat'!$A$4:$J$1134,2,FALSE))</f>
        <v>Bolson de Arena (1m3) </v>
      </c>
      <c r="C7" s="3" t="str">
        <f>IF($A7=0,"",VLOOKUP($A7,'00_Mat'!$A$4:$J$1134,3,FALSE))</f>
        <v>m3</v>
      </c>
      <c r="D7" s="250">
        <f>H3*(0.017)</f>
        <v>3.808</v>
      </c>
      <c r="E7" s="254"/>
      <c r="F7" s="257">
        <v>0.5</v>
      </c>
      <c r="G7" s="221">
        <f t="shared" ref="G7:G18" si="1">ROUNDUP((D7+(D7*F7)),0)</f>
        <v>6</v>
      </c>
      <c r="H7" s="143">
        <f>IF($A7=0,"",VLOOKUP($A7,'00_Mat'!$A$4:$J$1135,5,FALSE))</f>
        <v>33470</v>
      </c>
      <c r="I7" s="143">
        <f t="shared" ref="I7:I11" si="2">G7*H7</f>
        <v>200820</v>
      </c>
    </row>
    <row r="8" ht="14.25" customHeight="1">
      <c r="A8" s="254" t="s">
        <v>19</v>
      </c>
      <c r="B8" s="3" t="str">
        <f>IF($A8=0,"",VLOOKUP($A8,'00_Mat'!$A$4:$J$1134,2,FALSE))</f>
        <v>Bolsa Cemento "Loma Negra" 25 k (u)</v>
      </c>
      <c r="C8" s="3" t="str">
        <f>IF($A8=0,"",VLOOKUP($A8,'00_Mat'!$A$4:$J$1134,3,FALSE))</f>
        <v>u</v>
      </c>
      <c r="D8" s="250">
        <f>(H3*(1.85)/25)</f>
        <v>16.576</v>
      </c>
      <c r="E8" s="254"/>
      <c r="F8" s="257">
        <v>0.5</v>
      </c>
      <c r="G8" s="221">
        <f t="shared" si="1"/>
        <v>25</v>
      </c>
      <c r="H8" s="143">
        <f>IF($A8=0,"",VLOOKUP($A8,'00_Mat'!$A$4:$J$1135,5,FALSE))</f>
        <v>7000</v>
      </c>
      <c r="I8" s="143">
        <f t="shared" si="2"/>
        <v>175000</v>
      </c>
    </row>
    <row r="9" ht="14.25" customHeight="1">
      <c r="A9" s="254" t="s">
        <v>25</v>
      </c>
      <c r="B9" s="3" t="str">
        <f>IF($A9=0,"",VLOOKUP($A9,'00_Mat'!$A$4:$J$1134,2,FALSE))</f>
        <v>Bolsa Cal "Cacique" 25 k (u)</v>
      </c>
      <c r="C9" s="3" t="str">
        <f>IF($A9=0,"",VLOOKUP($A9,'00_Mat'!$A$4:$J$1134,3,FALSE))</f>
        <v>u</v>
      </c>
      <c r="D9" s="250">
        <f>(H3*(3.53)/25)</f>
        <v>31.6288</v>
      </c>
      <c r="E9" s="254"/>
      <c r="F9" s="257">
        <v>0.5</v>
      </c>
      <c r="G9" s="221">
        <f t="shared" si="1"/>
        <v>48</v>
      </c>
      <c r="H9" s="143">
        <f>IF($A9=0,"",VLOOKUP($A9,'00_Mat'!$A$4:$J$1135,5,FALSE))</f>
        <v>5371.900826</v>
      </c>
      <c r="I9" s="143">
        <f t="shared" si="2"/>
        <v>257851.2397</v>
      </c>
      <c r="K9" s="85" t="s">
        <v>1059</v>
      </c>
      <c r="L9" s="258"/>
      <c r="M9" s="258"/>
    </row>
    <row r="10" ht="14.25" customHeight="1">
      <c r="A10" s="204"/>
      <c r="B10" s="92" t="str">
        <f>IF($A10=0,"",VLOOKUP($A10,'00_Mat'!$A$4:$J$1135,2,FALSE))</f>
        <v/>
      </c>
      <c r="C10" s="92" t="str">
        <f>IF($A10=0,"",VLOOKUP($A10,'00_Mat'!$A$4:$J$1135,3,FALSE))</f>
        <v/>
      </c>
      <c r="D10" s="205"/>
      <c r="E10" s="204"/>
      <c r="F10" s="206"/>
      <c r="G10" s="221">
        <f t="shared" si="1"/>
        <v>0</v>
      </c>
      <c r="H10" s="143" t="str">
        <f>IF($A10=0,"",VLOOKUP($A10,'00_Mat'!$A$4:$J$1135,5,FALSE))</f>
        <v/>
      </c>
      <c r="I10" s="143">
        <f t="shared" si="2"/>
        <v>0</v>
      </c>
    </row>
    <row r="11" ht="14.25" customHeight="1">
      <c r="A11" s="204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05"/>
      <c r="E11" s="204"/>
      <c r="F11" s="206"/>
      <c r="G11" s="221">
        <f t="shared" si="1"/>
        <v>0</v>
      </c>
      <c r="H11" s="143" t="str">
        <f>IF($A11=0,"",VLOOKUP($A11,'00_Mat'!$A$4:$J$1135,5,FALSE))</f>
        <v/>
      </c>
      <c r="I11" s="143">
        <f t="shared" si="2"/>
        <v>0</v>
      </c>
    </row>
    <row r="12" ht="14.25" customHeight="1">
      <c r="A12" s="204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04"/>
      <c r="E12" s="204"/>
      <c r="F12" s="206"/>
      <c r="G12" s="221">
        <f t="shared" si="1"/>
        <v>0</v>
      </c>
      <c r="H12" s="143" t="str">
        <f>IF($A12=0,"",VLOOKUP($A12,'00_Mat'!$A$4:$J$1135,5,FALSE))</f>
        <v/>
      </c>
      <c r="I12" s="143"/>
    </row>
    <row r="13" ht="14.25" customHeight="1">
      <c r="A13" s="204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04"/>
      <c r="E13" s="204"/>
      <c r="F13" s="206"/>
      <c r="G13" s="221">
        <f t="shared" si="1"/>
        <v>0</v>
      </c>
      <c r="H13" s="143" t="str">
        <f>IF($A13=0,"",VLOOKUP($A13,'00_Mat'!$A$4:$J$1135,5,FALSE))</f>
        <v/>
      </c>
      <c r="I13" s="143"/>
    </row>
    <row r="14" ht="14.25" customHeight="1">
      <c r="A14" s="204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04"/>
      <c r="E14" s="204"/>
      <c r="F14" s="206"/>
      <c r="G14" s="221">
        <f t="shared" si="1"/>
        <v>0</v>
      </c>
      <c r="H14" s="143" t="str">
        <f>IF($A14=0,"",VLOOKUP($A14,'00_Mat'!$A$4:$J$1135,5,FALSE))</f>
        <v/>
      </c>
      <c r="I14" s="143"/>
    </row>
    <row r="15" ht="14.25" customHeight="1">
      <c r="A15" s="204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04"/>
      <c r="E15" s="204"/>
      <c r="F15" s="206"/>
      <c r="G15" s="221">
        <f t="shared" si="1"/>
        <v>0</v>
      </c>
      <c r="H15" s="143" t="str">
        <f>IF($A15=0,"",VLOOKUP($A15,'00_Mat'!$A$4:$J$1135,5,FALSE))</f>
        <v/>
      </c>
      <c r="I15" s="143"/>
    </row>
    <row r="16" ht="14.25" customHeight="1">
      <c r="A16" s="204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04"/>
      <c r="E16" s="204"/>
      <c r="F16" s="206"/>
      <c r="G16" s="221">
        <f t="shared" si="1"/>
        <v>0</v>
      </c>
      <c r="H16" s="143" t="str">
        <f>IF($A16=0,"",VLOOKUP($A16,'00_Mat'!$A$4:$J$1135,5,FALSE))</f>
        <v/>
      </c>
      <c r="I16" s="143"/>
    </row>
    <row r="17" ht="14.25" customHeight="1">
      <c r="A17" s="204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04"/>
      <c r="E17" s="204"/>
      <c r="F17" s="206"/>
      <c r="G17" s="221">
        <f t="shared" si="1"/>
        <v>0</v>
      </c>
      <c r="H17" s="143" t="str">
        <f>IF($A17=0,"",VLOOKUP($A17,'00_Mat'!$A$4:$J$1135,5,FALSE))</f>
        <v/>
      </c>
      <c r="I17" s="143"/>
    </row>
    <row r="18" ht="14.25" customHeight="1">
      <c r="A18" s="204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04"/>
      <c r="E18" s="204"/>
      <c r="F18" s="206"/>
      <c r="G18" s="221">
        <f t="shared" si="1"/>
        <v>0</v>
      </c>
      <c r="H18" s="143" t="str">
        <f>IF($A18=0,"",VLOOKUP($A18,'00_Mat'!$A$4:$J$1135,5,FALSE))</f>
        <v/>
      </c>
      <c r="I18" s="143"/>
    </row>
    <row r="19" ht="14.25" customHeight="1">
      <c r="F19" s="208"/>
      <c r="G19" s="3"/>
      <c r="H19" s="143"/>
      <c r="I19" s="143"/>
    </row>
    <row r="20" ht="14.25" customHeight="1">
      <c r="A20" s="222" t="s">
        <v>996</v>
      </c>
      <c r="B20" s="223"/>
      <c r="C20" s="223"/>
      <c r="D20" s="223"/>
      <c r="E20" s="223"/>
      <c r="F20" s="223"/>
      <c r="G20" s="211"/>
      <c r="H20" s="223"/>
      <c r="I20" s="224">
        <f>SUM(I7:I18)</f>
        <v>633671.2397</v>
      </c>
      <c r="J20" s="92"/>
      <c r="K20" s="92"/>
      <c r="L20" s="92"/>
    </row>
    <row r="21" ht="14.25" customHeight="1">
      <c r="A21" s="232" t="str">
        <f>$I$3</f>
        <v>m²</v>
      </c>
      <c r="B21" s="233"/>
      <c r="C21" s="233"/>
      <c r="D21" s="233"/>
      <c r="E21" s="233"/>
      <c r="F21" s="233"/>
      <c r="G21" s="21"/>
      <c r="H21" s="233"/>
      <c r="I21" s="205">
        <f>$H$3</f>
        <v>224</v>
      </c>
      <c r="J21" s="92"/>
      <c r="K21" s="92"/>
      <c r="L21" s="92"/>
    </row>
    <row r="22" ht="14.25" customHeight="1">
      <c r="A22" s="234" t="s">
        <v>997</v>
      </c>
      <c r="B22" s="232" t="str">
        <f>A21</f>
        <v>m²</v>
      </c>
      <c r="C22" s="233"/>
      <c r="D22" s="233"/>
      <c r="E22" s="233"/>
      <c r="F22" s="233"/>
      <c r="G22" s="21"/>
      <c r="H22" s="233"/>
      <c r="I22" s="235">
        <f>I20/I21</f>
        <v>2828.889463</v>
      </c>
      <c r="J22" s="92"/>
      <c r="K22" s="92"/>
      <c r="L22" s="92"/>
    </row>
    <row r="23" ht="14.25" customHeight="1">
      <c r="G23" s="3"/>
      <c r="I23" s="151">
        <f>I22/K6</f>
        <v>12.62897082</v>
      </c>
    </row>
    <row r="24" ht="14.25" customHeight="1">
      <c r="G24" s="3"/>
    </row>
    <row r="25" ht="14.25" customHeight="1">
      <c r="A25" s="201" t="s">
        <v>998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02" t="s">
        <v>988</v>
      </c>
      <c r="B26" s="202" t="s">
        <v>989</v>
      </c>
      <c r="C26" s="202" t="s">
        <v>990</v>
      </c>
      <c r="D26" s="202" t="s">
        <v>991</v>
      </c>
      <c r="E26" s="202" t="s">
        <v>999</v>
      </c>
      <c r="F26" s="202" t="s">
        <v>992</v>
      </c>
      <c r="G26" s="4" t="s">
        <v>993</v>
      </c>
      <c r="H26" s="202" t="s">
        <v>994</v>
      </c>
      <c r="I26" s="202" t="s">
        <v>995</v>
      </c>
      <c r="K26" s="3" t="s">
        <v>1060</v>
      </c>
    </row>
    <row r="27" ht="14.25" customHeight="1">
      <c r="A27" s="61" t="s">
        <v>621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29">
        <v>1.0</v>
      </c>
      <c r="E27" s="229">
        <f>(H3/60)*1.5</f>
        <v>5.6</v>
      </c>
      <c r="F27" s="236">
        <v>0.25</v>
      </c>
      <c r="G27" s="217">
        <f t="shared" ref="G27:G32" si="3">ROUNDUP(((D27*E27)*(1+F27)),0)</f>
        <v>7</v>
      </c>
      <c r="H27" s="143">
        <f>IF($A27=0,"",VLOOKUP($A27,'00_MO'!$A$4:$D$7,4,FALSE))</f>
        <v>120000</v>
      </c>
      <c r="I27" s="143">
        <f t="shared" ref="I27:I30" si="4">G27*H27</f>
        <v>840000</v>
      </c>
      <c r="K27" s="153" t="s">
        <v>1061</v>
      </c>
    </row>
    <row r="28" ht="14.25" customHeight="1">
      <c r="A28" s="61" t="s">
        <v>623</v>
      </c>
      <c r="B28" s="92" t="str">
        <f>IF($A28=0,"",VLOOKUP($A28,'00_MO'!$A$4:$D$7,2,FALSE))</f>
        <v>Puntero</v>
      </c>
      <c r="C28" s="92" t="str">
        <f>IF($A28=0,"",VLOOKUP($A28,'00_MO'!$A$4:$D$7,3,FALSE))</f>
        <v>u</v>
      </c>
      <c r="D28" s="229">
        <v>2.0</v>
      </c>
      <c r="E28" s="229">
        <f>E27</f>
        <v>5.6</v>
      </c>
      <c r="F28" s="236">
        <v>0.25</v>
      </c>
      <c r="G28" s="217">
        <f t="shared" si="3"/>
        <v>14</v>
      </c>
      <c r="H28" s="143">
        <f>IF($A28=0,"",VLOOKUP($A28,'00_MO'!$A$4:$D$7,4,FALSE))</f>
        <v>105000</v>
      </c>
      <c r="I28" s="143">
        <f t="shared" si="4"/>
        <v>1470000</v>
      </c>
      <c r="K28" s="194">
        <f>4*15</f>
        <v>60</v>
      </c>
    </row>
    <row r="29" ht="14.25" customHeight="1">
      <c r="A29" s="61" t="s">
        <v>625</v>
      </c>
      <c r="B29" s="92" t="str">
        <f>IF($A29=0,"",VLOOKUP($A29,'00_MO'!$A$4:$D$7,2,FALSE))</f>
        <v>Oficial</v>
      </c>
      <c r="C29" s="92" t="str">
        <f>IF($A29=0,"",VLOOKUP($A29,'00_MO'!$A$4:$D$7,3,FALSE))</f>
        <v>u</v>
      </c>
      <c r="D29" s="229">
        <v>3.0</v>
      </c>
      <c r="E29" s="229">
        <f>E27</f>
        <v>5.6</v>
      </c>
      <c r="F29" s="236">
        <v>0.25</v>
      </c>
      <c r="G29" s="217">
        <f t="shared" si="3"/>
        <v>21</v>
      </c>
      <c r="H29" s="143">
        <f>IF($A29=0,"",VLOOKUP($A29,'00_MO'!$A$4:$D$7,4,FALSE))</f>
        <v>90000</v>
      </c>
      <c r="I29" s="143">
        <f t="shared" si="4"/>
        <v>1890000</v>
      </c>
    </row>
    <row r="30" ht="14.25" customHeight="1">
      <c r="A30" s="61" t="s">
        <v>627</v>
      </c>
      <c r="B30" s="92" t="str">
        <f>IF($A30=0,"",VLOOKUP($A30,'00_MO'!$A$4:$D$7,2,FALSE))</f>
        <v>Ayudante</v>
      </c>
      <c r="C30" s="92" t="str">
        <f>IF($A30=0,"",VLOOKUP($A30,'00_MO'!$A$4:$D$7,3,FALSE))</f>
        <v>u</v>
      </c>
      <c r="D30" s="229">
        <v>3.0</v>
      </c>
      <c r="E30" s="229">
        <f>E27</f>
        <v>5.6</v>
      </c>
      <c r="F30" s="236">
        <v>0.25</v>
      </c>
      <c r="G30" s="217">
        <f t="shared" si="3"/>
        <v>21</v>
      </c>
      <c r="H30" s="143">
        <f>IF($A30=0,"",VLOOKUP($A30,'00_MO'!$A$4:$D$7,4,FALSE))</f>
        <v>60000</v>
      </c>
      <c r="I30" s="143">
        <f t="shared" si="4"/>
        <v>1260000</v>
      </c>
      <c r="K30" s="85" t="s">
        <v>1062</v>
      </c>
      <c r="L30" s="258"/>
      <c r="M30" s="258"/>
    </row>
    <row r="31" ht="14.25" customHeight="1">
      <c r="A31" s="204"/>
      <c r="B31" s="92" t="str">
        <f>IF($A31=0,"",VLOOKUP($A31,'00_MO'!$A$4:$D$7,2,FALSE))</f>
        <v/>
      </c>
      <c r="C31" s="92" t="str">
        <f>IF($A31=0,"",VLOOKUP($A31,'00_MO'!$A$4:$D$7,3,FALSE))</f>
        <v/>
      </c>
      <c r="D31" s="204"/>
      <c r="E31" s="204"/>
      <c r="F31" s="206"/>
      <c r="G31" s="217">
        <f t="shared" si="3"/>
        <v>0</v>
      </c>
      <c r="H31" s="143" t="str">
        <f>IF($A31=0,"",VLOOKUP($A31,'00_MO'!$A$4:$D$7,4,FALSE))</f>
        <v/>
      </c>
      <c r="I31" s="143"/>
    </row>
    <row r="32" ht="14.25" customHeight="1">
      <c r="A32" s="204"/>
      <c r="B32" s="92" t="str">
        <f>IF($A32=0,"",VLOOKUP($A32,'00_MO'!$A$4:$D$7,2,FALSE))</f>
        <v/>
      </c>
      <c r="C32" s="92" t="str">
        <f>IF($A32=0,"",VLOOKUP($A32,'00_MO'!$A$4:$D$7,3,FALSE))</f>
        <v/>
      </c>
      <c r="D32" s="204"/>
      <c r="E32" s="204"/>
      <c r="F32" s="206"/>
      <c r="G32" s="217">
        <f t="shared" si="3"/>
        <v>0</v>
      </c>
      <c r="H32" s="143" t="str">
        <f>IF($A32=0,"",VLOOKUP($A32,'00_MO'!$A$4:$D$7,4,FALSE))</f>
        <v/>
      </c>
      <c r="I32" s="143"/>
    </row>
    <row r="33" ht="14.25" customHeight="1">
      <c r="F33" s="208"/>
      <c r="G33" s="3"/>
      <c r="H33" s="143"/>
      <c r="I33" s="143"/>
    </row>
    <row r="34" ht="14.25" customHeight="1">
      <c r="A34" s="222" t="s">
        <v>987</v>
      </c>
      <c r="B34" s="223"/>
      <c r="C34" s="223"/>
      <c r="D34" s="223"/>
      <c r="E34" s="223"/>
      <c r="F34" s="223"/>
      <c r="G34" s="211"/>
      <c r="H34" s="223"/>
      <c r="I34" s="224">
        <f>SUM(I27:I32)</f>
        <v>5460000</v>
      </c>
    </row>
    <row r="35" ht="14.25" customHeight="1">
      <c r="A35" s="232" t="str">
        <f>$I$3</f>
        <v>m²</v>
      </c>
      <c r="B35" s="233"/>
      <c r="C35" s="233"/>
      <c r="D35" s="233"/>
      <c r="E35" s="233"/>
      <c r="F35" s="233"/>
      <c r="G35" s="21"/>
      <c r="H35" s="233"/>
      <c r="I35" s="205">
        <f>$H$3</f>
        <v>224</v>
      </c>
      <c r="J35" s="92"/>
      <c r="K35" s="92"/>
      <c r="L35" s="92"/>
    </row>
    <row r="36" ht="14.25" customHeight="1">
      <c r="A36" s="234" t="s">
        <v>997</v>
      </c>
      <c r="B36" s="232" t="str">
        <f>A35</f>
        <v>m²</v>
      </c>
      <c r="C36" s="233"/>
      <c r="D36" s="233"/>
      <c r="E36" s="233"/>
      <c r="F36" s="233"/>
      <c r="G36" s="21"/>
      <c r="H36" s="233"/>
      <c r="I36" s="235">
        <f>I34/I35</f>
        <v>24375</v>
      </c>
      <c r="J36" s="92"/>
      <c r="K36" s="92"/>
      <c r="L36" s="92"/>
    </row>
    <row r="37" ht="14.25" customHeight="1">
      <c r="G37" s="3"/>
      <c r="I37" s="151">
        <f>I36/K6</f>
        <v>108.8169643</v>
      </c>
    </row>
    <row r="38" ht="14.25" customHeight="1">
      <c r="G38" s="3"/>
    </row>
    <row r="39" ht="14.25" customHeight="1">
      <c r="A39" s="201" t="s">
        <v>1000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02" t="s">
        <v>988</v>
      </c>
      <c r="B40" s="202" t="s">
        <v>989</v>
      </c>
      <c r="C40" s="202" t="s">
        <v>990</v>
      </c>
      <c r="D40" s="202" t="s">
        <v>991</v>
      </c>
      <c r="E40" s="202" t="s">
        <v>999</v>
      </c>
      <c r="F40" s="202" t="s">
        <v>992</v>
      </c>
      <c r="G40" s="4" t="s">
        <v>993</v>
      </c>
      <c r="H40" s="202" t="s">
        <v>994</v>
      </c>
      <c r="I40" s="202" t="s">
        <v>995</v>
      </c>
    </row>
    <row r="41" ht="14.25" customHeight="1">
      <c r="A41" s="204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04"/>
      <c r="E41" s="204"/>
      <c r="F41" s="206"/>
      <c r="G41" s="217">
        <f t="shared" ref="G41:G46" si="5">ROUNDUP(((D41*E41)*(1+F41)),0)</f>
        <v>0</v>
      </c>
      <c r="H41" s="143" t="str">
        <f>IF($A41=0,"",VLOOKUP($A41,'00_Eq'!$A$4:$D$100,4,FALSE))</f>
        <v/>
      </c>
      <c r="I41" s="143"/>
    </row>
    <row r="42" ht="14.25" customHeight="1">
      <c r="A42" s="204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04"/>
      <c r="E42" s="204"/>
      <c r="F42" s="206"/>
      <c r="G42" s="217">
        <f t="shared" si="5"/>
        <v>0</v>
      </c>
      <c r="H42" s="143" t="str">
        <f>IF($A42=0,"",VLOOKUP($A42,'00_Eq'!$A$4:$D$100,4,FALSE))</f>
        <v/>
      </c>
      <c r="I42" s="143"/>
    </row>
    <row r="43" ht="14.25" customHeight="1">
      <c r="A43" s="204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04"/>
      <c r="E43" s="204"/>
      <c r="F43" s="206"/>
      <c r="G43" s="217">
        <f t="shared" si="5"/>
        <v>0</v>
      </c>
      <c r="H43" s="143" t="str">
        <f>IF($A43=0,"",VLOOKUP($A43,'00_Eq'!$A$4:$D$100,4,FALSE))</f>
        <v/>
      </c>
      <c r="I43" s="143"/>
    </row>
    <row r="44" ht="14.25" customHeight="1">
      <c r="A44" s="204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04"/>
      <c r="E44" s="204"/>
      <c r="F44" s="206"/>
      <c r="G44" s="217">
        <f t="shared" si="5"/>
        <v>0</v>
      </c>
      <c r="H44" s="143" t="str">
        <f>IF($A44=0,"",VLOOKUP($A44,'00_Eq'!$A$4:$D$100,4,FALSE))</f>
        <v/>
      </c>
      <c r="I44" s="143"/>
    </row>
    <row r="45" ht="14.25" customHeight="1">
      <c r="A45" s="204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04"/>
      <c r="E45" s="204"/>
      <c r="F45" s="206"/>
      <c r="G45" s="217">
        <f t="shared" si="5"/>
        <v>0</v>
      </c>
      <c r="H45" s="143" t="str">
        <f>IF($A45=0,"",VLOOKUP($A45,'00_Eq'!$A$4:$D$100,4,FALSE))</f>
        <v/>
      </c>
      <c r="I45" s="143"/>
    </row>
    <row r="46" ht="14.25" customHeight="1">
      <c r="A46" s="204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04"/>
      <c r="E46" s="204"/>
      <c r="F46" s="206"/>
      <c r="G46" s="217">
        <f t="shared" si="5"/>
        <v>0</v>
      </c>
      <c r="H46" s="143" t="str">
        <f>IF($A46=0,"",VLOOKUP($A46,'00_Eq'!$A$4:$D$100,4,FALSE))</f>
        <v/>
      </c>
      <c r="I46" s="143"/>
    </row>
    <row r="47" ht="14.25" customHeight="1">
      <c r="F47" s="208"/>
      <c r="G47" s="3"/>
      <c r="H47" s="143"/>
      <c r="I47" s="143"/>
    </row>
    <row r="48" ht="14.25" customHeight="1">
      <c r="A48" s="222" t="s">
        <v>987</v>
      </c>
      <c r="B48" s="223"/>
      <c r="C48" s="223"/>
      <c r="D48" s="223"/>
      <c r="E48" s="223"/>
      <c r="F48" s="223"/>
      <c r="G48" s="211"/>
      <c r="H48" s="223"/>
      <c r="I48" s="224">
        <f>SUM(I41:I46)</f>
        <v>0</v>
      </c>
    </row>
    <row r="49" ht="14.25" customHeight="1">
      <c r="A49" s="232" t="str">
        <f>$I$3</f>
        <v>m²</v>
      </c>
      <c r="B49" s="233"/>
      <c r="C49" s="233"/>
      <c r="D49" s="233"/>
      <c r="E49" s="233"/>
      <c r="F49" s="233"/>
      <c r="G49" s="21"/>
      <c r="H49" s="233"/>
      <c r="I49" s="205">
        <f>$H$3</f>
        <v>224</v>
      </c>
      <c r="J49" s="92"/>
      <c r="K49" s="92"/>
      <c r="L49" s="92"/>
    </row>
    <row r="50" ht="14.25" customHeight="1">
      <c r="A50" s="234" t="s">
        <v>997</v>
      </c>
      <c r="B50" s="232" t="str">
        <f>A49</f>
        <v>m²</v>
      </c>
      <c r="C50" s="233"/>
      <c r="D50" s="233"/>
      <c r="E50" s="233"/>
      <c r="F50" s="233"/>
      <c r="G50" s="21"/>
      <c r="H50" s="233"/>
      <c r="I50" s="235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01" t="s">
        <v>1010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02" t="s">
        <v>988</v>
      </c>
      <c r="B54" s="202" t="s">
        <v>989</v>
      </c>
      <c r="C54" s="202" t="s">
        <v>990</v>
      </c>
      <c r="D54" s="202" t="s">
        <v>991</v>
      </c>
      <c r="E54" s="202"/>
      <c r="F54" s="202" t="s">
        <v>992</v>
      </c>
      <c r="G54" s="4" t="s">
        <v>993</v>
      </c>
      <c r="H54" s="202" t="s">
        <v>994</v>
      </c>
      <c r="I54" s="202" t="s">
        <v>995</v>
      </c>
    </row>
    <row r="55" ht="14.25" customHeight="1">
      <c r="A55" s="204"/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05"/>
      <c r="E55" s="204"/>
      <c r="F55" s="206"/>
      <c r="G55" s="221">
        <f t="shared" ref="G55:G60" si="6">ROUNDUP((D55+(D55*F55)),0)</f>
        <v>0</v>
      </c>
      <c r="H55" s="143" t="str">
        <f>IF($A55=0,"",VLOOKUP($A55,'00_Mat'!$A$4:$J$1135,5,FALSE))</f>
        <v/>
      </c>
      <c r="I55" s="143"/>
    </row>
    <row r="56" ht="14.25" customHeight="1">
      <c r="A56" s="204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05"/>
      <c r="E56" s="204"/>
      <c r="F56" s="206"/>
      <c r="G56" s="221">
        <f t="shared" si="6"/>
        <v>0</v>
      </c>
      <c r="H56" s="143" t="str">
        <f>IF($A56=0,"",VLOOKUP($A56,'00_Mat'!$A$4:$J$1135,5,FALSE))</f>
        <v/>
      </c>
      <c r="I56" s="143"/>
    </row>
    <row r="57" ht="14.25" customHeight="1">
      <c r="A57" s="204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05"/>
      <c r="E57" s="204"/>
      <c r="F57" s="206"/>
      <c r="G57" s="221">
        <f t="shared" si="6"/>
        <v>0</v>
      </c>
      <c r="H57" s="143" t="str">
        <f>IF($A57=0,"",VLOOKUP($A57,'00_Mat'!$A$4:$J$1135,5,FALSE))</f>
        <v/>
      </c>
      <c r="I57" s="143"/>
    </row>
    <row r="58" ht="14.25" customHeight="1">
      <c r="A58" s="204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05"/>
      <c r="E58" s="204"/>
      <c r="F58" s="206"/>
      <c r="G58" s="221">
        <f t="shared" si="6"/>
        <v>0</v>
      </c>
      <c r="H58" s="143" t="str">
        <f>IF($A58=0,"",VLOOKUP($A58,'00_Mat'!$A$4:$J$1135,5,FALSE))</f>
        <v/>
      </c>
      <c r="I58" s="143"/>
    </row>
    <row r="59" ht="14.25" customHeight="1">
      <c r="A59" s="204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05"/>
      <c r="E59" s="204"/>
      <c r="F59" s="206"/>
      <c r="G59" s="221">
        <f t="shared" si="6"/>
        <v>0</v>
      </c>
      <c r="H59" s="143" t="str">
        <f>IF($A59=0,"",VLOOKUP($A59,'00_Mat'!$A$4:$J$1135,5,FALSE))</f>
        <v/>
      </c>
      <c r="I59" s="143"/>
    </row>
    <row r="60" ht="14.25" customHeight="1">
      <c r="A60" s="204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05"/>
      <c r="E60" s="204"/>
      <c r="F60" s="206"/>
      <c r="G60" s="221">
        <f t="shared" si="6"/>
        <v>0</v>
      </c>
      <c r="H60" s="143" t="str">
        <f>IF($A60=0,"",VLOOKUP($A60,'00_Mat'!$A$4:$J$1135,5,FALSE))</f>
        <v/>
      </c>
      <c r="I60" s="143"/>
    </row>
    <row r="61" ht="14.25" customHeight="1">
      <c r="F61" s="208"/>
      <c r="G61" s="3"/>
      <c r="H61" s="143"/>
      <c r="I61" s="143"/>
    </row>
    <row r="62" ht="14.25" customHeight="1">
      <c r="A62" s="222" t="s">
        <v>987</v>
      </c>
      <c r="B62" s="223"/>
      <c r="C62" s="223"/>
      <c r="D62" s="223"/>
      <c r="E62" s="223"/>
      <c r="F62" s="223"/>
      <c r="G62" s="211"/>
      <c r="H62" s="223"/>
      <c r="I62" s="224">
        <f>SUM(I55:I60)</f>
        <v>0</v>
      </c>
    </row>
    <row r="63" ht="14.25" customHeight="1">
      <c r="A63" s="232" t="str">
        <f>$I$3</f>
        <v>m²</v>
      </c>
      <c r="B63" s="233"/>
      <c r="C63" s="233"/>
      <c r="D63" s="233"/>
      <c r="E63" s="233"/>
      <c r="F63" s="233"/>
      <c r="G63" s="21"/>
      <c r="H63" s="233"/>
      <c r="I63" s="205">
        <f>$H$3</f>
        <v>224</v>
      </c>
      <c r="J63" s="92"/>
      <c r="K63" s="92"/>
      <c r="L63" s="92"/>
    </row>
    <row r="64" ht="14.25" customHeight="1">
      <c r="A64" s="234" t="s">
        <v>997</v>
      </c>
      <c r="B64" s="232" t="str">
        <f>A63</f>
        <v>m²</v>
      </c>
      <c r="C64" s="233"/>
      <c r="D64" s="233"/>
      <c r="E64" s="233"/>
      <c r="F64" s="233"/>
      <c r="G64" s="21"/>
      <c r="H64" s="233"/>
      <c r="I64" s="235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01" t="s">
        <v>1025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02" t="s">
        <v>988</v>
      </c>
      <c r="B68" s="202" t="s">
        <v>989</v>
      </c>
      <c r="C68" s="202" t="s">
        <v>990</v>
      </c>
      <c r="D68" s="202" t="s">
        <v>991</v>
      </c>
      <c r="E68" s="202" t="s">
        <v>999</v>
      </c>
      <c r="F68" s="202" t="s">
        <v>992</v>
      </c>
      <c r="G68" s="4" t="s">
        <v>993</v>
      </c>
      <c r="H68" s="202" t="s">
        <v>994</v>
      </c>
      <c r="I68" s="202" t="s">
        <v>995</v>
      </c>
    </row>
    <row r="69" ht="14.25" customHeight="1">
      <c r="A69" s="204"/>
      <c r="B69" s="92" t="str">
        <f>IF($A69=0,"",VLOOKUP($A69,'00_Sub'!$A$4:$D$1007,2,FALSE))</f>
        <v/>
      </c>
      <c r="C69" s="92" t="str">
        <f>IF($A69=0,"",VLOOKUP($A69,'00_Sub'!$A$4:$D$1007,3,FALSE))</f>
        <v/>
      </c>
      <c r="D69" s="204"/>
      <c r="E69" s="204"/>
      <c r="F69" s="206"/>
      <c r="G69" s="221">
        <f t="shared" ref="G69:G74" si="7">ROUNDUP((D69+(D69*F69)),0)</f>
        <v>0</v>
      </c>
      <c r="H69" s="143" t="str">
        <f>IF($A69=0,"",VLOOKUP($A69,'00_Sub'!$A$4:$D$1007,4,FALSE))</f>
        <v/>
      </c>
      <c r="I69" s="143"/>
    </row>
    <row r="70" ht="14.25" customHeight="1">
      <c r="A70" s="204"/>
      <c r="B70" s="92" t="str">
        <f>IF($A70=0,"",VLOOKUP($A70,'00_Sub'!$A$4:$D$1007,2,FALSE))</f>
        <v/>
      </c>
      <c r="C70" s="92" t="str">
        <f>IF($A70=0,"",VLOOKUP($A70,'00_Sub'!$A$4:$D$1007,3,FALSE))</f>
        <v/>
      </c>
      <c r="D70" s="204"/>
      <c r="E70" s="204"/>
      <c r="F70" s="206"/>
      <c r="G70" s="221">
        <f t="shared" si="7"/>
        <v>0</v>
      </c>
      <c r="H70" s="143" t="str">
        <f>IF($A70=0,"",VLOOKUP($A70,'00_Sub'!$A$4:$D$1007,4,FALSE))</f>
        <v/>
      </c>
      <c r="I70" s="143"/>
    </row>
    <row r="71" ht="14.25" customHeight="1">
      <c r="A71" s="204"/>
      <c r="B71" s="92" t="str">
        <f>IF($A71=0,"",VLOOKUP($A71,'00_Sub'!$A$4:$D$1007,2,FALSE))</f>
        <v/>
      </c>
      <c r="C71" s="92" t="str">
        <f>IF($A71=0,"",VLOOKUP($A71,'00_Sub'!$A$4:$D$1007,3,FALSE))</f>
        <v/>
      </c>
      <c r="D71" s="204"/>
      <c r="E71" s="204"/>
      <c r="F71" s="206"/>
      <c r="G71" s="221">
        <f t="shared" si="7"/>
        <v>0</v>
      </c>
      <c r="H71" s="143" t="str">
        <f>IF($A71=0,"",VLOOKUP($A71,'00_Sub'!$A$4:$D$1007,4,FALSE))</f>
        <v/>
      </c>
      <c r="I71" s="143"/>
    </row>
    <row r="72" ht="14.25" customHeight="1">
      <c r="A72" s="204"/>
      <c r="B72" s="92" t="str">
        <f>IF($A72=0,"",VLOOKUP($A72,'00_Sub'!$A$4:$D$1007,2,FALSE))</f>
        <v/>
      </c>
      <c r="C72" s="92" t="str">
        <f>IF($A72=0,"",VLOOKUP($A72,'00_Sub'!$A$4:$D$1007,3,FALSE))</f>
        <v/>
      </c>
      <c r="D72" s="204"/>
      <c r="E72" s="204"/>
      <c r="F72" s="206"/>
      <c r="G72" s="221">
        <f t="shared" si="7"/>
        <v>0</v>
      </c>
      <c r="H72" s="143" t="str">
        <f>IF($A72=0,"",VLOOKUP($A72,'00_Sub'!$A$4:$D$1007,4,FALSE))</f>
        <v/>
      </c>
      <c r="I72" s="143"/>
    </row>
    <row r="73" ht="14.25" customHeight="1">
      <c r="A73" s="204"/>
      <c r="B73" s="92" t="str">
        <f>IF($A73=0,"",VLOOKUP($A73,'00_Sub'!$A$4:$D$1007,2,FALSE))</f>
        <v/>
      </c>
      <c r="C73" s="92" t="str">
        <f>IF($A73=0,"",VLOOKUP($A73,'00_Sub'!$A$4:$D$1007,3,FALSE))</f>
        <v/>
      </c>
      <c r="D73" s="204"/>
      <c r="E73" s="204"/>
      <c r="F73" s="206"/>
      <c r="G73" s="221">
        <f t="shared" si="7"/>
        <v>0</v>
      </c>
      <c r="H73" s="143" t="str">
        <f>IF($A73=0,"",VLOOKUP($A73,'00_Sub'!$A$4:$D$1007,4,FALSE))</f>
        <v/>
      </c>
      <c r="I73" s="143"/>
    </row>
    <row r="74" ht="14.25" customHeight="1">
      <c r="A74" s="204"/>
      <c r="B74" s="92" t="str">
        <f>IF($A74=0,"",VLOOKUP($A74,'00_Sub'!$A$4:$D$1007,2,FALSE))</f>
        <v/>
      </c>
      <c r="C74" s="92" t="str">
        <f>IF($A74=0,"",VLOOKUP($A74,'00_Sub'!$A$4:$D$1007,3,FALSE))</f>
        <v/>
      </c>
      <c r="D74" s="204"/>
      <c r="E74" s="204"/>
      <c r="F74" s="206"/>
      <c r="G74" s="221">
        <f t="shared" si="7"/>
        <v>0</v>
      </c>
      <c r="H74" s="143" t="str">
        <f>IF($A74=0,"",VLOOKUP($A74,'00_Sub'!$A$4:$D$1007,4,FALSE))</f>
        <v/>
      </c>
      <c r="I74" s="143"/>
    </row>
    <row r="75" ht="14.25" customHeight="1">
      <c r="F75" s="208"/>
      <c r="G75" s="3"/>
      <c r="H75" s="143"/>
      <c r="I75" s="143"/>
    </row>
    <row r="76" ht="14.25" customHeight="1">
      <c r="A76" s="222" t="s">
        <v>987</v>
      </c>
      <c r="B76" s="223"/>
      <c r="C76" s="223"/>
      <c r="D76" s="223"/>
      <c r="E76" s="223"/>
      <c r="F76" s="223"/>
      <c r="G76" s="211"/>
      <c r="H76" s="223"/>
      <c r="I76" s="224">
        <f>SUM(I69:I74)</f>
        <v>0</v>
      </c>
    </row>
    <row r="77" ht="14.25" customHeight="1">
      <c r="A77" s="232" t="str">
        <f>$I$3</f>
        <v>m²</v>
      </c>
      <c r="B77" s="233"/>
      <c r="C77" s="233"/>
      <c r="D77" s="233"/>
      <c r="E77" s="233"/>
      <c r="F77" s="233"/>
      <c r="G77" s="21"/>
      <c r="H77" s="233"/>
      <c r="I77" s="205">
        <f>$H$3</f>
        <v>224</v>
      </c>
      <c r="J77" s="92"/>
      <c r="K77" s="92"/>
      <c r="L77" s="92"/>
    </row>
    <row r="78" ht="14.25" customHeight="1">
      <c r="A78" s="234" t="s">
        <v>997</v>
      </c>
      <c r="B78" s="232" t="str">
        <f>A77</f>
        <v>m²</v>
      </c>
      <c r="C78" s="233"/>
      <c r="D78" s="233"/>
      <c r="E78" s="233"/>
      <c r="F78" s="233"/>
      <c r="G78" s="21"/>
      <c r="H78" s="233"/>
      <c r="I78" s="235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58.43"/>
    <col customWidth="1" min="3" max="3" width="8.14"/>
    <col customWidth="1" min="4" max="4" width="8.71"/>
    <col customWidth="1" min="5" max="5" width="6.57"/>
    <col customWidth="1" min="6" max="6" width="10.57"/>
    <col customWidth="1" min="7" max="7" width="12.71"/>
    <col customWidth="1" min="8" max="8" width="16.0"/>
    <col customWidth="1" min="9" max="9" width="15.86"/>
    <col customWidth="1" min="10" max="12" width="8.71"/>
  </cols>
  <sheetData>
    <row r="1" ht="33.75" customHeight="1">
      <c r="A1" s="91" t="str">
        <f>'01_C&amp;P'!A1</f>
        <v>EDIFICIO LAS HERAS</v>
      </c>
      <c r="B1" s="91"/>
      <c r="C1" s="91"/>
      <c r="G1" s="3"/>
    </row>
    <row r="2" ht="14.25" customHeight="1">
      <c r="G2" s="3"/>
    </row>
    <row r="3" ht="23.25" customHeight="1">
      <c r="A3" s="195">
        <f>'01_C&amp;P'!A45</f>
        <v>46205</v>
      </c>
      <c r="B3" s="196" t="str">
        <f>IF($A3=0,"",VLOOKUP($A3,'01_C&amp;P'!$A$9:$D$192,2,FALSE))</f>
        <v>REVOQUE INTERIOR. (GRUESO FRATAZADO)</v>
      </c>
      <c r="C3" s="197"/>
      <c r="D3" s="197"/>
      <c r="E3" s="197"/>
      <c r="F3" s="197"/>
      <c r="G3" s="198"/>
      <c r="H3" s="199">
        <f>IF($A3=0,"",VLOOKUP($A3,'01_C&amp;P'!$A$9:$D$192,4,FALSE))</f>
        <v>224</v>
      </c>
      <c r="I3" s="200" t="str">
        <f>IF($A3=0,"",VLOOKUP($A3,'01_C&amp;P'!$A$9:$D$192,3,FALSE))</f>
        <v>m²</v>
      </c>
    </row>
    <row r="4" ht="14.25" customHeight="1">
      <c r="G4" s="3"/>
    </row>
    <row r="5" ht="14.25" customHeight="1">
      <c r="A5" s="201" t="s">
        <v>0</v>
      </c>
      <c r="B5" s="94"/>
      <c r="C5" s="94"/>
      <c r="D5" s="94"/>
      <c r="E5" s="94"/>
      <c r="F5" s="94"/>
      <c r="G5" s="2"/>
      <c r="H5" s="94"/>
      <c r="I5" s="94"/>
    </row>
    <row r="6" ht="14.25" customHeight="1">
      <c r="A6" s="202" t="s">
        <v>988</v>
      </c>
      <c r="B6" s="202" t="s">
        <v>989</v>
      </c>
      <c r="C6" s="202" t="s">
        <v>990</v>
      </c>
      <c r="D6" s="203" t="s">
        <v>991</v>
      </c>
      <c r="E6" s="197"/>
      <c r="F6" s="202" t="s">
        <v>992</v>
      </c>
      <c r="G6" s="4" t="s">
        <v>993</v>
      </c>
      <c r="H6" s="202" t="s">
        <v>994</v>
      </c>
      <c r="I6" s="202" t="s">
        <v>995</v>
      </c>
    </row>
    <row r="7" ht="14.25" customHeight="1">
      <c r="A7" s="3" t="s">
        <v>54</v>
      </c>
      <c r="B7" s="3" t="str">
        <f>IF($A7=0,"",VLOOKUP($A7,'00_Mat'!$A$4:$J$1134,2,FALSE))</f>
        <v>Bolsa Yeso Tuyango 30 k (u)</v>
      </c>
      <c r="C7" s="3" t="str">
        <f>IF($A7=0,"",VLOOKUP($A7,'00_Mat'!$A$4:$J$1134,3,FALSE))</f>
        <v>u</v>
      </c>
      <c r="D7" s="250">
        <f>H3</f>
        <v>224</v>
      </c>
      <c r="E7" s="254"/>
      <c r="F7" s="257">
        <v>0.25</v>
      </c>
      <c r="G7" s="221">
        <f t="shared" ref="G7:G18" si="1">ROUNDUP((D7+(D7*F7)),0)</f>
        <v>280</v>
      </c>
      <c r="H7" s="143">
        <f>IF($A7=0,"",VLOOKUP($A7,'00_Mat'!$A$4:$J$1135,5,FALSE))</f>
        <v>15000</v>
      </c>
      <c r="I7" s="143">
        <f t="shared" ref="I7:I11" si="2">G7*H7</f>
        <v>4200000</v>
      </c>
    </row>
    <row r="8" ht="14.25" customHeight="1">
      <c r="A8" s="254"/>
      <c r="B8" s="3" t="str">
        <f>IF($A8=0,"",VLOOKUP($A8,'00_Mat'!$A$4:$J$1134,2,FALSE))</f>
        <v/>
      </c>
      <c r="C8" s="3" t="str">
        <f>IF($A8=0,"",VLOOKUP($A8,'00_Mat'!$A$4:$J$1134,3,FALSE))</f>
        <v/>
      </c>
      <c r="D8" s="250"/>
      <c r="E8" s="254"/>
      <c r="F8" s="259">
        <v>0.1</v>
      </c>
      <c r="G8" s="221">
        <f t="shared" si="1"/>
        <v>0</v>
      </c>
      <c r="H8" s="143" t="str">
        <f>IF($A8=0,"",VLOOKUP($A8,'00_Mat'!$A$4:$J$1135,5,FALSE))</f>
        <v/>
      </c>
      <c r="I8" s="143">
        <f t="shared" si="2"/>
        <v>0</v>
      </c>
    </row>
    <row r="9" ht="14.25" customHeight="1">
      <c r="A9" s="254"/>
      <c r="B9" s="3" t="str">
        <f>IF($A9=0,"",VLOOKUP($A9,'00_Mat'!$A$4:$J$1134,2,FALSE))</f>
        <v/>
      </c>
      <c r="C9" s="3" t="str">
        <f>IF($A9=0,"",VLOOKUP($A9,'00_Mat'!$A$4:$J$1134,3,FALSE))</f>
        <v/>
      </c>
      <c r="D9" s="250"/>
      <c r="E9" s="254"/>
      <c r="F9" s="259">
        <v>0.1</v>
      </c>
      <c r="G9" s="221">
        <f t="shared" si="1"/>
        <v>0</v>
      </c>
      <c r="H9" s="143" t="str">
        <f>IF($A9=0,"",VLOOKUP($A9,'00_Mat'!$A$4:$J$1135,5,FALSE))</f>
        <v/>
      </c>
      <c r="I9" s="143">
        <f t="shared" si="2"/>
        <v>0</v>
      </c>
    </row>
    <row r="10" ht="14.25" customHeight="1">
      <c r="A10" s="204"/>
      <c r="B10" s="92" t="str">
        <f>IF($A10=0,"",VLOOKUP($A10,'00_Mat'!$A$4:$J$1135,2,FALSE))</f>
        <v/>
      </c>
      <c r="C10" s="92" t="str">
        <f>IF($A10=0,"",VLOOKUP($A10,'00_Mat'!$A$4:$J$1135,3,FALSE))</f>
        <v/>
      </c>
      <c r="D10" s="205"/>
      <c r="E10" s="204"/>
      <c r="F10" s="206"/>
      <c r="G10" s="221">
        <f t="shared" si="1"/>
        <v>0</v>
      </c>
      <c r="H10" s="143" t="str">
        <f>IF($A10=0,"",VLOOKUP($A10,'00_Mat'!$A$4:$J$1135,5,FALSE))</f>
        <v/>
      </c>
      <c r="I10" s="143">
        <f t="shared" si="2"/>
        <v>0</v>
      </c>
    </row>
    <row r="11" ht="14.25" customHeight="1">
      <c r="A11" s="204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05"/>
      <c r="E11" s="204"/>
      <c r="F11" s="206"/>
      <c r="G11" s="221">
        <f t="shared" si="1"/>
        <v>0</v>
      </c>
      <c r="H11" s="143" t="str">
        <f>IF($A11=0,"",VLOOKUP($A11,'00_Mat'!$A$4:$J$1135,5,FALSE))</f>
        <v/>
      </c>
      <c r="I11" s="143">
        <f t="shared" si="2"/>
        <v>0</v>
      </c>
    </row>
    <row r="12" ht="14.25" customHeight="1">
      <c r="A12" s="204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04"/>
      <c r="E12" s="204"/>
      <c r="F12" s="206"/>
      <c r="G12" s="221">
        <f t="shared" si="1"/>
        <v>0</v>
      </c>
      <c r="H12" s="143" t="str">
        <f>IF($A12=0,"",VLOOKUP($A12,'00_Mat'!$A$4:$J$1135,5,FALSE))</f>
        <v/>
      </c>
      <c r="I12" s="143"/>
    </row>
    <row r="13" ht="14.25" customHeight="1">
      <c r="A13" s="204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04"/>
      <c r="E13" s="204"/>
      <c r="F13" s="206"/>
      <c r="G13" s="221">
        <f t="shared" si="1"/>
        <v>0</v>
      </c>
      <c r="H13" s="143" t="str">
        <f>IF($A13=0,"",VLOOKUP($A13,'00_Mat'!$A$4:$J$1135,5,FALSE))</f>
        <v/>
      </c>
      <c r="I13" s="143"/>
    </row>
    <row r="14" ht="14.25" customHeight="1">
      <c r="A14" s="204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04"/>
      <c r="E14" s="204"/>
      <c r="F14" s="206"/>
      <c r="G14" s="221">
        <f t="shared" si="1"/>
        <v>0</v>
      </c>
      <c r="H14" s="143" t="str">
        <f>IF($A14=0,"",VLOOKUP($A14,'00_Mat'!$A$4:$J$1135,5,FALSE))</f>
        <v/>
      </c>
      <c r="I14" s="143"/>
    </row>
    <row r="15" ht="14.25" customHeight="1">
      <c r="A15" s="204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04"/>
      <c r="E15" s="204"/>
      <c r="F15" s="206"/>
      <c r="G15" s="221">
        <f t="shared" si="1"/>
        <v>0</v>
      </c>
      <c r="H15" s="143" t="str">
        <f>IF($A15=0,"",VLOOKUP($A15,'00_Mat'!$A$4:$J$1135,5,FALSE))</f>
        <v/>
      </c>
      <c r="I15" s="143"/>
    </row>
    <row r="16" ht="14.25" customHeight="1">
      <c r="A16" s="204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04"/>
      <c r="E16" s="204"/>
      <c r="F16" s="206"/>
      <c r="G16" s="221">
        <f t="shared" si="1"/>
        <v>0</v>
      </c>
      <c r="H16" s="143" t="str">
        <f>IF($A16=0,"",VLOOKUP($A16,'00_Mat'!$A$4:$J$1135,5,FALSE))</f>
        <v/>
      </c>
      <c r="I16" s="143"/>
    </row>
    <row r="17" ht="14.25" customHeight="1">
      <c r="A17" s="204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04"/>
      <c r="E17" s="204"/>
      <c r="F17" s="206"/>
      <c r="G17" s="221">
        <f t="shared" si="1"/>
        <v>0</v>
      </c>
      <c r="H17" s="143" t="str">
        <f>IF($A17=0,"",VLOOKUP($A17,'00_Mat'!$A$4:$J$1135,5,FALSE))</f>
        <v/>
      </c>
      <c r="I17" s="143"/>
    </row>
    <row r="18" ht="14.25" customHeight="1">
      <c r="A18" s="204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04"/>
      <c r="E18" s="204"/>
      <c r="F18" s="206"/>
      <c r="G18" s="221">
        <f t="shared" si="1"/>
        <v>0</v>
      </c>
      <c r="H18" s="143" t="str">
        <f>IF($A18=0,"",VLOOKUP($A18,'00_Mat'!$A$4:$J$1135,5,FALSE))</f>
        <v/>
      </c>
      <c r="I18" s="143"/>
    </row>
    <row r="19" ht="14.25" customHeight="1">
      <c r="F19" s="208"/>
      <c r="G19" s="3"/>
      <c r="H19" s="143"/>
      <c r="I19" s="143"/>
    </row>
    <row r="20" ht="14.25" customHeight="1">
      <c r="A20" s="222" t="s">
        <v>996</v>
      </c>
      <c r="B20" s="223"/>
      <c r="C20" s="223"/>
      <c r="D20" s="223"/>
      <c r="E20" s="223"/>
      <c r="F20" s="223"/>
      <c r="G20" s="211"/>
      <c r="H20" s="223"/>
      <c r="I20" s="224">
        <f>SUM(I7:I18)</f>
        <v>4200000</v>
      </c>
      <c r="J20" s="92"/>
      <c r="K20" s="92"/>
      <c r="L20" s="92"/>
    </row>
    <row r="21" ht="14.25" customHeight="1">
      <c r="A21" s="232" t="str">
        <f>$I$3</f>
        <v>m²</v>
      </c>
      <c r="B21" s="233"/>
      <c r="C21" s="233"/>
      <c r="D21" s="233"/>
      <c r="E21" s="233"/>
      <c r="F21" s="233"/>
      <c r="G21" s="21"/>
      <c r="H21" s="233"/>
      <c r="I21" s="205">
        <f>$H$3</f>
        <v>224</v>
      </c>
      <c r="J21" s="92"/>
      <c r="K21" s="92"/>
      <c r="L21" s="92"/>
    </row>
    <row r="22" ht="14.25" customHeight="1">
      <c r="A22" s="234" t="s">
        <v>997</v>
      </c>
      <c r="B22" s="232" t="str">
        <f>A21</f>
        <v>m²</v>
      </c>
      <c r="C22" s="233"/>
      <c r="D22" s="233"/>
      <c r="E22" s="233"/>
      <c r="F22" s="233"/>
      <c r="G22" s="21"/>
      <c r="H22" s="233"/>
      <c r="I22" s="235">
        <f>I20/I21</f>
        <v>18750</v>
      </c>
      <c r="J22" s="92"/>
      <c r="K22" s="92"/>
      <c r="L22" s="92"/>
    </row>
    <row r="23" ht="14.25" customHeight="1">
      <c r="G23" s="3"/>
      <c r="I23" s="151"/>
    </row>
    <row r="24" ht="14.25" customHeight="1">
      <c r="G24" s="3"/>
    </row>
    <row r="25" ht="14.25" customHeight="1">
      <c r="A25" s="201" t="s">
        <v>998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02" t="s">
        <v>988</v>
      </c>
      <c r="B26" s="202" t="s">
        <v>989</v>
      </c>
      <c r="C26" s="202" t="s">
        <v>990</v>
      </c>
      <c r="D26" s="202" t="s">
        <v>991</v>
      </c>
      <c r="E26" s="202" t="s">
        <v>999</v>
      </c>
      <c r="F26" s="202" t="s">
        <v>992</v>
      </c>
      <c r="G26" s="4" t="s">
        <v>993</v>
      </c>
      <c r="H26" s="202" t="s">
        <v>994</v>
      </c>
      <c r="I26" s="202" t="s">
        <v>995</v>
      </c>
      <c r="K26" s="3"/>
    </row>
    <row r="27" ht="14.25" customHeight="1">
      <c r="A27" s="61" t="s">
        <v>621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29"/>
      <c r="E27" s="229">
        <f>K6/30</f>
        <v>0</v>
      </c>
      <c r="F27" s="236">
        <v>0.25</v>
      </c>
      <c r="G27" s="217">
        <f t="shared" ref="G27:G32" si="3">ROUNDUP(((D27*E27)*(1+F27)),0)</f>
        <v>0</v>
      </c>
      <c r="H27" s="143">
        <f>IF($A27=0,"",VLOOKUP($A27,'00_MO'!$A$4:$D$7,4,FALSE))</f>
        <v>120000</v>
      </c>
      <c r="I27" s="143">
        <f t="shared" ref="I27:I30" si="4">G27*H27</f>
        <v>0</v>
      </c>
    </row>
    <row r="28" ht="14.25" customHeight="1">
      <c r="A28" s="61" t="s">
        <v>623</v>
      </c>
      <c r="B28" s="92" t="str">
        <f>IF($A28=0,"",VLOOKUP($A28,'00_MO'!$A$4:$D$7,2,FALSE))</f>
        <v>Puntero</v>
      </c>
      <c r="C28" s="92" t="str">
        <f>IF($A28=0,"",VLOOKUP($A28,'00_MO'!$A$4:$D$7,3,FALSE))</f>
        <v>u</v>
      </c>
      <c r="D28" s="229"/>
      <c r="E28" s="229">
        <f>K6/30</f>
        <v>0</v>
      </c>
      <c r="F28" s="236">
        <v>0.25</v>
      </c>
      <c r="G28" s="217">
        <f t="shared" si="3"/>
        <v>0</v>
      </c>
      <c r="H28" s="143">
        <f>IF($A28=0,"",VLOOKUP($A28,'00_MO'!$A$4:$D$7,4,FALSE))</f>
        <v>105000</v>
      </c>
      <c r="I28" s="143">
        <f t="shared" si="4"/>
        <v>0</v>
      </c>
    </row>
    <row r="29" ht="14.25" customHeight="1">
      <c r="A29" s="61" t="s">
        <v>625</v>
      </c>
      <c r="B29" s="92" t="str">
        <f>IF($A29=0,"",VLOOKUP($A29,'00_MO'!$A$4:$D$7,2,FALSE))</f>
        <v>Oficial</v>
      </c>
      <c r="C29" s="92" t="str">
        <f>IF($A29=0,"",VLOOKUP($A29,'00_MO'!$A$4:$D$7,3,FALSE))</f>
        <v>u</v>
      </c>
      <c r="D29" s="229"/>
      <c r="E29" s="229">
        <f>K6/30</f>
        <v>0</v>
      </c>
      <c r="F29" s="236">
        <v>0.25</v>
      </c>
      <c r="G29" s="217">
        <f t="shared" si="3"/>
        <v>0</v>
      </c>
      <c r="H29" s="143">
        <f>IF($A29=0,"",VLOOKUP($A29,'00_MO'!$A$4:$D$7,4,FALSE))</f>
        <v>90000</v>
      </c>
      <c r="I29" s="143">
        <f t="shared" si="4"/>
        <v>0</v>
      </c>
    </row>
    <row r="30" ht="14.25" customHeight="1">
      <c r="A30" s="61" t="s">
        <v>627</v>
      </c>
      <c r="B30" s="92" t="str">
        <f>IF($A30=0,"",VLOOKUP($A30,'00_MO'!$A$4:$D$7,2,FALSE))</f>
        <v>Ayudante</v>
      </c>
      <c r="C30" s="92" t="str">
        <f>IF($A30=0,"",VLOOKUP($A30,'00_MO'!$A$4:$D$7,3,FALSE))</f>
        <v>u</v>
      </c>
      <c r="D30" s="229"/>
      <c r="E30" s="229">
        <f>K6/30</f>
        <v>0</v>
      </c>
      <c r="F30" s="236">
        <v>0.25</v>
      </c>
      <c r="G30" s="217">
        <f t="shared" si="3"/>
        <v>0</v>
      </c>
      <c r="H30" s="143">
        <f>IF($A30=0,"",VLOOKUP($A30,'00_MO'!$A$4:$D$7,4,FALSE))</f>
        <v>60000</v>
      </c>
      <c r="I30" s="143">
        <f t="shared" si="4"/>
        <v>0</v>
      </c>
    </row>
    <row r="31" ht="14.25" customHeight="1">
      <c r="A31" s="204"/>
      <c r="B31" s="92" t="str">
        <f>IF($A31=0,"",VLOOKUP($A31,'00_MO'!$A$4:$D$7,2,FALSE))</f>
        <v/>
      </c>
      <c r="C31" s="92" t="str">
        <f>IF($A31=0,"",VLOOKUP($A31,'00_MO'!$A$4:$D$7,3,FALSE))</f>
        <v/>
      </c>
      <c r="D31" s="204"/>
      <c r="E31" s="204"/>
      <c r="F31" s="206"/>
      <c r="G31" s="217">
        <f t="shared" si="3"/>
        <v>0</v>
      </c>
      <c r="H31" s="143" t="str">
        <f>IF($A31=0,"",VLOOKUP($A31,'00_MO'!$A$4:$D$7,4,FALSE))</f>
        <v/>
      </c>
      <c r="I31" s="143"/>
    </row>
    <row r="32" ht="14.25" customHeight="1">
      <c r="A32" s="204"/>
      <c r="B32" s="92" t="str">
        <f>IF($A32=0,"",VLOOKUP($A32,'00_MO'!$A$4:$D$7,2,FALSE))</f>
        <v/>
      </c>
      <c r="C32" s="92" t="str">
        <f>IF($A32=0,"",VLOOKUP($A32,'00_MO'!$A$4:$D$7,3,FALSE))</f>
        <v/>
      </c>
      <c r="D32" s="204"/>
      <c r="E32" s="204"/>
      <c r="F32" s="206"/>
      <c r="G32" s="217">
        <f t="shared" si="3"/>
        <v>0</v>
      </c>
      <c r="H32" s="143" t="str">
        <f>IF($A32=0,"",VLOOKUP($A32,'00_MO'!$A$4:$D$7,4,FALSE))</f>
        <v/>
      </c>
      <c r="I32" s="143"/>
    </row>
    <row r="33" ht="14.25" customHeight="1">
      <c r="F33" s="208"/>
      <c r="G33" s="3"/>
      <c r="H33" s="143"/>
      <c r="I33" s="143"/>
    </row>
    <row r="34" ht="14.25" customHeight="1">
      <c r="A34" s="222" t="s">
        <v>987</v>
      </c>
      <c r="B34" s="223"/>
      <c r="C34" s="223"/>
      <c r="D34" s="223"/>
      <c r="E34" s="223"/>
      <c r="F34" s="223"/>
      <c r="G34" s="211"/>
      <c r="H34" s="223"/>
      <c r="I34" s="224">
        <f>SUM(I27:I32)</f>
        <v>0</v>
      </c>
    </row>
    <row r="35" ht="14.25" customHeight="1">
      <c r="A35" s="232" t="str">
        <f>$I$3</f>
        <v>m²</v>
      </c>
      <c r="B35" s="233"/>
      <c r="C35" s="233"/>
      <c r="D35" s="233"/>
      <c r="E35" s="233"/>
      <c r="F35" s="233"/>
      <c r="G35" s="21"/>
      <c r="H35" s="233"/>
      <c r="I35" s="205">
        <f>$H$3</f>
        <v>224</v>
      </c>
      <c r="J35" s="92"/>
      <c r="K35" s="92"/>
      <c r="L35" s="92"/>
    </row>
    <row r="36" ht="14.25" customHeight="1">
      <c r="A36" s="234" t="s">
        <v>997</v>
      </c>
      <c r="B36" s="232" t="str">
        <f>A35</f>
        <v>m²</v>
      </c>
      <c r="C36" s="233"/>
      <c r="D36" s="233"/>
      <c r="E36" s="233"/>
      <c r="F36" s="233"/>
      <c r="G36" s="21"/>
      <c r="H36" s="233"/>
      <c r="I36" s="235">
        <f>I34/I35</f>
        <v>0</v>
      </c>
      <c r="J36" s="92"/>
      <c r="K36" s="92"/>
      <c r="L36" s="92"/>
    </row>
    <row r="37" ht="14.25" customHeight="1">
      <c r="G37" s="3"/>
      <c r="I37" s="151"/>
    </row>
    <row r="38" ht="14.25" customHeight="1">
      <c r="G38" s="3"/>
    </row>
    <row r="39" ht="14.25" customHeight="1">
      <c r="A39" s="201" t="s">
        <v>1000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02" t="s">
        <v>988</v>
      </c>
      <c r="B40" s="202" t="s">
        <v>989</v>
      </c>
      <c r="C40" s="202" t="s">
        <v>990</v>
      </c>
      <c r="D40" s="202" t="s">
        <v>991</v>
      </c>
      <c r="E40" s="202" t="s">
        <v>999</v>
      </c>
      <c r="F40" s="202" t="s">
        <v>992</v>
      </c>
      <c r="G40" s="4" t="s">
        <v>993</v>
      </c>
      <c r="H40" s="202" t="s">
        <v>994</v>
      </c>
      <c r="I40" s="202" t="s">
        <v>995</v>
      </c>
    </row>
    <row r="41" ht="14.25" customHeight="1">
      <c r="A41" s="204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04"/>
      <c r="E41" s="204"/>
      <c r="F41" s="206"/>
      <c r="G41" s="217">
        <f t="shared" ref="G41:G46" si="5">ROUNDUP(((D41*E41)*(1+F41)),0)</f>
        <v>0</v>
      </c>
      <c r="H41" s="143" t="str">
        <f>IF($A41=0,"",VLOOKUP($A41,'00_Eq'!$A$4:$D$100,4,FALSE))</f>
        <v/>
      </c>
      <c r="I41" s="143"/>
    </row>
    <row r="42" ht="14.25" customHeight="1">
      <c r="A42" s="204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04"/>
      <c r="E42" s="204"/>
      <c r="F42" s="206"/>
      <c r="G42" s="217">
        <f t="shared" si="5"/>
        <v>0</v>
      </c>
      <c r="H42" s="143" t="str">
        <f>IF($A42=0,"",VLOOKUP($A42,'00_Eq'!$A$4:$D$100,4,FALSE))</f>
        <v/>
      </c>
      <c r="I42" s="143"/>
    </row>
    <row r="43" ht="14.25" customHeight="1">
      <c r="A43" s="204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04"/>
      <c r="E43" s="204"/>
      <c r="F43" s="206"/>
      <c r="G43" s="217">
        <f t="shared" si="5"/>
        <v>0</v>
      </c>
      <c r="H43" s="143" t="str">
        <f>IF($A43=0,"",VLOOKUP($A43,'00_Eq'!$A$4:$D$100,4,FALSE))</f>
        <v/>
      </c>
      <c r="I43" s="143"/>
    </row>
    <row r="44" ht="14.25" customHeight="1">
      <c r="A44" s="204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04"/>
      <c r="E44" s="204"/>
      <c r="F44" s="206"/>
      <c r="G44" s="217">
        <f t="shared" si="5"/>
        <v>0</v>
      </c>
      <c r="H44" s="143" t="str">
        <f>IF($A44=0,"",VLOOKUP($A44,'00_Eq'!$A$4:$D$100,4,FALSE))</f>
        <v/>
      </c>
      <c r="I44" s="143"/>
    </row>
    <row r="45" ht="14.25" customHeight="1">
      <c r="A45" s="204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04"/>
      <c r="E45" s="204"/>
      <c r="F45" s="206"/>
      <c r="G45" s="217">
        <f t="shared" si="5"/>
        <v>0</v>
      </c>
      <c r="H45" s="143" t="str">
        <f>IF($A45=0,"",VLOOKUP($A45,'00_Eq'!$A$4:$D$100,4,FALSE))</f>
        <v/>
      </c>
      <c r="I45" s="143"/>
    </row>
    <row r="46" ht="14.25" customHeight="1">
      <c r="A46" s="204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04"/>
      <c r="E46" s="204"/>
      <c r="F46" s="206"/>
      <c r="G46" s="217">
        <f t="shared" si="5"/>
        <v>0</v>
      </c>
      <c r="H46" s="143" t="str">
        <f>IF($A46=0,"",VLOOKUP($A46,'00_Eq'!$A$4:$D$100,4,FALSE))</f>
        <v/>
      </c>
      <c r="I46" s="143"/>
    </row>
    <row r="47" ht="14.25" customHeight="1">
      <c r="F47" s="208"/>
      <c r="G47" s="3"/>
      <c r="H47" s="143"/>
      <c r="I47" s="143"/>
    </row>
    <row r="48" ht="14.25" customHeight="1">
      <c r="A48" s="222" t="s">
        <v>987</v>
      </c>
      <c r="B48" s="223"/>
      <c r="C48" s="223"/>
      <c r="D48" s="223"/>
      <c r="E48" s="223"/>
      <c r="F48" s="223"/>
      <c r="G48" s="211"/>
      <c r="H48" s="223"/>
      <c r="I48" s="224">
        <f>SUM(I41:I46)</f>
        <v>0</v>
      </c>
    </row>
    <row r="49" ht="14.25" customHeight="1">
      <c r="A49" s="232" t="str">
        <f>$I$3</f>
        <v>m²</v>
      </c>
      <c r="B49" s="233"/>
      <c r="C49" s="233"/>
      <c r="D49" s="233"/>
      <c r="E49" s="233"/>
      <c r="F49" s="233"/>
      <c r="G49" s="21"/>
      <c r="H49" s="233"/>
      <c r="I49" s="205">
        <f>$H$3</f>
        <v>224</v>
      </c>
      <c r="J49" s="92"/>
      <c r="K49" s="92"/>
      <c r="L49" s="92"/>
    </row>
    <row r="50" ht="14.25" customHeight="1">
      <c r="A50" s="234" t="s">
        <v>997</v>
      </c>
      <c r="B50" s="232" t="str">
        <f>A49</f>
        <v>m²</v>
      </c>
      <c r="C50" s="233"/>
      <c r="D50" s="233"/>
      <c r="E50" s="233"/>
      <c r="F50" s="233"/>
      <c r="G50" s="21"/>
      <c r="H50" s="233"/>
      <c r="I50" s="235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01" t="s">
        <v>1010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02" t="s">
        <v>988</v>
      </c>
      <c r="B54" s="202" t="s">
        <v>989</v>
      </c>
      <c r="C54" s="202" t="s">
        <v>990</v>
      </c>
      <c r="D54" s="202" t="s">
        <v>991</v>
      </c>
      <c r="E54" s="202"/>
      <c r="F54" s="202" t="s">
        <v>992</v>
      </c>
      <c r="G54" s="4" t="s">
        <v>993</v>
      </c>
      <c r="H54" s="202" t="s">
        <v>994</v>
      </c>
      <c r="I54" s="202" t="s">
        <v>995</v>
      </c>
    </row>
    <row r="55" ht="14.25" customHeight="1">
      <c r="A55" s="204"/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05"/>
      <c r="E55" s="204"/>
      <c r="F55" s="206"/>
      <c r="G55" s="221">
        <f t="shared" ref="G55:G60" si="6">ROUNDUP((D55+(D55*F55)),0)</f>
        <v>0</v>
      </c>
      <c r="H55" s="143" t="str">
        <f>IF($A55=0,"",VLOOKUP($A55,'00_Mat'!$A$4:$J$1135,5,FALSE))</f>
        <v/>
      </c>
      <c r="I55" s="143"/>
    </row>
    <row r="56" ht="14.25" customHeight="1">
      <c r="A56" s="204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05"/>
      <c r="E56" s="204"/>
      <c r="F56" s="206"/>
      <c r="G56" s="221">
        <f t="shared" si="6"/>
        <v>0</v>
      </c>
      <c r="H56" s="143" t="str">
        <f>IF($A56=0,"",VLOOKUP($A56,'00_Mat'!$A$4:$J$1135,5,FALSE))</f>
        <v/>
      </c>
      <c r="I56" s="143"/>
    </row>
    <row r="57" ht="14.25" customHeight="1">
      <c r="A57" s="204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05"/>
      <c r="E57" s="204"/>
      <c r="F57" s="206"/>
      <c r="G57" s="221">
        <f t="shared" si="6"/>
        <v>0</v>
      </c>
      <c r="H57" s="143" t="str">
        <f>IF($A57=0,"",VLOOKUP($A57,'00_Mat'!$A$4:$J$1135,5,FALSE))</f>
        <v/>
      </c>
      <c r="I57" s="143"/>
    </row>
    <row r="58" ht="14.25" customHeight="1">
      <c r="A58" s="204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05"/>
      <c r="E58" s="204"/>
      <c r="F58" s="206"/>
      <c r="G58" s="221">
        <f t="shared" si="6"/>
        <v>0</v>
      </c>
      <c r="H58" s="143" t="str">
        <f>IF($A58=0,"",VLOOKUP($A58,'00_Mat'!$A$4:$J$1135,5,FALSE))</f>
        <v/>
      </c>
      <c r="I58" s="143"/>
    </row>
    <row r="59" ht="14.25" customHeight="1">
      <c r="A59" s="204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05"/>
      <c r="E59" s="204"/>
      <c r="F59" s="206"/>
      <c r="G59" s="221">
        <f t="shared" si="6"/>
        <v>0</v>
      </c>
      <c r="H59" s="143" t="str">
        <f>IF($A59=0,"",VLOOKUP($A59,'00_Mat'!$A$4:$J$1135,5,FALSE))</f>
        <v/>
      </c>
      <c r="I59" s="143"/>
    </row>
    <row r="60" ht="14.25" customHeight="1">
      <c r="A60" s="204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05"/>
      <c r="E60" s="204"/>
      <c r="F60" s="206"/>
      <c r="G60" s="221">
        <f t="shared" si="6"/>
        <v>0</v>
      </c>
      <c r="H60" s="143" t="str">
        <f>IF($A60=0,"",VLOOKUP($A60,'00_Mat'!$A$4:$J$1135,5,FALSE))</f>
        <v/>
      </c>
      <c r="I60" s="143"/>
    </row>
    <row r="61" ht="14.25" customHeight="1">
      <c r="F61" s="208"/>
      <c r="G61" s="3"/>
      <c r="H61" s="143"/>
      <c r="I61" s="143"/>
    </row>
    <row r="62" ht="14.25" customHeight="1">
      <c r="A62" s="222" t="s">
        <v>987</v>
      </c>
      <c r="B62" s="223"/>
      <c r="C62" s="223"/>
      <c r="D62" s="223"/>
      <c r="E62" s="223"/>
      <c r="F62" s="223"/>
      <c r="G62" s="211"/>
      <c r="H62" s="223"/>
      <c r="I62" s="224">
        <f>SUM(I55:I60)</f>
        <v>0</v>
      </c>
    </row>
    <row r="63" ht="14.25" customHeight="1">
      <c r="A63" s="232" t="str">
        <f>$I$3</f>
        <v>m²</v>
      </c>
      <c r="B63" s="233"/>
      <c r="C63" s="233"/>
      <c r="D63" s="233"/>
      <c r="E63" s="233"/>
      <c r="F63" s="233"/>
      <c r="G63" s="21"/>
      <c r="H63" s="233"/>
      <c r="I63" s="205">
        <f>$H$3</f>
        <v>224</v>
      </c>
      <c r="J63" s="92"/>
      <c r="K63" s="92"/>
      <c r="L63" s="92"/>
    </row>
    <row r="64" ht="14.25" customHeight="1">
      <c r="A64" s="234" t="s">
        <v>997</v>
      </c>
      <c r="B64" s="232" t="str">
        <f>A63</f>
        <v>m²</v>
      </c>
      <c r="C64" s="233"/>
      <c r="D64" s="233"/>
      <c r="E64" s="233"/>
      <c r="F64" s="233"/>
      <c r="G64" s="21"/>
      <c r="H64" s="233"/>
      <c r="I64" s="235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01" t="s">
        <v>1025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02" t="s">
        <v>988</v>
      </c>
      <c r="B68" s="202" t="s">
        <v>989</v>
      </c>
      <c r="C68" s="202" t="s">
        <v>990</v>
      </c>
      <c r="D68" s="202" t="s">
        <v>991</v>
      </c>
      <c r="E68" s="202" t="s">
        <v>999</v>
      </c>
      <c r="F68" s="202" t="s">
        <v>992</v>
      </c>
      <c r="G68" s="4" t="s">
        <v>993</v>
      </c>
      <c r="H68" s="202" t="s">
        <v>994</v>
      </c>
      <c r="I68" s="202" t="s">
        <v>995</v>
      </c>
    </row>
    <row r="69" ht="14.25" customHeight="1">
      <c r="A69" s="229" t="s">
        <v>798</v>
      </c>
      <c r="B69" s="92" t="str">
        <f>IF($A69=0,"",VLOOKUP($A69,'00_Sub'!$A$4:$D$1007,2,FALSE))</f>
        <v>YESO APLICADO EN PARED</v>
      </c>
      <c r="C69" s="92" t="str">
        <f>IF($A69=0,"",VLOOKUP($A69,'00_Sub'!$A$4:$D$1007,3,FALSE))</f>
        <v>m2</v>
      </c>
      <c r="D69" s="205">
        <f>H3</f>
        <v>224</v>
      </c>
      <c r="E69" s="204"/>
      <c r="F69" s="236">
        <v>0.25</v>
      </c>
      <c r="G69" s="221">
        <f t="shared" ref="G69:G74" si="7">ROUNDUP((D69+(D69*F69)),0)</f>
        <v>280</v>
      </c>
      <c r="H69" s="143">
        <f>IF($A69=0,"",VLOOKUP($A69,'00_Sub'!$A$4:$D$1007,4,FALSE))</f>
        <v>10000</v>
      </c>
      <c r="I69" s="143">
        <f t="shared" ref="I69:I70" si="8">G69*H69</f>
        <v>2800000</v>
      </c>
    </row>
    <row r="70" ht="14.25" customHeight="1">
      <c r="A70" s="20" t="s">
        <v>808</v>
      </c>
      <c r="B70" s="92" t="str">
        <f>IF($A70=0,"",VLOOKUP($A70,'00_Sub'!$A$4:$D$1007,2,FALSE))</f>
        <v>YESO APLICADO - ARISTA Y CANTONERA (x metro lineal)</v>
      </c>
      <c r="C70" s="92" t="str">
        <f>IF($A70=0,"",VLOOKUP($A70,'00_Sub'!$A$4:$D$1007,3,FALSE))</f>
        <v>m</v>
      </c>
      <c r="D70" s="204">
        <f>4*30</f>
        <v>120</v>
      </c>
      <c r="E70" s="204"/>
      <c r="F70" s="206"/>
      <c r="G70" s="221">
        <f t="shared" si="7"/>
        <v>120</v>
      </c>
      <c r="H70" s="143">
        <f>IF($A70=0,"",VLOOKUP($A70,'00_Sub'!$A$4:$D$1007,4,FALSE))</f>
        <v>8000</v>
      </c>
      <c r="I70" s="143">
        <f t="shared" si="8"/>
        <v>960000</v>
      </c>
    </row>
    <row r="71" ht="14.25" customHeight="1">
      <c r="A71" s="204"/>
      <c r="B71" s="92" t="str">
        <f>IF($A71=0,"",VLOOKUP($A71,'00_Sub'!$A$4:$D$1007,2,FALSE))</f>
        <v/>
      </c>
      <c r="C71" s="92" t="str">
        <f>IF($A71=0,"",VLOOKUP($A71,'00_Sub'!$A$4:$D$1007,3,FALSE))</f>
        <v/>
      </c>
      <c r="D71" s="204"/>
      <c r="E71" s="204"/>
      <c r="F71" s="206"/>
      <c r="G71" s="221">
        <f t="shared" si="7"/>
        <v>0</v>
      </c>
      <c r="H71" s="143" t="str">
        <f>IF($A71=0,"",VLOOKUP($A71,'00_Sub'!$A$4:$D$1007,4,FALSE))</f>
        <v/>
      </c>
      <c r="I71" s="143"/>
    </row>
    <row r="72" ht="14.25" customHeight="1">
      <c r="A72" s="204"/>
      <c r="B72" s="92" t="str">
        <f>IF($A72=0,"",VLOOKUP($A72,'00_Sub'!$A$4:$D$1007,2,FALSE))</f>
        <v/>
      </c>
      <c r="C72" s="92" t="str">
        <f>IF($A72=0,"",VLOOKUP($A72,'00_Sub'!$A$4:$D$1007,3,FALSE))</f>
        <v/>
      </c>
      <c r="D72" s="204"/>
      <c r="E72" s="204"/>
      <c r="F72" s="206"/>
      <c r="G72" s="221">
        <f t="shared" si="7"/>
        <v>0</v>
      </c>
      <c r="H72" s="143" t="str">
        <f>IF($A72=0,"",VLOOKUP($A72,'00_Sub'!$A$4:$D$1007,4,FALSE))</f>
        <v/>
      </c>
      <c r="I72" s="143"/>
    </row>
    <row r="73" ht="14.25" customHeight="1">
      <c r="A73" s="204"/>
      <c r="B73" s="92" t="str">
        <f>IF($A73=0,"",VLOOKUP($A73,'00_Sub'!$A$4:$D$1007,2,FALSE))</f>
        <v/>
      </c>
      <c r="C73" s="92" t="str">
        <f>IF($A73=0,"",VLOOKUP($A73,'00_Sub'!$A$4:$D$1007,3,FALSE))</f>
        <v/>
      </c>
      <c r="D73" s="204"/>
      <c r="E73" s="204"/>
      <c r="F73" s="206"/>
      <c r="G73" s="221">
        <f t="shared" si="7"/>
        <v>0</v>
      </c>
      <c r="H73" s="143" t="str">
        <f>IF($A73=0,"",VLOOKUP($A73,'00_Sub'!$A$4:$D$1007,4,FALSE))</f>
        <v/>
      </c>
      <c r="I73" s="143"/>
    </row>
    <row r="74" ht="14.25" customHeight="1">
      <c r="A74" s="204"/>
      <c r="B74" s="92" t="str">
        <f>IF($A74=0,"",VLOOKUP($A74,'00_Sub'!$A$4:$D$1007,2,FALSE))</f>
        <v/>
      </c>
      <c r="C74" s="92" t="str">
        <f>IF($A74=0,"",VLOOKUP($A74,'00_Sub'!$A$4:$D$1007,3,FALSE))</f>
        <v/>
      </c>
      <c r="D74" s="204"/>
      <c r="E74" s="204"/>
      <c r="F74" s="206"/>
      <c r="G74" s="221">
        <f t="shared" si="7"/>
        <v>0</v>
      </c>
      <c r="H74" s="143" t="str">
        <f>IF($A74=0,"",VLOOKUP($A74,'00_Sub'!$A$4:$D$1007,4,FALSE))</f>
        <v/>
      </c>
      <c r="I74" s="143"/>
    </row>
    <row r="75" ht="14.25" customHeight="1">
      <c r="F75" s="208"/>
      <c r="G75" s="3"/>
      <c r="H75" s="143"/>
      <c r="I75" s="143"/>
    </row>
    <row r="76" ht="14.25" customHeight="1">
      <c r="A76" s="222" t="s">
        <v>987</v>
      </c>
      <c r="B76" s="223"/>
      <c r="C76" s="223"/>
      <c r="D76" s="223"/>
      <c r="E76" s="223"/>
      <c r="F76" s="223"/>
      <c r="G76" s="211"/>
      <c r="H76" s="223"/>
      <c r="I76" s="224">
        <f>SUM(I69:I74)</f>
        <v>3760000</v>
      </c>
    </row>
    <row r="77" ht="14.25" customHeight="1">
      <c r="A77" s="232" t="str">
        <f>$I$3</f>
        <v>m²</v>
      </c>
      <c r="B77" s="233"/>
      <c r="C77" s="233"/>
      <c r="D77" s="233"/>
      <c r="E77" s="233"/>
      <c r="F77" s="233"/>
      <c r="G77" s="21"/>
      <c r="H77" s="233"/>
      <c r="I77" s="205">
        <f>$H$3</f>
        <v>224</v>
      </c>
      <c r="J77" s="92"/>
      <c r="K77" s="92"/>
      <c r="L77" s="92"/>
    </row>
    <row r="78" ht="14.25" customHeight="1">
      <c r="A78" s="234" t="s">
        <v>997</v>
      </c>
      <c r="B78" s="232" t="str">
        <f>A77</f>
        <v>m²</v>
      </c>
      <c r="C78" s="233"/>
      <c r="D78" s="233"/>
      <c r="E78" s="233"/>
      <c r="F78" s="233"/>
      <c r="G78" s="21"/>
      <c r="H78" s="233"/>
      <c r="I78" s="235">
        <f>I76/I77</f>
        <v>16785.71429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86"/>
    <col customWidth="1" min="10" max="12" width="8.71"/>
  </cols>
  <sheetData>
    <row r="1" ht="33.75" customHeight="1">
      <c r="A1" s="91" t="str">
        <f>'01_C&amp;P'!A1</f>
        <v>EDIFICIO LAS HERAS</v>
      </c>
      <c r="B1" s="91"/>
      <c r="C1" s="91"/>
      <c r="G1" s="3"/>
    </row>
    <row r="2" ht="14.25" customHeight="1">
      <c r="G2" s="3"/>
    </row>
    <row r="3" ht="23.25" customHeight="1">
      <c r="A3" s="195">
        <f>'01_C&amp;P'!A46</f>
        <v>46236</v>
      </c>
      <c r="B3" s="196" t="str">
        <f>IF($A3=0,"",VLOOKUP($A3,'01_C&amp;P'!$A$9:$D$192,2,FALSE))</f>
        <v>REVOQUE EXTERIOR (GRUESO FRATAZADO) CON HIDROFUGO.</v>
      </c>
      <c r="C3" s="197"/>
      <c r="D3" s="197"/>
      <c r="E3" s="197"/>
      <c r="F3" s="197"/>
      <c r="G3" s="198"/>
      <c r="H3" s="199">
        <f>IF($A3=0,"",VLOOKUP($A3,'01_C&amp;P'!$A$9:$D$192,4,FALSE))</f>
        <v>456</v>
      </c>
      <c r="I3" s="200" t="str">
        <f>IF($A3=0,"",VLOOKUP($A3,'01_C&amp;P'!$A$9:$D$192,3,FALSE))</f>
        <v>m²</v>
      </c>
    </row>
    <row r="4" ht="14.25" customHeight="1">
      <c r="G4" s="3"/>
    </row>
    <row r="5" ht="14.25" customHeight="1">
      <c r="A5" s="201" t="s">
        <v>0</v>
      </c>
      <c r="B5" s="94"/>
      <c r="C5" s="94"/>
      <c r="D5" s="94"/>
      <c r="E5" s="94"/>
      <c r="F5" s="94"/>
      <c r="G5" s="2"/>
      <c r="H5" s="94"/>
      <c r="I5" s="94"/>
      <c r="L5" s="153" t="s">
        <v>48</v>
      </c>
    </row>
    <row r="6" ht="14.25" customHeight="1">
      <c r="A6" s="202" t="s">
        <v>988</v>
      </c>
      <c r="B6" s="202" t="s">
        <v>989</v>
      </c>
      <c r="C6" s="202" t="s">
        <v>990</v>
      </c>
      <c r="D6" s="203" t="s">
        <v>991</v>
      </c>
      <c r="E6" s="197"/>
      <c r="F6" s="202" t="s">
        <v>992</v>
      </c>
      <c r="G6" s="4" t="s">
        <v>993</v>
      </c>
      <c r="H6" s="202" t="s">
        <v>994</v>
      </c>
      <c r="I6" s="202" t="s">
        <v>995</v>
      </c>
      <c r="L6" s="153">
        <v>456.0</v>
      </c>
    </row>
    <row r="7" ht="14.25" customHeight="1">
      <c r="A7" s="254" t="s">
        <v>11</v>
      </c>
      <c r="B7" s="3" t="str">
        <f>IF($A7=0,"",VLOOKUP($A7,'00_Mat'!$A$4:$J$1134,2,FALSE))</f>
        <v>Bolson de Arena (1m3) </v>
      </c>
      <c r="C7" s="3" t="str">
        <f>IF($A7=0,"",VLOOKUP($A7,'00_Mat'!$A$4:$J$1134,3,FALSE))</f>
        <v>m3</v>
      </c>
      <c r="D7" s="256">
        <f>L6*(0.017+0.006)</f>
        <v>10.488</v>
      </c>
      <c r="E7" s="254"/>
      <c r="F7" s="259">
        <v>0.1</v>
      </c>
      <c r="G7" s="221">
        <f t="shared" ref="G7:G10" si="1">ROUNDUP((D7+(D7*F7)),0)</f>
        <v>12</v>
      </c>
      <c r="H7" s="14">
        <f>IF($A7=0,"",VLOOKUP($A7,'00_Mat'!$A$4:$J$1134,5,FALSE))</f>
        <v>33470</v>
      </c>
      <c r="I7" s="14">
        <f t="shared" ref="I7:I10" si="2">G7*H7</f>
        <v>401640</v>
      </c>
      <c r="J7" s="10"/>
    </row>
    <row r="8" ht="14.25" customHeight="1">
      <c r="A8" s="254" t="s">
        <v>19</v>
      </c>
      <c r="B8" s="3" t="str">
        <f>IF($A8=0,"",VLOOKUP($A8,'00_Mat'!$A$4:$J$1134,2,FALSE))</f>
        <v>Bolsa Cemento "Loma Negra" 25 k (u)</v>
      </c>
      <c r="C8" s="3" t="str">
        <f>IF($A8=0,"",VLOOKUP($A8,'00_Mat'!$A$4:$J$1134,3,FALSE))</f>
        <v>u</v>
      </c>
      <c r="D8" s="256">
        <f>(L6*(1.85+0.45)/25)</f>
        <v>41.952</v>
      </c>
      <c r="E8" s="254"/>
      <c r="F8" s="259">
        <v>0.1</v>
      </c>
      <c r="G8" s="221">
        <f t="shared" si="1"/>
        <v>47</v>
      </c>
      <c r="H8" s="14">
        <f>IF($A8=0,"",VLOOKUP($A8,'00_Mat'!$A$4:$J$1134,5,FALSE))</f>
        <v>7000</v>
      </c>
      <c r="I8" s="14">
        <f t="shared" si="2"/>
        <v>329000</v>
      </c>
      <c r="J8" s="260"/>
    </row>
    <row r="9" ht="14.25" customHeight="1">
      <c r="A9" s="254" t="s">
        <v>25</v>
      </c>
      <c r="B9" s="3" t="str">
        <f>IF($A9=0,"",VLOOKUP($A9,'00_Mat'!$A$4:$J$1134,2,FALSE))</f>
        <v>Bolsa Cal "Cacique" 25 k (u)</v>
      </c>
      <c r="C9" s="3" t="str">
        <f>IF($A9=0,"",VLOOKUP($A9,'00_Mat'!$A$4:$J$1134,3,FALSE))</f>
        <v>u</v>
      </c>
      <c r="D9" s="256">
        <f>(L6*(3.53+1.6)/25)</f>
        <v>93.5712</v>
      </c>
      <c r="E9" s="254"/>
      <c r="F9" s="259">
        <v>0.1</v>
      </c>
      <c r="G9" s="221">
        <f t="shared" si="1"/>
        <v>103</v>
      </c>
      <c r="H9" s="14">
        <f>IF($A9=0,"",VLOOKUP($A9,'00_Mat'!$A$4:$J$1134,5,FALSE))</f>
        <v>5371.900826</v>
      </c>
      <c r="I9" s="14">
        <f t="shared" si="2"/>
        <v>553305.7851</v>
      </c>
      <c r="J9" s="260"/>
    </row>
    <row r="10" ht="14.25" customHeight="1">
      <c r="A10" s="254" t="s">
        <v>29</v>
      </c>
      <c r="B10" s="3" t="str">
        <f>IF($A10=0,"",VLOOKUP($A10,'00_Mat'!$A$4:$J$1134,2,FALSE))</f>
        <v>Ceresita 20 k (u)</v>
      </c>
      <c r="C10" s="3" t="str">
        <f>IF($A10=0,"",VLOOKUP($A10,'00_Mat'!$A$4:$J$1134,3,FALSE))</f>
        <v>u</v>
      </c>
      <c r="D10" s="256">
        <f>(0.4*L6)/20</f>
        <v>9.12</v>
      </c>
      <c r="E10" s="254"/>
      <c r="F10" s="259">
        <v>0.1</v>
      </c>
      <c r="G10" s="221">
        <f t="shared" si="1"/>
        <v>11</v>
      </c>
      <c r="H10" s="14">
        <f>IF($A10=0,"",VLOOKUP($A10,'00_Mat'!$A$4:$J$1134,5,FALSE))</f>
        <v>37190.08264</v>
      </c>
      <c r="I10" s="14">
        <f t="shared" si="2"/>
        <v>409090.9091</v>
      </c>
      <c r="J10" s="260" t="s">
        <v>1063</v>
      </c>
    </row>
    <row r="11" ht="14.25" customHeight="1">
      <c r="A11" s="204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04"/>
      <c r="E11" s="204"/>
      <c r="F11" s="206"/>
      <c r="G11" s="221">
        <f t="shared" ref="G11:G18" si="3">ROUNDUP((D11+(D11*F11)),0)</f>
        <v>0</v>
      </c>
      <c r="H11" s="143" t="str">
        <f>IF($A11=0,"",VLOOKUP($A11,'00_Mat'!$A$4:$J$1135,5,FALSE))</f>
        <v/>
      </c>
      <c r="I11" s="143"/>
    </row>
    <row r="12" ht="14.25" customHeight="1">
      <c r="A12" s="204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04"/>
      <c r="E12" s="204"/>
      <c r="F12" s="206"/>
      <c r="G12" s="221">
        <f t="shared" si="3"/>
        <v>0</v>
      </c>
      <c r="H12" s="143" t="str">
        <f>IF($A12=0,"",VLOOKUP($A12,'00_Mat'!$A$4:$J$1135,5,FALSE))</f>
        <v/>
      </c>
      <c r="I12" s="143"/>
    </row>
    <row r="13" ht="14.25" customHeight="1">
      <c r="A13" s="204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04"/>
      <c r="E13" s="204"/>
      <c r="F13" s="206"/>
      <c r="G13" s="221">
        <f t="shared" si="3"/>
        <v>0</v>
      </c>
      <c r="H13" s="143" t="str">
        <f>IF($A13=0,"",VLOOKUP($A13,'00_Mat'!$A$4:$J$1135,5,FALSE))</f>
        <v/>
      </c>
      <c r="I13" s="143"/>
    </row>
    <row r="14" ht="14.25" customHeight="1">
      <c r="A14" s="204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04"/>
      <c r="E14" s="204"/>
      <c r="F14" s="206"/>
      <c r="G14" s="221">
        <f t="shared" si="3"/>
        <v>0</v>
      </c>
      <c r="H14" s="143" t="str">
        <f>IF($A14=0,"",VLOOKUP($A14,'00_Mat'!$A$4:$J$1135,5,FALSE))</f>
        <v/>
      </c>
      <c r="I14" s="143"/>
    </row>
    <row r="15" ht="14.25" customHeight="1">
      <c r="A15" s="204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04"/>
      <c r="E15" s="204"/>
      <c r="F15" s="206"/>
      <c r="G15" s="221">
        <f t="shared" si="3"/>
        <v>0</v>
      </c>
      <c r="H15" s="143" t="str">
        <f>IF($A15=0,"",VLOOKUP($A15,'00_Mat'!$A$4:$J$1135,5,FALSE))</f>
        <v/>
      </c>
      <c r="I15" s="143"/>
    </row>
    <row r="16" ht="14.25" customHeight="1">
      <c r="A16" s="204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04"/>
      <c r="E16" s="204"/>
      <c r="F16" s="206"/>
      <c r="G16" s="221">
        <f t="shared" si="3"/>
        <v>0</v>
      </c>
      <c r="H16" s="143" t="str">
        <f>IF($A16=0,"",VLOOKUP($A16,'00_Mat'!$A$4:$J$1135,5,FALSE))</f>
        <v/>
      </c>
      <c r="I16" s="143"/>
    </row>
    <row r="17" ht="14.25" customHeight="1">
      <c r="A17" s="204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04"/>
      <c r="E17" s="204"/>
      <c r="F17" s="206"/>
      <c r="G17" s="221">
        <f t="shared" si="3"/>
        <v>0</v>
      </c>
      <c r="H17" s="143" t="str">
        <f>IF($A17=0,"",VLOOKUP($A17,'00_Mat'!$A$4:$J$1135,5,FALSE))</f>
        <v/>
      </c>
      <c r="I17" s="143"/>
    </row>
    <row r="18" ht="14.25" customHeight="1">
      <c r="A18" s="204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04"/>
      <c r="E18" s="204"/>
      <c r="F18" s="206"/>
      <c r="G18" s="221">
        <f t="shared" si="3"/>
        <v>0</v>
      </c>
      <c r="H18" s="143" t="str">
        <f>IF($A18=0,"",VLOOKUP($A18,'00_Mat'!$A$4:$J$1135,5,FALSE))</f>
        <v/>
      </c>
      <c r="I18" s="143"/>
    </row>
    <row r="19" ht="14.25" customHeight="1">
      <c r="F19" s="208"/>
      <c r="G19" s="3"/>
      <c r="H19" s="143"/>
      <c r="I19" s="143"/>
    </row>
    <row r="20" ht="14.25" customHeight="1">
      <c r="A20" s="222" t="s">
        <v>996</v>
      </c>
      <c r="B20" s="223"/>
      <c r="C20" s="223"/>
      <c r="D20" s="223"/>
      <c r="E20" s="223"/>
      <c r="F20" s="223"/>
      <c r="G20" s="211"/>
      <c r="H20" s="223"/>
      <c r="I20" s="224">
        <f>SUM(I7:I18)</f>
        <v>1693036.694</v>
      </c>
      <c r="J20" s="92"/>
      <c r="K20" s="92"/>
      <c r="L20" s="92"/>
    </row>
    <row r="21" ht="14.25" customHeight="1">
      <c r="A21" s="232" t="str">
        <f>$I$3</f>
        <v>m²</v>
      </c>
      <c r="B21" s="233"/>
      <c r="C21" s="233"/>
      <c r="D21" s="233"/>
      <c r="E21" s="233"/>
      <c r="F21" s="233"/>
      <c r="G21" s="21"/>
      <c r="H21" s="233"/>
      <c r="I21" s="205">
        <f>$H$3</f>
        <v>456</v>
      </c>
      <c r="J21" s="92"/>
      <c r="K21" s="92"/>
      <c r="L21" s="92"/>
    </row>
    <row r="22" ht="14.25" customHeight="1">
      <c r="A22" s="234" t="s">
        <v>997</v>
      </c>
      <c r="B22" s="232" t="str">
        <f>A21</f>
        <v>m²</v>
      </c>
      <c r="C22" s="233"/>
      <c r="D22" s="233"/>
      <c r="E22" s="233"/>
      <c r="F22" s="233"/>
      <c r="G22" s="21"/>
      <c r="H22" s="233"/>
      <c r="I22" s="235">
        <f>I20/I21</f>
        <v>3712.799768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01" t="s">
        <v>998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02" t="s">
        <v>988</v>
      </c>
      <c r="B26" s="202" t="s">
        <v>989</v>
      </c>
      <c r="C26" s="202" t="s">
        <v>990</v>
      </c>
      <c r="D26" s="202" t="s">
        <v>991</v>
      </c>
      <c r="E26" s="202" t="s">
        <v>999</v>
      </c>
      <c r="F26" s="202" t="s">
        <v>992</v>
      </c>
      <c r="G26" s="4" t="s">
        <v>993</v>
      </c>
      <c r="H26" s="202" t="s">
        <v>994</v>
      </c>
      <c r="I26" s="202" t="s">
        <v>995</v>
      </c>
    </row>
    <row r="27" ht="14.25" customHeight="1">
      <c r="A27" s="204"/>
      <c r="B27" s="92" t="str">
        <f>IF($A27=0,"",VLOOKUP($A27,'00_MO'!$A$4:$D$7,2,FALSE))</f>
        <v/>
      </c>
      <c r="C27" s="92" t="str">
        <f>IF($A27=0,"",VLOOKUP($A27,'00_MO'!$A$4:$D$7,3,FALSE))</f>
        <v/>
      </c>
      <c r="D27" s="204"/>
      <c r="E27" s="204"/>
      <c r="F27" s="206"/>
      <c r="G27" s="217">
        <f t="shared" ref="G27:G32" si="4">ROUNDUP(((D27*E27)*(1+F27)),0)</f>
        <v>0</v>
      </c>
      <c r="H27" s="143" t="str">
        <f>IF($A27=0,"",VLOOKUP($A27,'00_MO'!$A$4:$D$7,4,FALSE))</f>
        <v/>
      </c>
      <c r="I27" s="143"/>
    </row>
    <row r="28" ht="14.25" customHeight="1">
      <c r="A28" s="204"/>
      <c r="B28" s="92" t="str">
        <f>IF($A28=0,"",VLOOKUP($A28,'00_MO'!$A$4:$D$7,2,FALSE))</f>
        <v/>
      </c>
      <c r="C28" s="92" t="str">
        <f>IF($A28=0,"",VLOOKUP($A28,'00_MO'!$A$4:$D$7,3,FALSE))</f>
        <v/>
      </c>
      <c r="D28" s="204"/>
      <c r="E28" s="204"/>
      <c r="F28" s="206"/>
      <c r="G28" s="217">
        <f t="shared" si="4"/>
        <v>0</v>
      </c>
      <c r="H28" s="143" t="str">
        <f>IF($A28=0,"",VLOOKUP($A28,'00_MO'!$A$4:$D$7,4,FALSE))</f>
        <v/>
      </c>
      <c r="I28" s="143"/>
    </row>
    <row r="29" ht="14.25" customHeight="1">
      <c r="A29" s="204"/>
      <c r="B29" s="92" t="str">
        <f>IF($A29=0,"",VLOOKUP($A29,'00_MO'!$A$4:$D$7,2,FALSE))</f>
        <v/>
      </c>
      <c r="C29" s="92" t="str">
        <f>IF($A29=0,"",VLOOKUP($A29,'00_MO'!$A$4:$D$7,3,FALSE))</f>
        <v/>
      </c>
      <c r="D29" s="204"/>
      <c r="E29" s="204"/>
      <c r="F29" s="206"/>
      <c r="G29" s="217">
        <f t="shared" si="4"/>
        <v>0</v>
      </c>
      <c r="H29" s="143" t="str">
        <f>IF($A29=0,"",VLOOKUP($A29,'00_MO'!$A$4:$D$7,4,FALSE))</f>
        <v/>
      </c>
      <c r="I29" s="143"/>
    </row>
    <row r="30" ht="14.25" customHeight="1">
      <c r="A30" s="204"/>
      <c r="B30" s="92" t="str">
        <f>IF($A30=0,"",VLOOKUP($A30,'00_MO'!$A$4:$D$7,2,FALSE))</f>
        <v/>
      </c>
      <c r="C30" s="92" t="str">
        <f>IF($A30=0,"",VLOOKUP($A30,'00_MO'!$A$4:$D$7,3,FALSE))</f>
        <v/>
      </c>
      <c r="D30" s="204"/>
      <c r="E30" s="204"/>
      <c r="F30" s="206"/>
      <c r="G30" s="217">
        <f t="shared" si="4"/>
        <v>0</v>
      </c>
      <c r="H30" s="143" t="str">
        <f>IF($A30=0,"",VLOOKUP($A30,'00_MO'!$A$4:$D$7,4,FALSE))</f>
        <v/>
      </c>
      <c r="I30" s="143"/>
    </row>
    <row r="31" ht="14.25" customHeight="1">
      <c r="A31" s="204"/>
      <c r="B31" s="92" t="str">
        <f>IF($A31=0,"",VLOOKUP($A31,'00_MO'!$A$4:$D$7,2,FALSE))</f>
        <v/>
      </c>
      <c r="C31" s="92" t="str">
        <f>IF($A31=0,"",VLOOKUP($A31,'00_MO'!$A$4:$D$7,3,FALSE))</f>
        <v/>
      </c>
      <c r="D31" s="204"/>
      <c r="E31" s="204"/>
      <c r="F31" s="206"/>
      <c r="G31" s="217">
        <f t="shared" si="4"/>
        <v>0</v>
      </c>
      <c r="H31" s="143" t="str">
        <f>IF($A31=0,"",VLOOKUP($A31,'00_MO'!$A$4:$D$7,4,FALSE))</f>
        <v/>
      </c>
      <c r="I31" s="143"/>
    </row>
    <row r="32" ht="14.25" customHeight="1">
      <c r="A32" s="204"/>
      <c r="B32" s="92" t="str">
        <f>IF($A32=0,"",VLOOKUP($A32,'00_MO'!$A$4:$D$7,2,FALSE))</f>
        <v/>
      </c>
      <c r="C32" s="92" t="str">
        <f>IF($A32=0,"",VLOOKUP($A32,'00_MO'!$A$4:$D$7,3,FALSE))</f>
        <v/>
      </c>
      <c r="D32" s="204"/>
      <c r="E32" s="204"/>
      <c r="F32" s="206"/>
      <c r="G32" s="217">
        <f t="shared" si="4"/>
        <v>0</v>
      </c>
      <c r="H32" s="143" t="str">
        <f>IF($A32=0,"",VLOOKUP($A32,'00_MO'!$A$4:$D$7,4,FALSE))</f>
        <v/>
      </c>
      <c r="I32" s="143"/>
    </row>
    <row r="33" ht="14.25" customHeight="1">
      <c r="F33" s="208"/>
      <c r="G33" s="3"/>
      <c r="H33" s="143"/>
      <c r="I33" s="143"/>
    </row>
    <row r="34" ht="14.25" customHeight="1">
      <c r="A34" s="222" t="s">
        <v>987</v>
      </c>
      <c r="B34" s="223"/>
      <c r="C34" s="223"/>
      <c r="D34" s="223"/>
      <c r="E34" s="223"/>
      <c r="F34" s="223"/>
      <c r="G34" s="211"/>
      <c r="H34" s="223"/>
      <c r="I34" s="224">
        <f>SUM(I27:I32)</f>
        <v>0</v>
      </c>
    </row>
    <row r="35" ht="14.25" customHeight="1">
      <c r="A35" s="232" t="str">
        <f>$I$3</f>
        <v>m²</v>
      </c>
      <c r="B35" s="233"/>
      <c r="C35" s="233"/>
      <c r="D35" s="233"/>
      <c r="E35" s="233"/>
      <c r="F35" s="233"/>
      <c r="G35" s="21"/>
      <c r="H35" s="233"/>
      <c r="I35" s="205">
        <f>$H$3</f>
        <v>456</v>
      </c>
      <c r="J35" s="92"/>
      <c r="K35" s="92"/>
      <c r="L35" s="92"/>
    </row>
    <row r="36" ht="14.25" customHeight="1">
      <c r="A36" s="234" t="s">
        <v>997</v>
      </c>
      <c r="B36" s="232" t="str">
        <f>A35</f>
        <v>m²</v>
      </c>
      <c r="C36" s="233"/>
      <c r="D36" s="233"/>
      <c r="E36" s="233"/>
      <c r="F36" s="233"/>
      <c r="G36" s="21"/>
      <c r="H36" s="233"/>
      <c r="I36" s="235">
        <f>I34/I35</f>
        <v>0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01" t="s">
        <v>1000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02" t="s">
        <v>988</v>
      </c>
      <c r="B40" s="202" t="s">
        <v>989</v>
      </c>
      <c r="C40" s="202" t="s">
        <v>990</v>
      </c>
      <c r="D40" s="202" t="s">
        <v>991</v>
      </c>
      <c r="E40" s="202" t="s">
        <v>999</v>
      </c>
      <c r="F40" s="202" t="s">
        <v>992</v>
      </c>
      <c r="G40" s="4" t="s">
        <v>993</v>
      </c>
      <c r="H40" s="202" t="s">
        <v>994</v>
      </c>
      <c r="I40" s="202" t="s">
        <v>995</v>
      </c>
    </row>
    <row r="41" ht="14.25" customHeight="1">
      <c r="A41" s="204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04"/>
      <c r="E41" s="204"/>
      <c r="F41" s="206"/>
      <c r="G41" s="217">
        <f t="shared" ref="G41:G46" si="5">ROUNDUP(((D41*E41)*(1+F41)),0)</f>
        <v>0</v>
      </c>
      <c r="H41" s="143" t="str">
        <f>IF($A41=0,"",VLOOKUP($A41,'00_Eq'!$A$4:$D$100,4,FALSE))</f>
        <v/>
      </c>
      <c r="I41" s="143"/>
    </row>
    <row r="42" ht="14.25" customHeight="1">
      <c r="A42" s="204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04"/>
      <c r="E42" s="204"/>
      <c r="F42" s="206"/>
      <c r="G42" s="217">
        <f t="shared" si="5"/>
        <v>0</v>
      </c>
      <c r="H42" s="143" t="str">
        <f>IF($A42=0,"",VLOOKUP($A42,'00_Eq'!$A$4:$D$100,4,FALSE))</f>
        <v/>
      </c>
      <c r="I42" s="143"/>
    </row>
    <row r="43" ht="14.25" customHeight="1">
      <c r="A43" s="204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04"/>
      <c r="E43" s="204"/>
      <c r="F43" s="206"/>
      <c r="G43" s="217">
        <f t="shared" si="5"/>
        <v>0</v>
      </c>
      <c r="H43" s="143" t="str">
        <f>IF($A43=0,"",VLOOKUP($A43,'00_Eq'!$A$4:$D$100,4,FALSE))</f>
        <v/>
      </c>
      <c r="I43" s="143"/>
    </row>
    <row r="44" ht="14.25" customHeight="1">
      <c r="A44" s="204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04"/>
      <c r="E44" s="204"/>
      <c r="F44" s="206"/>
      <c r="G44" s="217">
        <f t="shared" si="5"/>
        <v>0</v>
      </c>
      <c r="H44" s="143" t="str">
        <f>IF($A44=0,"",VLOOKUP($A44,'00_Eq'!$A$4:$D$100,4,FALSE))</f>
        <v/>
      </c>
      <c r="I44" s="143"/>
    </row>
    <row r="45" ht="14.25" customHeight="1">
      <c r="A45" s="204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04"/>
      <c r="E45" s="204"/>
      <c r="F45" s="206"/>
      <c r="G45" s="217">
        <f t="shared" si="5"/>
        <v>0</v>
      </c>
      <c r="H45" s="143" t="str">
        <f>IF($A45=0,"",VLOOKUP($A45,'00_Eq'!$A$4:$D$100,4,FALSE))</f>
        <v/>
      </c>
      <c r="I45" s="143"/>
    </row>
    <row r="46" ht="14.25" customHeight="1">
      <c r="A46" s="204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04"/>
      <c r="E46" s="204"/>
      <c r="F46" s="206"/>
      <c r="G46" s="217">
        <f t="shared" si="5"/>
        <v>0</v>
      </c>
      <c r="H46" s="143" t="str">
        <f>IF($A46=0,"",VLOOKUP($A46,'00_Eq'!$A$4:$D$100,4,FALSE))</f>
        <v/>
      </c>
      <c r="I46" s="143"/>
    </row>
    <row r="47" ht="14.25" customHeight="1">
      <c r="F47" s="208"/>
      <c r="G47" s="3"/>
      <c r="H47" s="143"/>
      <c r="I47" s="143"/>
    </row>
    <row r="48" ht="14.25" customHeight="1">
      <c r="A48" s="222" t="s">
        <v>987</v>
      </c>
      <c r="B48" s="223"/>
      <c r="C48" s="223"/>
      <c r="D48" s="223"/>
      <c r="E48" s="223"/>
      <c r="F48" s="223"/>
      <c r="G48" s="211"/>
      <c r="H48" s="223"/>
      <c r="I48" s="224">
        <f>SUM(I41:I46)</f>
        <v>0</v>
      </c>
    </row>
    <row r="49" ht="14.25" customHeight="1">
      <c r="A49" s="232" t="str">
        <f>$I$3</f>
        <v>m²</v>
      </c>
      <c r="B49" s="233"/>
      <c r="C49" s="233"/>
      <c r="D49" s="233"/>
      <c r="E49" s="233"/>
      <c r="F49" s="233"/>
      <c r="G49" s="21"/>
      <c r="H49" s="233"/>
      <c r="I49" s="205">
        <f>$H$3</f>
        <v>456</v>
      </c>
      <c r="J49" s="92"/>
      <c r="K49" s="92"/>
      <c r="L49" s="92"/>
    </row>
    <row r="50" ht="14.25" customHeight="1">
      <c r="A50" s="234" t="s">
        <v>997</v>
      </c>
      <c r="B50" s="232" t="str">
        <f>A49</f>
        <v>m²</v>
      </c>
      <c r="C50" s="233"/>
      <c r="D50" s="233"/>
      <c r="E50" s="233"/>
      <c r="F50" s="233"/>
      <c r="G50" s="21"/>
      <c r="H50" s="233"/>
      <c r="I50" s="235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01" t="s">
        <v>1010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02" t="s">
        <v>988</v>
      </c>
      <c r="B54" s="202" t="s">
        <v>989</v>
      </c>
      <c r="C54" s="202" t="s">
        <v>990</v>
      </c>
      <c r="D54" s="202" t="s">
        <v>991</v>
      </c>
      <c r="E54" s="202"/>
      <c r="F54" s="202" t="s">
        <v>992</v>
      </c>
      <c r="G54" s="4" t="s">
        <v>993</v>
      </c>
      <c r="H54" s="202" t="s">
        <v>994</v>
      </c>
      <c r="I54" s="202" t="s">
        <v>995</v>
      </c>
    </row>
    <row r="55" ht="14.25" customHeight="1">
      <c r="A55" s="204"/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05"/>
      <c r="E55" s="204"/>
      <c r="F55" s="206"/>
      <c r="G55" s="221">
        <f t="shared" ref="G55:G60" si="6">ROUNDUP((D55+(D55*F55)),0)</f>
        <v>0</v>
      </c>
      <c r="H55" s="143" t="str">
        <f>IF($A55=0,"",VLOOKUP($A55,'00_Mat'!$A$4:$J$1135,5,FALSE))</f>
        <v/>
      </c>
      <c r="I55" s="143">
        <f>G55*H55</f>
        <v>0</v>
      </c>
    </row>
    <row r="56" ht="14.25" customHeight="1">
      <c r="A56" s="204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05"/>
      <c r="E56" s="204"/>
      <c r="F56" s="206"/>
      <c r="G56" s="221">
        <f t="shared" si="6"/>
        <v>0</v>
      </c>
      <c r="H56" s="143" t="str">
        <f>IF($A56=0,"",VLOOKUP($A56,'00_Mat'!$A$4:$J$1135,5,FALSE))</f>
        <v/>
      </c>
      <c r="I56" s="143"/>
    </row>
    <row r="57" ht="14.25" customHeight="1">
      <c r="A57" s="204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05"/>
      <c r="E57" s="204"/>
      <c r="F57" s="206"/>
      <c r="G57" s="221">
        <f t="shared" si="6"/>
        <v>0</v>
      </c>
      <c r="H57" s="143" t="str">
        <f>IF($A57=0,"",VLOOKUP($A57,'00_Mat'!$A$4:$J$1135,5,FALSE))</f>
        <v/>
      </c>
      <c r="I57" s="143"/>
    </row>
    <row r="58" ht="14.25" customHeight="1">
      <c r="A58" s="204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05"/>
      <c r="E58" s="204"/>
      <c r="F58" s="206"/>
      <c r="G58" s="221">
        <f t="shared" si="6"/>
        <v>0</v>
      </c>
      <c r="H58" s="143" t="str">
        <f>IF($A58=0,"",VLOOKUP($A58,'00_Mat'!$A$4:$J$1135,5,FALSE))</f>
        <v/>
      </c>
      <c r="I58" s="143"/>
    </row>
    <row r="59" ht="14.25" customHeight="1">
      <c r="A59" s="204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05"/>
      <c r="E59" s="204"/>
      <c r="F59" s="206"/>
      <c r="G59" s="221">
        <f t="shared" si="6"/>
        <v>0</v>
      </c>
      <c r="H59" s="143" t="str">
        <f>IF($A59=0,"",VLOOKUP($A59,'00_Mat'!$A$4:$J$1135,5,FALSE))</f>
        <v/>
      </c>
      <c r="I59" s="143"/>
    </row>
    <row r="60" ht="14.25" customHeight="1">
      <c r="A60" s="204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05"/>
      <c r="E60" s="204"/>
      <c r="F60" s="206"/>
      <c r="G60" s="221">
        <f t="shared" si="6"/>
        <v>0</v>
      </c>
      <c r="H60" s="143" t="str">
        <f>IF($A60=0,"",VLOOKUP($A60,'00_Mat'!$A$4:$J$1135,5,FALSE))</f>
        <v/>
      </c>
      <c r="I60" s="143"/>
    </row>
    <row r="61" ht="14.25" customHeight="1">
      <c r="F61" s="208"/>
      <c r="G61" s="3"/>
      <c r="H61" s="143"/>
      <c r="I61" s="143"/>
    </row>
    <row r="62" ht="14.25" customHeight="1">
      <c r="A62" s="222" t="s">
        <v>987</v>
      </c>
      <c r="B62" s="223"/>
      <c r="C62" s="223"/>
      <c r="D62" s="223"/>
      <c r="E62" s="223"/>
      <c r="F62" s="223"/>
      <c r="G62" s="211"/>
      <c r="H62" s="223"/>
      <c r="I62" s="224">
        <f>SUM(I55:I60)</f>
        <v>0</v>
      </c>
    </row>
    <row r="63" ht="14.25" customHeight="1">
      <c r="A63" s="232" t="str">
        <f>$I$3</f>
        <v>m²</v>
      </c>
      <c r="B63" s="233"/>
      <c r="C63" s="233"/>
      <c r="D63" s="233"/>
      <c r="E63" s="233"/>
      <c r="F63" s="233"/>
      <c r="G63" s="21"/>
      <c r="H63" s="233"/>
      <c r="I63" s="205">
        <f>$H$3</f>
        <v>456</v>
      </c>
      <c r="J63" s="92"/>
      <c r="K63" s="92"/>
      <c r="L63" s="92"/>
    </row>
    <row r="64" ht="14.25" customHeight="1">
      <c r="A64" s="234" t="s">
        <v>997</v>
      </c>
      <c r="B64" s="232" t="str">
        <f>A63</f>
        <v>m²</v>
      </c>
      <c r="C64" s="233"/>
      <c r="D64" s="233"/>
      <c r="E64" s="233"/>
      <c r="F64" s="233"/>
      <c r="G64" s="21"/>
      <c r="H64" s="233"/>
      <c r="I64" s="235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01" t="s">
        <v>1025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02" t="s">
        <v>988</v>
      </c>
      <c r="B68" s="202" t="s">
        <v>989</v>
      </c>
      <c r="C68" s="202" t="s">
        <v>990</v>
      </c>
      <c r="D68" s="202" t="s">
        <v>991</v>
      </c>
      <c r="E68" s="202" t="s">
        <v>999</v>
      </c>
      <c r="F68" s="202" t="s">
        <v>992</v>
      </c>
      <c r="G68" s="4" t="s">
        <v>993</v>
      </c>
      <c r="H68" s="202" t="s">
        <v>994</v>
      </c>
      <c r="I68" s="202" t="s">
        <v>995</v>
      </c>
    </row>
    <row r="69" ht="14.25" customHeight="1">
      <c r="A69" s="20" t="s">
        <v>814</v>
      </c>
      <c r="B69" s="92" t="str">
        <f>IF($A69=0,"",VLOOKUP($A69,'00_Sub'!$A$4:$D$1007,2,FALSE))</f>
        <v>REVOQUE EXTERIOR CON SILLETA. (con ceresita)</v>
      </c>
      <c r="C69" s="92" t="str">
        <f>IF($A69=0,"",VLOOKUP($A69,'00_Sub'!$A$4:$D$1007,3,FALSE))</f>
        <v>m2</v>
      </c>
      <c r="D69" s="204">
        <f>L6</f>
        <v>456</v>
      </c>
      <c r="E69" s="204"/>
      <c r="F69" s="236">
        <v>0.5</v>
      </c>
      <c r="G69" s="221">
        <f t="shared" ref="G69:G74" si="7">ROUNDUP((D69+(D69*F69)),0)</f>
        <v>684</v>
      </c>
      <c r="H69" s="143">
        <f>IF($A69=0,"",VLOOKUP($A69,'00_Sub'!$A$4:$D$1007,4,FALSE))</f>
        <v>25000</v>
      </c>
      <c r="I69" s="143">
        <f>G69*H69</f>
        <v>17100000</v>
      </c>
      <c r="J69" s="153" t="s">
        <v>1069</v>
      </c>
    </row>
    <row r="70" ht="14.25" customHeight="1">
      <c r="A70" s="204"/>
      <c r="B70" s="92" t="str">
        <f>IF($A70=0,"",VLOOKUP($A70,'00_Sub'!$A$4:$D$1007,2,FALSE))</f>
        <v/>
      </c>
      <c r="C70" s="92" t="str">
        <f>IF($A70=0,"",VLOOKUP($A70,'00_Sub'!$A$4:$D$1007,3,FALSE))</f>
        <v/>
      </c>
      <c r="D70" s="204"/>
      <c r="E70" s="204"/>
      <c r="F70" s="206"/>
      <c r="G70" s="221">
        <f t="shared" si="7"/>
        <v>0</v>
      </c>
      <c r="H70" s="143" t="str">
        <f>IF($A70=0,"",VLOOKUP($A70,'00_Sub'!$A$4:$D$1007,4,FALSE))</f>
        <v/>
      </c>
      <c r="I70" s="143"/>
    </row>
    <row r="71" ht="14.25" customHeight="1">
      <c r="A71" s="204"/>
      <c r="B71" s="92" t="str">
        <f>IF($A71=0,"",VLOOKUP($A71,'00_Sub'!$A$4:$D$1007,2,FALSE))</f>
        <v/>
      </c>
      <c r="C71" s="92" t="str">
        <f>IF($A71=0,"",VLOOKUP($A71,'00_Sub'!$A$4:$D$1007,3,FALSE))</f>
        <v/>
      </c>
      <c r="D71" s="204"/>
      <c r="E71" s="204"/>
      <c r="F71" s="206"/>
      <c r="G71" s="221">
        <f t="shared" si="7"/>
        <v>0</v>
      </c>
      <c r="H71" s="143" t="str">
        <f>IF($A71=0,"",VLOOKUP($A71,'00_Sub'!$A$4:$D$1007,4,FALSE))</f>
        <v/>
      </c>
      <c r="I71" s="143"/>
    </row>
    <row r="72" ht="14.25" customHeight="1">
      <c r="A72" s="204"/>
      <c r="B72" s="92" t="str">
        <f>IF($A72=0,"",VLOOKUP($A72,'00_Sub'!$A$4:$D$1007,2,FALSE))</f>
        <v/>
      </c>
      <c r="C72" s="92" t="str">
        <f>IF($A72=0,"",VLOOKUP($A72,'00_Sub'!$A$4:$D$1007,3,FALSE))</f>
        <v/>
      </c>
      <c r="D72" s="204"/>
      <c r="E72" s="204"/>
      <c r="F72" s="206"/>
      <c r="G72" s="221">
        <f t="shared" si="7"/>
        <v>0</v>
      </c>
      <c r="H72" s="143" t="str">
        <f>IF($A72=0,"",VLOOKUP($A72,'00_Sub'!$A$4:$D$1007,4,FALSE))</f>
        <v/>
      </c>
      <c r="I72" s="143"/>
    </row>
    <row r="73" ht="14.25" customHeight="1">
      <c r="A73" s="204"/>
      <c r="B73" s="92" t="str">
        <f>IF($A73=0,"",VLOOKUP($A73,'00_Sub'!$A$4:$D$1007,2,FALSE))</f>
        <v/>
      </c>
      <c r="C73" s="92" t="str">
        <f>IF($A73=0,"",VLOOKUP($A73,'00_Sub'!$A$4:$D$1007,3,FALSE))</f>
        <v/>
      </c>
      <c r="D73" s="204"/>
      <c r="E73" s="204"/>
      <c r="F73" s="206"/>
      <c r="G73" s="221">
        <f t="shared" si="7"/>
        <v>0</v>
      </c>
      <c r="H73" s="143" t="str">
        <f>IF($A73=0,"",VLOOKUP($A73,'00_Sub'!$A$4:$D$1007,4,FALSE))</f>
        <v/>
      </c>
      <c r="I73" s="143"/>
    </row>
    <row r="74" ht="14.25" customHeight="1">
      <c r="A74" s="204"/>
      <c r="B74" s="92" t="str">
        <f>IF($A74=0,"",VLOOKUP($A74,'00_Sub'!$A$4:$D$1007,2,FALSE))</f>
        <v/>
      </c>
      <c r="C74" s="92" t="str">
        <f>IF($A74=0,"",VLOOKUP($A74,'00_Sub'!$A$4:$D$1007,3,FALSE))</f>
        <v/>
      </c>
      <c r="D74" s="204"/>
      <c r="E74" s="204"/>
      <c r="F74" s="206"/>
      <c r="G74" s="221">
        <f t="shared" si="7"/>
        <v>0</v>
      </c>
      <c r="H74" s="143" t="str">
        <f>IF($A74=0,"",VLOOKUP($A74,'00_Sub'!$A$4:$D$1007,4,FALSE))</f>
        <v/>
      </c>
      <c r="I74" s="143"/>
    </row>
    <row r="75" ht="14.25" customHeight="1">
      <c r="F75" s="208"/>
      <c r="G75" s="3"/>
      <c r="H75" s="143"/>
      <c r="I75" s="143"/>
    </row>
    <row r="76" ht="14.25" customHeight="1">
      <c r="A76" s="222" t="s">
        <v>987</v>
      </c>
      <c r="B76" s="223"/>
      <c r="C76" s="223"/>
      <c r="D76" s="223"/>
      <c r="E76" s="223"/>
      <c r="F76" s="223"/>
      <c r="G76" s="211"/>
      <c r="H76" s="223"/>
      <c r="I76" s="224">
        <f>SUM(I69:I74)</f>
        <v>17100000</v>
      </c>
    </row>
    <row r="77" ht="14.25" customHeight="1">
      <c r="A77" s="232" t="str">
        <f>$I$3</f>
        <v>m²</v>
      </c>
      <c r="B77" s="233"/>
      <c r="C77" s="233"/>
      <c r="D77" s="233"/>
      <c r="E77" s="233"/>
      <c r="F77" s="233"/>
      <c r="G77" s="21"/>
      <c r="H77" s="233"/>
      <c r="I77" s="205">
        <f>$H$3</f>
        <v>456</v>
      </c>
      <c r="J77" s="92"/>
      <c r="K77" s="92"/>
      <c r="L77" s="92"/>
    </row>
    <row r="78" ht="14.25" customHeight="1">
      <c r="A78" s="234" t="s">
        <v>997</v>
      </c>
      <c r="B78" s="232" t="str">
        <f>A77</f>
        <v>m²</v>
      </c>
      <c r="C78" s="233"/>
      <c r="D78" s="233"/>
      <c r="E78" s="233"/>
      <c r="F78" s="233"/>
      <c r="G78" s="21"/>
      <c r="H78" s="233"/>
      <c r="I78" s="235">
        <f>I76/I77</f>
        <v>37500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1" width="8.71"/>
    <col customWidth="1" min="12" max="12" width="10.14"/>
    <col customWidth="1" min="13" max="13" width="30.29"/>
  </cols>
  <sheetData>
    <row r="1" ht="33.75" customHeight="1">
      <c r="A1" s="91" t="str">
        <f>'01_C&amp;P'!A1</f>
        <v>EDIFICIO LAS HERAS</v>
      </c>
      <c r="B1" s="91"/>
      <c r="C1" s="91"/>
      <c r="G1" s="3"/>
    </row>
    <row r="2" ht="14.25" customHeight="1">
      <c r="G2" s="3"/>
    </row>
    <row r="3" ht="23.25" customHeight="1">
      <c r="A3" s="195">
        <f>'01_C&amp;P'!A48</f>
        <v>46025</v>
      </c>
      <c r="B3" s="196" t="str">
        <f>IF($A3=0,"",VLOOKUP($A3,'01_C&amp;P'!$A$9:$D$192,2,FALSE))</f>
        <v>COLUMNAS Y TABIQUES</v>
      </c>
      <c r="C3" s="197"/>
      <c r="D3" s="197"/>
      <c r="E3" s="197"/>
      <c r="F3" s="197"/>
      <c r="G3" s="198"/>
      <c r="H3" s="199">
        <f>IF($A3=0,"",VLOOKUP($A3,'01_C&amp;P'!$A$9:$D$192,4,FALSE))</f>
        <v>18</v>
      </c>
      <c r="I3" s="200" t="str">
        <f>IF($A3=0,"",VLOOKUP($A3,'01_C&amp;P'!$A$9:$D$192,3,FALSE))</f>
        <v>m³</v>
      </c>
      <c r="M3" s="246" t="s">
        <v>1064</v>
      </c>
    </row>
    <row r="4" ht="14.25" customHeight="1">
      <c r="G4" s="3"/>
    </row>
    <row r="5" ht="14.25" customHeight="1">
      <c r="A5" s="201" t="s">
        <v>0</v>
      </c>
      <c r="B5" s="94"/>
      <c r="C5" s="94"/>
      <c r="D5" s="94"/>
      <c r="E5" s="94"/>
      <c r="F5" s="94"/>
      <c r="G5" s="2"/>
      <c r="H5" s="94"/>
      <c r="I5" s="94"/>
    </row>
    <row r="6" ht="14.25" customHeight="1">
      <c r="A6" s="202" t="s">
        <v>988</v>
      </c>
      <c r="B6" s="202" t="s">
        <v>989</v>
      </c>
      <c r="C6" s="202" t="s">
        <v>990</v>
      </c>
      <c r="D6" s="203" t="s">
        <v>991</v>
      </c>
      <c r="E6" s="197"/>
      <c r="F6" s="202" t="s">
        <v>992</v>
      </c>
      <c r="G6" s="4" t="s">
        <v>993</v>
      </c>
      <c r="H6" s="202" t="s">
        <v>994</v>
      </c>
      <c r="I6" s="202" t="s">
        <v>995</v>
      </c>
    </row>
    <row r="7" ht="14.25" customHeight="1">
      <c r="A7" s="229" t="s">
        <v>560</v>
      </c>
      <c r="B7" s="92" t="str">
        <f>IF($A7=0,"",VLOOKUP($A7,'00_Mat'!$A$4:$J$1135,2,FALSE))</f>
        <v>Hormigon H30</v>
      </c>
      <c r="C7" s="92" t="str">
        <f>IF($A7=0,"",VLOOKUP($A7,'00_Mat'!$A$4:$J$1135,3,FALSE))</f>
        <v>m3</v>
      </c>
      <c r="D7" s="230">
        <f>H3</f>
        <v>18</v>
      </c>
      <c r="E7" s="204"/>
      <c r="F7" s="206">
        <v>0.1</v>
      </c>
      <c r="G7" s="221">
        <f t="shared" ref="G7:G18" si="1">ROUNDUP((D7+(D7*F7)),0)</f>
        <v>20</v>
      </c>
      <c r="H7" s="143">
        <f>IF($A7=0,"",VLOOKUP($A7,'00_Mat'!$A$4:$J$1135,5,FALSE))</f>
        <v>158000</v>
      </c>
      <c r="I7" s="143">
        <f t="shared" ref="I7:I18" si="2">G7*H7</f>
        <v>3160000</v>
      </c>
      <c r="J7" s="231" t="s">
        <v>548</v>
      </c>
    </row>
    <row r="8" ht="14.25" customHeight="1">
      <c r="A8" s="3" t="s">
        <v>132</v>
      </c>
      <c r="B8" s="92" t="str">
        <f>IF($A8=0,"",VLOOKUP($A8,'00_Mat'!$A$4:$J$1135,2,FALSE))</f>
        <v>Hierros ADN 420 Φ 6 </v>
      </c>
      <c r="C8" s="92" t="str">
        <f>IF($A8=0,"",VLOOKUP($A8,'00_Mat'!$A$4:$J$1135,3,FALSE))</f>
        <v>u</v>
      </c>
      <c r="D8" s="230">
        <v>162.0</v>
      </c>
      <c r="E8" s="204"/>
      <c r="F8" s="206">
        <v>0.1</v>
      </c>
      <c r="G8" s="221">
        <f t="shared" si="1"/>
        <v>179</v>
      </c>
      <c r="H8" s="143">
        <f>IF($A8=0,"",VLOOKUP($A8,'00_Mat'!$A$4:$J$1135,5,FALSE))</f>
        <v>5250</v>
      </c>
      <c r="I8" s="143">
        <f t="shared" si="2"/>
        <v>939750</v>
      </c>
      <c r="J8" s="153" t="s">
        <v>1028</v>
      </c>
    </row>
    <row r="9" ht="14.25" customHeight="1">
      <c r="A9" s="3" t="s">
        <v>134</v>
      </c>
      <c r="B9" s="92" t="str">
        <f>IF($A9=0,"",VLOOKUP($A9,'00_Mat'!$A$4:$J$1135,2,FALSE))</f>
        <v>Hierros ADN 420 Φ 8</v>
      </c>
      <c r="C9" s="92" t="str">
        <f>IF($A9=0,"",VLOOKUP($A9,'00_Mat'!$A$4:$J$1135,3,FALSE))</f>
        <v>u</v>
      </c>
      <c r="D9" s="229">
        <v>31.0</v>
      </c>
      <c r="E9" s="204"/>
      <c r="F9" s="206">
        <v>0.1</v>
      </c>
      <c r="G9" s="221">
        <f t="shared" si="1"/>
        <v>35</v>
      </c>
      <c r="H9" s="143">
        <f>IF($A9=0,"",VLOOKUP($A9,'00_Mat'!$A$4:$J$1135,5,FALSE))</f>
        <v>9050</v>
      </c>
      <c r="I9" s="143">
        <f t="shared" si="2"/>
        <v>316750</v>
      </c>
    </row>
    <row r="10" ht="14.25" customHeight="1">
      <c r="A10" s="3" t="s">
        <v>136</v>
      </c>
      <c r="B10" s="92" t="str">
        <f>IF($A10=0,"",VLOOKUP($A10,'00_Mat'!$A$4:$J$1135,2,FALSE))</f>
        <v>Hierros ADN 420Φ 10</v>
      </c>
      <c r="C10" s="92" t="str">
        <f>IF($A10=0,"",VLOOKUP($A10,'00_Mat'!$A$4:$J$1135,3,FALSE))</f>
        <v>u</v>
      </c>
      <c r="D10" s="229">
        <v>9.0</v>
      </c>
      <c r="E10" s="204"/>
      <c r="F10" s="206">
        <v>0.1</v>
      </c>
      <c r="G10" s="221">
        <f t="shared" si="1"/>
        <v>10</v>
      </c>
      <c r="H10" s="143">
        <f>IF($A10=0,"",VLOOKUP($A10,'00_Mat'!$A$4:$J$1135,5,FALSE))</f>
        <v>11237</v>
      </c>
      <c r="I10" s="143">
        <f t="shared" si="2"/>
        <v>112370</v>
      </c>
    </row>
    <row r="11" ht="14.25" customHeight="1">
      <c r="A11" s="3" t="s">
        <v>138</v>
      </c>
      <c r="B11" s="92" t="str">
        <f>IF($A11=0,"",VLOOKUP($A11,'00_Mat'!$A$4:$J$1135,2,FALSE))</f>
        <v>Hierros ADN 420 Φ 12</v>
      </c>
      <c r="C11" s="92" t="str">
        <f>IF($A11=0,"",VLOOKUP($A11,'00_Mat'!$A$4:$J$1135,3,FALSE))</f>
        <v>u</v>
      </c>
      <c r="D11" s="229">
        <v>29.0</v>
      </c>
      <c r="E11" s="204"/>
      <c r="F11" s="206">
        <v>0.1</v>
      </c>
      <c r="G11" s="221">
        <f t="shared" si="1"/>
        <v>32</v>
      </c>
      <c r="H11" s="143">
        <f>IF($A11=0,"",VLOOKUP($A11,'00_Mat'!$A$4:$J$1135,5,FALSE))</f>
        <v>20442.5</v>
      </c>
      <c r="I11" s="143">
        <f t="shared" si="2"/>
        <v>654160</v>
      </c>
    </row>
    <row r="12" ht="14.25" customHeight="1">
      <c r="A12" s="3" t="s">
        <v>140</v>
      </c>
      <c r="B12" s="92" t="str">
        <f>IF($A12=0,"",VLOOKUP($A12,'00_Mat'!$A$4:$J$1135,2,FALSE))</f>
        <v>Hierros ADN 420 Φ 16</v>
      </c>
      <c r="C12" s="92" t="str">
        <f>IF($A12=0,"",VLOOKUP($A12,'00_Mat'!$A$4:$J$1135,3,FALSE))</f>
        <v>u</v>
      </c>
      <c r="D12" s="229">
        <v>24.0</v>
      </c>
      <c r="E12" s="204"/>
      <c r="F12" s="206">
        <v>0.1</v>
      </c>
      <c r="G12" s="221">
        <f t="shared" si="1"/>
        <v>27</v>
      </c>
      <c r="H12" s="143">
        <f>IF($A12=0,"",VLOOKUP($A12,'00_Mat'!$A$4:$J$1135,5,FALSE))</f>
        <v>36603.12</v>
      </c>
      <c r="I12" s="143">
        <f t="shared" si="2"/>
        <v>988284.24</v>
      </c>
    </row>
    <row r="13" ht="14.25" customHeight="1">
      <c r="A13" s="20" t="s">
        <v>142</v>
      </c>
      <c r="B13" s="92" t="str">
        <f>IF($A13=0,"",VLOOKUP($A13,'00_Mat'!$A$4:$J$1135,2,FALSE))</f>
        <v>Hierros ADN 420 Φ 20</v>
      </c>
      <c r="C13" s="92" t="str">
        <f>IF($A13=0,"",VLOOKUP($A13,'00_Mat'!$A$4:$J$1135,3,FALSE))</f>
        <v>U</v>
      </c>
      <c r="D13" s="229">
        <v>4.0</v>
      </c>
      <c r="E13" s="204"/>
      <c r="F13" s="206">
        <v>0.1</v>
      </c>
      <c r="G13" s="221">
        <f t="shared" si="1"/>
        <v>5</v>
      </c>
      <c r="H13" s="143">
        <f>IF($A13=0,"",VLOOKUP($A13,'00_Mat'!$A$4:$J$1135,5,FALSE))</f>
        <v>55000</v>
      </c>
      <c r="I13" s="143">
        <f t="shared" si="2"/>
        <v>275000</v>
      </c>
    </row>
    <row r="14" ht="14.25" customHeight="1">
      <c r="A14" s="3" t="s">
        <v>300</v>
      </c>
      <c r="B14" s="92" t="str">
        <f>IF($A14=0,"",VLOOKUP($A14,'00_Mat'!$A$4:$J$1135,2,FALSE))</f>
        <v>Fenolico 18mm Miraluz 125 GR con film</v>
      </c>
      <c r="C14" s="92" t="str">
        <f>IF($A14=0,"",VLOOKUP($A14,'00_Mat'!$A$4:$J$1135,3,FALSE))</f>
        <v>u</v>
      </c>
      <c r="D14" s="229">
        <f>16/2</f>
        <v>8</v>
      </c>
      <c r="E14" s="204"/>
      <c r="F14" s="236">
        <v>0.25</v>
      </c>
      <c r="G14" s="221">
        <f t="shared" si="1"/>
        <v>10</v>
      </c>
      <c r="H14" s="143">
        <f>IF($A14=0,"",VLOOKUP($A14,'00_Mat'!$A$4:$J$1135,5,FALSE))</f>
        <v>55260</v>
      </c>
      <c r="I14" s="143">
        <f t="shared" si="2"/>
        <v>552600</v>
      </c>
      <c r="J14" s="153" t="s">
        <v>1029</v>
      </c>
    </row>
    <row r="15" ht="14.25" customHeight="1">
      <c r="A15" s="3" t="s">
        <v>303</v>
      </c>
      <c r="B15" s="92" t="str">
        <f>IF($A15=0,"",VLOOKUP($A15,'00_Mat'!$A$4:$J$1135,2,FALSE))</f>
        <v>Fenolico 18mm Grandis 2 Buenas cal 3/3</v>
      </c>
      <c r="C15" s="92" t="str">
        <f>IF($A15=0,"",VLOOKUP($A15,'00_Mat'!$A$4:$J$1135,3,FALSE))</f>
        <v>u</v>
      </c>
      <c r="D15" s="229">
        <f>55/2</f>
        <v>27.5</v>
      </c>
      <c r="E15" s="204"/>
      <c r="F15" s="236">
        <v>0.25</v>
      </c>
      <c r="G15" s="221">
        <f t="shared" si="1"/>
        <v>35</v>
      </c>
      <c r="H15" s="143">
        <f>IF($A15=0,"",VLOOKUP($A15,'00_Mat'!$A$4:$J$1135,5,FALSE))</f>
        <v>45454</v>
      </c>
      <c r="I15" s="143">
        <f t="shared" si="2"/>
        <v>1590890</v>
      </c>
      <c r="J15" s="153" t="s">
        <v>1030</v>
      </c>
    </row>
    <row r="16" ht="14.25" customHeight="1">
      <c r="A16" s="3" t="s">
        <v>602</v>
      </c>
      <c r="B16" s="92" t="str">
        <f>IF($A16=0,"",VLOOKUP($A16,'00_Mat'!$A$4:$J$1135,2,FALSE))</f>
        <v>Bomba Pluma Traslado e Instalacion</v>
      </c>
      <c r="C16" s="92" t="str">
        <f>IF($A16=0,"",VLOOKUP($A16,'00_Mat'!$A$4:$J$1135,3,FALSE))</f>
        <v>u</v>
      </c>
      <c r="D16" s="229">
        <v>1.0</v>
      </c>
      <c r="E16" s="204"/>
      <c r="F16" s="206"/>
      <c r="G16" s="221">
        <f t="shared" si="1"/>
        <v>1</v>
      </c>
      <c r="H16" s="143">
        <f>IF($A16=0,"",VLOOKUP($A16,'00_Mat'!$A$4:$J$1135,5,FALSE))</f>
        <v>600000</v>
      </c>
      <c r="I16" s="143">
        <f t="shared" si="2"/>
        <v>600000</v>
      </c>
      <c r="J16" s="153" t="s">
        <v>1031</v>
      </c>
    </row>
    <row r="17" ht="14.25" customHeight="1">
      <c r="A17" s="3" t="s">
        <v>604</v>
      </c>
      <c r="B17" s="92" t="str">
        <f>IF($A17=0,"",VLOOKUP($A17,'00_Mat'!$A$4:$J$1135,2,FALSE))</f>
        <v>Bomba Pluma m3 bombeable</v>
      </c>
      <c r="C17" s="92" t="str">
        <f>IF($A17=0,"",VLOOKUP($A17,'00_Mat'!$A$4:$J$1135,3,FALSE))</f>
        <v>m3</v>
      </c>
      <c r="D17" s="205">
        <f>H3</f>
        <v>18</v>
      </c>
      <c r="E17" s="204"/>
      <c r="F17" s="206">
        <v>0.1</v>
      </c>
      <c r="G17" s="221">
        <f t="shared" si="1"/>
        <v>20</v>
      </c>
      <c r="H17" s="143">
        <f>IF($A17=0,"",VLOOKUP($A17,'00_Mat'!$A$4:$J$1135,5,FALSE))</f>
        <v>6000</v>
      </c>
      <c r="I17" s="143">
        <f t="shared" si="2"/>
        <v>120000</v>
      </c>
      <c r="J17" s="153" t="s">
        <v>1032</v>
      </c>
    </row>
    <row r="18" ht="14.25" customHeight="1">
      <c r="A18" s="204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04"/>
      <c r="E18" s="204"/>
      <c r="F18" s="206">
        <v>0.1</v>
      </c>
      <c r="G18" s="221">
        <f t="shared" si="1"/>
        <v>0</v>
      </c>
      <c r="H18" s="143" t="str">
        <f>IF($A18=0,"",VLOOKUP($A18,'00_Mat'!$A$4:$J$1135,5,FALSE))</f>
        <v/>
      </c>
      <c r="I18" s="143">
        <f t="shared" si="2"/>
        <v>0</v>
      </c>
    </row>
    <row r="19" ht="14.25" customHeight="1">
      <c r="F19" s="208"/>
      <c r="G19" s="3"/>
      <c r="H19" s="143"/>
      <c r="I19" s="143"/>
    </row>
    <row r="20" ht="14.25" customHeight="1">
      <c r="A20" s="222" t="s">
        <v>996</v>
      </c>
      <c r="B20" s="223"/>
      <c r="C20" s="223"/>
      <c r="D20" s="223"/>
      <c r="E20" s="223"/>
      <c r="F20" s="223"/>
      <c r="G20" s="211"/>
      <c r="H20" s="223"/>
      <c r="I20" s="224">
        <f>SUM(I7:I18)</f>
        <v>9309804.24</v>
      </c>
      <c r="J20" s="92"/>
      <c r="K20" s="92"/>
      <c r="L20" s="92"/>
    </row>
    <row r="21" ht="14.25" customHeight="1">
      <c r="A21" s="232" t="str">
        <f>$I$3</f>
        <v>m³</v>
      </c>
      <c r="B21" s="233"/>
      <c r="C21" s="233"/>
      <c r="D21" s="233"/>
      <c r="E21" s="233"/>
      <c r="F21" s="233"/>
      <c r="G21" s="21"/>
      <c r="H21" s="233"/>
      <c r="I21" s="205">
        <f>$H$3</f>
        <v>18</v>
      </c>
      <c r="J21" s="92"/>
      <c r="K21" s="92"/>
      <c r="L21" s="92"/>
    </row>
    <row r="22" ht="14.25" customHeight="1">
      <c r="A22" s="234" t="s">
        <v>997</v>
      </c>
      <c r="B22" s="232" t="str">
        <f>A21</f>
        <v>m³</v>
      </c>
      <c r="C22" s="233"/>
      <c r="D22" s="233"/>
      <c r="E22" s="233"/>
      <c r="F22" s="233"/>
      <c r="G22" s="21"/>
      <c r="H22" s="233"/>
      <c r="I22" s="235">
        <f>I20/I21</f>
        <v>517211.3467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01" t="s">
        <v>998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02" t="s">
        <v>988</v>
      </c>
      <c r="B26" s="202" t="s">
        <v>989</v>
      </c>
      <c r="C26" s="202" t="s">
        <v>990</v>
      </c>
      <c r="D26" s="202" t="s">
        <v>991</v>
      </c>
      <c r="E26" s="202" t="s">
        <v>999</v>
      </c>
      <c r="F26" s="202" t="s">
        <v>992</v>
      </c>
      <c r="G26" s="4" t="s">
        <v>993</v>
      </c>
      <c r="H26" s="202" t="s">
        <v>994</v>
      </c>
      <c r="I26" s="202" t="s">
        <v>995</v>
      </c>
    </row>
    <row r="27" ht="14.25" customHeight="1">
      <c r="A27" s="61" t="s">
        <v>621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29">
        <v>1.0</v>
      </c>
      <c r="E27" s="229">
        <v>10.0</v>
      </c>
      <c r="F27" s="236">
        <v>0.25</v>
      </c>
      <c r="G27" s="217">
        <f t="shared" ref="G27:G32" si="3">ROUNDUP(((D27*E27)*(1+F27)),0)</f>
        <v>13</v>
      </c>
      <c r="H27" s="143">
        <f>IF($A27=0,"",VLOOKUP($A27,'00_MO'!$A$4:$D$7,4,FALSE))</f>
        <v>120000</v>
      </c>
      <c r="I27" s="143">
        <f t="shared" ref="I27:I32" si="4">G27*H27</f>
        <v>1560000</v>
      </c>
      <c r="K27" s="153" t="s">
        <v>1065</v>
      </c>
    </row>
    <row r="28" ht="14.25" customHeight="1">
      <c r="A28" s="61" t="s">
        <v>623</v>
      </c>
      <c r="B28" s="92" t="str">
        <f>IF($A28=0,"",VLOOKUP($A28,'00_MO'!$A$4:$D$7,2,FALSE))</f>
        <v>Puntero</v>
      </c>
      <c r="C28" s="92" t="str">
        <f>IF($A28=0,"",VLOOKUP($A28,'00_MO'!$A$4:$D$7,3,FALSE))</f>
        <v>u</v>
      </c>
      <c r="D28" s="229">
        <v>2.0</v>
      </c>
      <c r="E28" s="229">
        <v>10.0</v>
      </c>
      <c r="F28" s="236">
        <v>0.25</v>
      </c>
      <c r="G28" s="217">
        <f t="shared" si="3"/>
        <v>25</v>
      </c>
      <c r="H28" s="143">
        <f>IF($A28=0,"",VLOOKUP($A28,'00_MO'!$A$4:$D$7,4,FALSE))</f>
        <v>105000</v>
      </c>
      <c r="I28" s="143">
        <f t="shared" si="4"/>
        <v>2625000</v>
      </c>
    </row>
    <row r="29" ht="14.25" customHeight="1">
      <c r="A29" s="61" t="s">
        <v>625</v>
      </c>
      <c r="B29" s="92" t="str">
        <f>IF($A29=0,"",VLOOKUP($A29,'00_MO'!$A$4:$D$7,2,FALSE))</f>
        <v>Oficial</v>
      </c>
      <c r="C29" s="92" t="str">
        <f>IF($A29=0,"",VLOOKUP($A29,'00_MO'!$A$4:$D$7,3,FALSE))</f>
        <v>u</v>
      </c>
      <c r="D29" s="229">
        <v>3.0</v>
      </c>
      <c r="E29" s="229">
        <v>10.0</v>
      </c>
      <c r="F29" s="236">
        <v>0.25</v>
      </c>
      <c r="G29" s="217">
        <f t="shared" si="3"/>
        <v>38</v>
      </c>
      <c r="H29" s="143">
        <f>IF($A29=0,"",VLOOKUP($A29,'00_MO'!$A$4:$D$7,4,FALSE))</f>
        <v>90000</v>
      </c>
      <c r="I29" s="143">
        <f t="shared" si="4"/>
        <v>3420000</v>
      </c>
    </row>
    <row r="30" ht="14.25" customHeight="1">
      <c r="A30" s="61" t="s">
        <v>627</v>
      </c>
      <c r="B30" s="92" t="str">
        <f>IF($A30=0,"",VLOOKUP($A30,'00_MO'!$A$4:$D$7,2,FALSE))</f>
        <v>Ayudante</v>
      </c>
      <c r="C30" s="92" t="str">
        <f>IF($A30=0,"",VLOOKUP($A30,'00_MO'!$A$4:$D$7,3,FALSE))</f>
        <v>u</v>
      </c>
      <c r="D30" s="229">
        <v>3.0</v>
      </c>
      <c r="E30" s="229">
        <v>10.0</v>
      </c>
      <c r="F30" s="236">
        <v>0.25</v>
      </c>
      <c r="G30" s="217">
        <f t="shared" si="3"/>
        <v>38</v>
      </c>
      <c r="H30" s="143">
        <f>IF($A30=0,"",VLOOKUP($A30,'00_MO'!$A$4:$D$7,4,FALSE))</f>
        <v>60000</v>
      </c>
      <c r="I30" s="143">
        <f t="shared" si="4"/>
        <v>2280000</v>
      </c>
    </row>
    <row r="31" ht="14.25" customHeight="1">
      <c r="A31" s="204"/>
      <c r="B31" s="92" t="str">
        <f>IF($A31=0,"",VLOOKUP($A31,'00_MO'!$A$4:$D$7,2,FALSE))</f>
        <v/>
      </c>
      <c r="C31" s="92" t="str">
        <f>IF($A31=0,"",VLOOKUP($A31,'00_MO'!$A$4:$D$7,3,FALSE))</f>
        <v/>
      </c>
      <c r="D31" s="204"/>
      <c r="E31" s="229"/>
      <c r="F31" s="206"/>
      <c r="G31" s="217">
        <f t="shared" si="3"/>
        <v>0</v>
      </c>
      <c r="H31" s="143" t="str">
        <f>IF($A31=0,"",VLOOKUP($A31,'00_MO'!$A$4:$D$7,4,FALSE))</f>
        <v/>
      </c>
      <c r="I31" s="143">
        <f t="shared" si="4"/>
        <v>0</v>
      </c>
    </row>
    <row r="32" ht="14.25" customHeight="1">
      <c r="A32" s="204"/>
      <c r="B32" s="92" t="str">
        <f>IF($A32=0,"",VLOOKUP($A32,'00_MO'!$A$4:$D$7,2,FALSE))</f>
        <v/>
      </c>
      <c r="C32" s="92" t="str">
        <f>IF($A32=0,"",VLOOKUP($A32,'00_MO'!$A$4:$D$7,3,FALSE))</f>
        <v/>
      </c>
      <c r="D32" s="204"/>
      <c r="E32" s="204"/>
      <c r="F32" s="206"/>
      <c r="G32" s="217">
        <f t="shared" si="3"/>
        <v>0</v>
      </c>
      <c r="H32" s="143" t="str">
        <f>IF($A32=0,"",VLOOKUP($A32,'00_MO'!$A$4:$D$7,4,FALSE))</f>
        <v/>
      </c>
      <c r="I32" s="143">
        <f t="shared" si="4"/>
        <v>0</v>
      </c>
    </row>
    <row r="33" ht="14.25" customHeight="1">
      <c r="F33" s="208"/>
      <c r="G33" s="3"/>
      <c r="H33" s="143"/>
      <c r="I33" s="143"/>
    </row>
    <row r="34" ht="14.25" customHeight="1">
      <c r="A34" s="222" t="s">
        <v>987</v>
      </c>
      <c r="B34" s="223"/>
      <c r="C34" s="223"/>
      <c r="D34" s="223"/>
      <c r="E34" s="223"/>
      <c r="F34" s="223"/>
      <c r="G34" s="211"/>
      <c r="H34" s="223"/>
      <c r="I34" s="224">
        <f>SUM(I27:I32)</f>
        <v>9885000</v>
      </c>
    </row>
    <row r="35" ht="14.25" customHeight="1">
      <c r="A35" s="232" t="str">
        <f>$I$3</f>
        <v>m³</v>
      </c>
      <c r="B35" s="233"/>
      <c r="C35" s="233"/>
      <c r="D35" s="233"/>
      <c r="E35" s="233"/>
      <c r="F35" s="233"/>
      <c r="G35" s="21"/>
      <c r="H35" s="233"/>
      <c r="I35" s="205">
        <f>$H$3</f>
        <v>18</v>
      </c>
      <c r="J35" s="92"/>
      <c r="K35" s="92"/>
      <c r="L35" s="92"/>
    </row>
    <row r="36" ht="14.25" customHeight="1">
      <c r="A36" s="234" t="s">
        <v>997</v>
      </c>
      <c r="B36" s="232" t="str">
        <f>A35</f>
        <v>m³</v>
      </c>
      <c r="C36" s="233"/>
      <c r="D36" s="233"/>
      <c r="E36" s="233"/>
      <c r="F36" s="233"/>
      <c r="G36" s="21"/>
      <c r="H36" s="233"/>
      <c r="I36" s="235">
        <f>I34/I35</f>
        <v>549166.6667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01" t="s">
        <v>1000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02" t="s">
        <v>988</v>
      </c>
      <c r="B40" s="202" t="s">
        <v>989</v>
      </c>
      <c r="C40" s="202" t="s">
        <v>990</v>
      </c>
      <c r="D40" s="202" t="s">
        <v>991</v>
      </c>
      <c r="E40" s="202" t="s">
        <v>999</v>
      </c>
      <c r="F40" s="202" t="s">
        <v>992</v>
      </c>
      <c r="G40" s="4" t="s">
        <v>993</v>
      </c>
      <c r="H40" s="202" t="s">
        <v>994</v>
      </c>
      <c r="I40" s="202" t="s">
        <v>995</v>
      </c>
    </row>
    <row r="41" ht="14.25" customHeight="1">
      <c r="A41" s="204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04"/>
      <c r="E41" s="204"/>
      <c r="F41" s="206"/>
      <c r="G41" s="217">
        <f t="shared" ref="G41:G46" si="5">ROUNDUP(((D41*E41)*(1+F41)),0)</f>
        <v>0</v>
      </c>
      <c r="H41" s="143" t="str">
        <f>IF($A41=0,"",VLOOKUP($A41,'00_Eq'!$A$4:$D$100,4,FALSE))</f>
        <v/>
      </c>
      <c r="I41" s="143">
        <f t="shared" ref="I41:I44" si="6">G41*H41</f>
        <v>0</v>
      </c>
    </row>
    <row r="42" ht="14.25" customHeight="1">
      <c r="A42" s="204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04"/>
      <c r="E42" s="204"/>
      <c r="F42" s="206"/>
      <c r="G42" s="217">
        <f t="shared" si="5"/>
        <v>0</v>
      </c>
      <c r="H42" s="143" t="str">
        <f>IF($A42=0,"",VLOOKUP($A42,'00_Eq'!$A$4:$D$100,4,FALSE))</f>
        <v/>
      </c>
      <c r="I42" s="143">
        <f t="shared" si="6"/>
        <v>0</v>
      </c>
    </row>
    <row r="43" ht="14.25" customHeight="1">
      <c r="A43" s="204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04"/>
      <c r="E43" s="204"/>
      <c r="F43" s="206"/>
      <c r="G43" s="217">
        <f t="shared" si="5"/>
        <v>0</v>
      </c>
      <c r="H43" s="143" t="str">
        <f>IF($A43=0,"",VLOOKUP($A43,'00_Eq'!$A$4:$D$100,4,FALSE))</f>
        <v/>
      </c>
      <c r="I43" s="143">
        <f t="shared" si="6"/>
        <v>0</v>
      </c>
    </row>
    <row r="44" ht="14.25" customHeight="1">
      <c r="A44" s="204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04"/>
      <c r="E44" s="204"/>
      <c r="F44" s="206"/>
      <c r="G44" s="217">
        <f t="shared" si="5"/>
        <v>0</v>
      </c>
      <c r="H44" s="143" t="str">
        <f>IF($A44=0,"",VLOOKUP($A44,'00_Eq'!$A$4:$D$100,4,FALSE))</f>
        <v/>
      </c>
      <c r="I44" s="143">
        <f t="shared" si="6"/>
        <v>0</v>
      </c>
    </row>
    <row r="45" ht="14.25" customHeight="1">
      <c r="A45" s="204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04"/>
      <c r="E45" s="204"/>
      <c r="F45" s="206"/>
      <c r="G45" s="217">
        <f t="shared" si="5"/>
        <v>0</v>
      </c>
      <c r="H45" s="143" t="str">
        <f>IF($A45=0,"",VLOOKUP($A45,'00_Eq'!$A$4:$D$100,4,FALSE))</f>
        <v/>
      </c>
      <c r="I45" s="143"/>
    </row>
    <row r="46" ht="14.25" customHeight="1">
      <c r="A46" s="204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04"/>
      <c r="E46" s="204"/>
      <c r="F46" s="206"/>
      <c r="G46" s="217">
        <f t="shared" si="5"/>
        <v>0</v>
      </c>
      <c r="H46" s="143" t="str">
        <f>IF($A46=0,"",VLOOKUP($A46,'00_Eq'!$A$4:$D$100,4,FALSE))</f>
        <v/>
      </c>
      <c r="I46" s="143"/>
    </row>
    <row r="47" ht="14.25" customHeight="1">
      <c r="F47" s="208"/>
      <c r="G47" s="3"/>
      <c r="H47" s="143"/>
      <c r="I47" s="143"/>
    </row>
    <row r="48" ht="14.25" customHeight="1">
      <c r="A48" s="222" t="s">
        <v>987</v>
      </c>
      <c r="B48" s="223"/>
      <c r="C48" s="223"/>
      <c r="D48" s="223"/>
      <c r="E48" s="223"/>
      <c r="F48" s="223"/>
      <c r="G48" s="211"/>
      <c r="H48" s="223"/>
      <c r="I48" s="224">
        <f>SUM(I41:I46)</f>
        <v>0</v>
      </c>
    </row>
    <row r="49" ht="14.25" customHeight="1">
      <c r="A49" s="232" t="str">
        <f>$I$3</f>
        <v>m³</v>
      </c>
      <c r="B49" s="233"/>
      <c r="C49" s="233"/>
      <c r="D49" s="233"/>
      <c r="E49" s="233"/>
      <c r="F49" s="233"/>
      <c r="G49" s="21"/>
      <c r="H49" s="233"/>
      <c r="I49" s="205">
        <f>$H$3</f>
        <v>18</v>
      </c>
      <c r="J49" s="92"/>
      <c r="K49" s="92"/>
      <c r="L49" s="92"/>
    </row>
    <row r="50" ht="14.25" customHeight="1">
      <c r="A50" s="234" t="s">
        <v>997</v>
      </c>
      <c r="B50" s="232" t="str">
        <f>A49</f>
        <v>m³</v>
      </c>
      <c r="C50" s="233"/>
      <c r="D50" s="233"/>
      <c r="E50" s="233"/>
      <c r="F50" s="233"/>
      <c r="G50" s="21"/>
      <c r="H50" s="233"/>
      <c r="I50" s="235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01" t="s">
        <v>1010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02" t="s">
        <v>988</v>
      </c>
      <c r="B54" s="202" t="s">
        <v>989</v>
      </c>
      <c r="C54" s="202" t="s">
        <v>990</v>
      </c>
      <c r="D54" s="202" t="s">
        <v>991</v>
      </c>
      <c r="E54" s="202"/>
      <c r="F54" s="202" t="s">
        <v>992</v>
      </c>
      <c r="G54" s="4" t="s">
        <v>993</v>
      </c>
      <c r="H54" s="202" t="s">
        <v>994</v>
      </c>
      <c r="I54" s="202" t="s">
        <v>995</v>
      </c>
    </row>
    <row r="55" ht="14.25" customHeight="1">
      <c r="A55" s="3"/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30"/>
      <c r="E55" s="204"/>
      <c r="F55" s="236">
        <v>0.1</v>
      </c>
      <c r="G55" s="221">
        <f t="shared" ref="G55:G60" si="7">ROUNDUP((D55+(D55*F55)),0)</f>
        <v>0</v>
      </c>
      <c r="H55" s="143" t="str">
        <f>IF($A55=0,"",VLOOKUP($A55,'00_Mat'!$A$4:$J$1135,5,FALSE))</f>
        <v/>
      </c>
      <c r="I55" s="143">
        <f t="shared" ref="I55:I60" si="8">G55*H55</f>
        <v>0</v>
      </c>
      <c r="J55" s="237"/>
    </row>
    <row r="56" ht="14.25" customHeight="1">
      <c r="A56" s="3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0"/>
      <c r="E56" s="204"/>
      <c r="F56" s="236">
        <v>0.1</v>
      </c>
      <c r="G56" s="221">
        <f t="shared" si="7"/>
        <v>0</v>
      </c>
      <c r="H56" s="143" t="str">
        <f>IF($A56=0,"",VLOOKUP($A56,'00_Mat'!$A$4:$J$1135,5,FALSE))</f>
        <v/>
      </c>
      <c r="I56" s="143">
        <f t="shared" si="8"/>
        <v>0</v>
      </c>
      <c r="J56" s="237"/>
    </row>
    <row r="57" ht="14.25" customHeight="1">
      <c r="A57" s="3" t="s">
        <v>75</v>
      </c>
      <c r="B57" s="92" t="str">
        <f>IF($A57=0,"",VLOOKUP($A57,'00_Mat'!$A$4:$J$1135,2,FALSE))</f>
        <v>Clavos 2" punta paris (k)</v>
      </c>
      <c r="C57" s="92" t="str">
        <f>IF($A57=0,"",VLOOKUP($A57,'00_Mat'!$A$4:$J$1135,3,FALSE))</f>
        <v>k</v>
      </c>
      <c r="D57" s="230">
        <v>10.0</v>
      </c>
      <c r="E57" s="204"/>
      <c r="F57" s="236">
        <v>0.1</v>
      </c>
      <c r="G57" s="221">
        <f t="shared" si="7"/>
        <v>11</v>
      </c>
      <c r="H57" s="143">
        <f>IF($A57=0,"",VLOOKUP($A57,'00_Mat'!$A$4:$J$1135,5,FALSE))</f>
        <v>4500</v>
      </c>
      <c r="I57" s="143">
        <f t="shared" si="8"/>
        <v>49500</v>
      </c>
      <c r="J57" s="153" t="s">
        <v>1013</v>
      </c>
      <c r="L57" s="153" t="s">
        <v>1011</v>
      </c>
      <c r="M57" s="153" t="s">
        <v>1012</v>
      </c>
    </row>
    <row r="58" ht="14.25" customHeight="1">
      <c r="A58" s="20" t="s">
        <v>81</v>
      </c>
      <c r="B58" s="92" t="str">
        <f>IF($A58=0,"",VLOOKUP($A58,'00_Mat'!$A$4:$J$1135,2,FALSE))</f>
        <v>Alambre Fardo (50 k)</v>
      </c>
      <c r="C58" s="92" t="str">
        <f>IF($A58=0,"",VLOOKUP($A58,'00_Mat'!$A$4:$J$1135,3,FALSE))</f>
        <v>k</v>
      </c>
      <c r="D58" s="230">
        <v>1.0</v>
      </c>
      <c r="E58" s="204"/>
      <c r="F58" s="236">
        <v>0.0</v>
      </c>
      <c r="G58" s="221">
        <f t="shared" si="7"/>
        <v>1</v>
      </c>
      <c r="H58" s="143">
        <f>IF($A58=0,"",VLOOKUP($A58,'00_Mat'!$A$4:$J$1135,5,FALSE))</f>
        <v>220000</v>
      </c>
      <c r="I58" s="143">
        <f t="shared" si="8"/>
        <v>220000</v>
      </c>
      <c r="J58" s="153" t="s">
        <v>1033</v>
      </c>
    </row>
    <row r="59" ht="14.25" customHeight="1">
      <c r="C59" s="92" t="str">
        <f>IF($A58=0,"",VLOOKUP($A58,'00_Mat'!$A$4:$J$1135,3,FALSE))</f>
        <v>k</v>
      </c>
      <c r="D59" s="230"/>
      <c r="E59" s="204"/>
      <c r="F59" s="236">
        <v>0.1</v>
      </c>
      <c r="G59" s="221">
        <f t="shared" si="7"/>
        <v>0</v>
      </c>
      <c r="H59" s="143" t="str">
        <f>IF($A59=0,"",VLOOKUP($A59,'00_Mat'!$A$4:$J$1135,5,FALSE))</f>
        <v/>
      </c>
      <c r="I59" s="143">
        <f t="shared" si="8"/>
        <v>0</v>
      </c>
    </row>
    <row r="60" ht="14.25" customHeight="1">
      <c r="A60" s="204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05"/>
      <c r="E60" s="204"/>
      <c r="F60" s="206"/>
      <c r="G60" s="221">
        <f t="shared" si="7"/>
        <v>0</v>
      </c>
      <c r="H60" s="143" t="str">
        <f>IF($A60=0,"",VLOOKUP($A60,'00_Mat'!$A$4:$J$1135,5,FALSE))</f>
        <v/>
      </c>
      <c r="I60" s="143">
        <f t="shared" si="8"/>
        <v>0</v>
      </c>
    </row>
    <row r="61" ht="14.25" customHeight="1">
      <c r="F61" s="208"/>
      <c r="G61" s="3"/>
      <c r="H61" s="143"/>
      <c r="I61" s="143"/>
    </row>
    <row r="62" ht="14.25" customHeight="1">
      <c r="A62" s="222" t="s">
        <v>987</v>
      </c>
      <c r="B62" s="223"/>
      <c r="C62" s="223"/>
      <c r="D62" s="223"/>
      <c r="E62" s="223"/>
      <c r="F62" s="223"/>
      <c r="G62" s="211"/>
      <c r="H62" s="223"/>
      <c r="I62" s="224">
        <f>SUM(I55:I60)</f>
        <v>269500</v>
      </c>
    </row>
    <row r="63" ht="14.25" customHeight="1">
      <c r="A63" s="232" t="str">
        <f>$I$3</f>
        <v>m³</v>
      </c>
      <c r="B63" s="233"/>
      <c r="C63" s="233"/>
      <c r="D63" s="233"/>
      <c r="E63" s="233"/>
      <c r="F63" s="233"/>
      <c r="G63" s="21"/>
      <c r="H63" s="233"/>
      <c r="I63" s="205">
        <f>$H$3</f>
        <v>18</v>
      </c>
      <c r="J63" s="92"/>
      <c r="K63" s="92"/>
      <c r="L63" s="92"/>
    </row>
    <row r="64" ht="14.25" customHeight="1">
      <c r="A64" s="234" t="s">
        <v>997</v>
      </c>
      <c r="B64" s="232" t="str">
        <f>A63</f>
        <v>m³</v>
      </c>
      <c r="C64" s="233"/>
      <c r="D64" s="233"/>
      <c r="E64" s="233"/>
      <c r="F64" s="233"/>
      <c r="G64" s="21"/>
      <c r="H64" s="233"/>
      <c r="I64" s="235">
        <f>I62/I63</f>
        <v>14972.22222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01" t="s">
        <v>1025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02" t="s">
        <v>988</v>
      </c>
      <c r="B68" s="202" t="s">
        <v>989</v>
      </c>
      <c r="C68" s="202" t="s">
        <v>990</v>
      </c>
      <c r="D68" s="202" t="s">
        <v>991</v>
      </c>
      <c r="E68" s="202" t="s">
        <v>999</v>
      </c>
      <c r="F68" s="202" t="s">
        <v>992</v>
      </c>
      <c r="G68" s="4" t="s">
        <v>993</v>
      </c>
      <c r="H68" s="202" t="s">
        <v>994</v>
      </c>
      <c r="I68" s="202" t="s">
        <v>995</v>
      </c>
    </row>
    <row r="69" ht="14.25" customHeight="1">
      <c r="A69" s="204"/>
      <c r="B69" s="92" t="str">
        <f>IF($A69=0,"",VLOOKUP($A69,'00_Sub'!$A$4:$D$1007,2,FALSE))</f>
        <v/>
      </c>
      <c r="C69" s="92" t="str">
        <f>IF($A69=0,"",VLOOKUP($A69,'00_Sub'!$A$4:$D$1007,3,FALSE))</f>
        <v/>
      </c>
      <c r="D69" s="204"/>
      <c r="E69" s="204"/>
      <c r="F69" s="206"/>
      <c r="G69" s="221">
        <f t="shared" ref="G69:G74" si="9">ROUNDUP((D69+(D69*F69)),0)</f>
        <v>0</v>
      </c>
      <c r="H69" s="143" t="str">
        <f>IF($A69=0,"",VLOOKUP($A69,'00_Sub'!$A$4:$D$1007,4,FALSE))</f>
        <v/>
      </c>
      <c r="I69" s="143"/>
    </row>
    <row r="70" ht="14.25" customHeight="1">
      <c r="A70" s="204"/>
      <c r="B70" s="92" t="str">
        <f>IF($A70=0,"",VLOOKUP($A70,'00_Sub'!$A$4:$D$1007,2,FALSE))</f>
        <v/>
      </c>
      <c r="C70" s="92" t="str">
        <f>IF($A70=0,"",VLOOKUP($A70,'00_Sub'!$A$4:$D$1007,3,FALSE))</f>
        <v/>
      </c>
      <c r="D70" s="204"/>
      <c r="E70" s="204"/>
      <c r="F70" s="206"/>
      <c r="G70" s="221">
        <f t="shared" si="9"/>
        <v>0</v>
      </c>
      <c r="H70" s="143" t="str">
        <f>IF($A70=0,"",VLOOKUP($A70,'00_Sub'!$A$4:$D$1007,4,FALSE))</f>
        <v/>
      </c>
      <c r="I70" s="143"/>
    </row>
    <row r="71" ht="14.25" customHeight="1">
      <c r="A71" s="204"/>
      <c r="B71" s="92" t="str">
        <f>IF($A71=0,"",VLOOKUP($A71,'00_Sub'!$A$4:$D$1007,2,FALSE))</f>
        <v/>
      </c>
      <c r="C71" s="92" t="str">
        <f>IF($A71=0,"",VLOOKUP($A71,'00_Sub'!$A$4:$D$1007,3,FALSE))</f>
        <v/>
      </c>
      <c r="D71" s="204"/>
      <c r="E71" s="204"/>
      <c r="F71" s="206"/>
      <c r="G71" s="221">
        <f t="shared" si="9"/>
        <v>0</v>
      </c>
      <c r="H71" s="143" t="str">
        <f>IF($A71=0,"",VLOOKUP($A71,'00_Sub'!$A$4:$D$1007,4,FALSE))</f>
        <v/>
      </c>
      <c r="I71" s="143"/>
    </row>
    <row r="72" ht="14.25" customHeight="1">
      <c r="A72" s="204"/>
      <c r="B72" s="92" t="str">
        <f>IF($A72=0,"",VLOOKUP($A72,'00_Sub'!$A$4:$D$1007,2,FALSE))</f>
        <v/>
      </c>
      <c r="C72" s="92" t="str">
        <f>IF($A72=0,"",VLOOKUP($A72,'00_Sub'!$A$4:$D$1007,3,FALSE))</f>
        <v/>
      </c>
      <c r="D72" s="204"/>
      <c r="E72" s="204"/>
      <c r="F72" s="206"/>
      <c r="G72" s="221">
        <f t="shared" si="9"/>
        <v>0</v>
      </c>
      <c r="H72" s="143" t="str">
        <f>IF($A72=0,"",VLOOKUP($A72,'00_Sub'!$A$4:$D$1007,4,FALSE))</f>
        <v/>
      </c>
      <c r="I72" s="143"/>
    </row>
    <row r="73" ht="14.25" customHeight="1">
      <c r="A73" s="204"/>
      <c r="B73" s="92" t="str">
        <f>IF($A73=0,"",VLOOKUP($A73,'00_Sub'!$A$4:$D$1007,2,FALSE))</f>
        <v/>
      </c>
      <c r="C73" s="92" t="str">
        <f>IF($A73=0,"",VLOOKUP($A73,'00_Sub'!$A$4:$D$1007,3,FALSE))</f>
        <v/>
      </c>
      <c r="D73" s="204"/>
      <c r="E73" s="204"/>
      <c r="F73" s="206"/>
      <c r="G73" s="221">
        <f t="shared" si="9"/>
        <v>0</v>
      </c>
      <c r="H73" s="143" t="str">
        <f>IF($A73=0,"",VLOOKUP($A73,'00_Sub'!$A$4:$D$1007,4,FALSE))</f>
        <v/>
      </c>
      <c r="I73" s="143"/>
    </row>
    <row r="74" ht="14.25" customHeight="1">
      <c r="A74" s="204"/>
      <c r="B74" s="92" t="str">
        <f>IF($A74=0,"",VLOOKUP($A74,'00_Sub'!$A$4:$D$1007,2,FALSE))</f>
        <v/>
      </c>
      <c r="C74" s="92" t="str">
        <f>IF($A74=0,"",VLOOKUP($A74,'00_Sub'!$A$4:$D$1007,3,FALSE))</f>
        <v/>
      </c>
      <c r="D74" s="204"/>
      <c r="E74" s="204"/>
      <c r="F74" s="206"/>
      <c r="G74" s="221">
        <f t="shared" si="9"/>
        <v>0</v>
      </c>
      <c r="H74" s="143" t="str">
        <f>IF($A74=0,"",VLOOKUP($A74,'00_Sub'!$A$4:$D$1007,4,FALSE))</f>
        <v/>
      </c>
      <c r="I74" s="143"/>
    </row>
    <row r="75" ht="14.25" customHeight="1">
      <c r="F75" s="208"/>
      <c r="G75" s="3"/>
      <c r="H75" s="143"/>
      <c r="I75" s="143"/>
    </row>
    <row r="76" ht="14.25" customHeight="1">
      <c r="A76" s="222" t="s">
        <v>987</v>
      </c>
      <c r="B76" s="223"/>
      <c r="C76" s="223"/>
      <c r="D76" s="223"/>
      <c r="E76" s="223"/>
      <c r="F76" s="223"/>
      <c r="G76" s="211"/>
      <c r="H76" s="223"/>
      <c r="I76" s="224">
        <f>SUM(I69:I74)</f>
        <v>0</v>
      </c>
    </row>
    <row r="77" ht="14.25" customHeight="1">
      <c r="A77" s="232" t="str">
        <f>$I$3</f>
        <v>m³</v>
      </c>
      <c r="B77" s="233"/>
      <c r="C77" s="233"/>
      <c r="D77" s="233"/>
      <c r="E77" s="233"/>
      <c r="F77" s="233"/>
      <c r="G77" s="21"/>
      <c r="H77" s="233"/>
      <c r="I77" s="205">
        <f>$H$3</f>
        <v>18</v>
      </c>
      <c r="J77" s="92"/>
      <c r="K77" s="92"/>
      <c r="L77" s="92"/>
    </row>
    <row r="78" ht="14.25" customHeight="1">
      <c r="A78" s="234" t="s">
        <v>997</v>
      </c>
      <c r="B78" s="232" t="str">
        <f>A77</f>
        <v>m³</v>
      </c>
      <c r="C78" s="233"/>
      <c r="D78" s="233"/>
      <c r="E78" s="233"/>
      <c r="F78" s="233"/>
      <c r="G78" s="21"/>
      <c r="H78" s="233"/>
      <c r="I78" s="235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18"/>
      <c r="B82" s="219"/>
      <c r="C82" s="219"/>
      <c r="D82" s="219"/>
      <c r="E82" s="219"/>
      <c r="F82" s="219"/>
      <c r="G82" s="3"/>
      <c r="H82" s="219"/>
      <c r="I82" s="219"/>
    </row>
    <row r="83" ht="14.25" customHeight="1">
      <c r="A83" s="218"/>
      <c r="B83" s="219"/>
      <c r="C83" s="219"/>
      <c r="D83" s="219"/>
      <c r="E83" s="219"/>
      <c r="F83" s="219"/>
      <c r="G83" s="3"/>
      <c r="H83" s="219"/>
      <c r="I83" s="219"/>
    </row>
    <row r="84" ht="14.25" customHeight="1">
      <c r="G84" s="3"/>
      <c r="H84" s="208"/>
      <c r="I84" s="143"/>
    </row>
    <row r="85" ht="14.25" customHeight="1">
      <c r="G85" s="3"/>
      <c r="H85" s="208"/>
      <c r="I85" s="143"/>
    </row>
    <row r="86" ht="14.25" customHeight="1">
      <c r="A86" s="218"/>
      <c r="B86" s="219"/>
      <c r="C86" s="219"/>
      <c r="D86" s="219"/>
      <c r="E86" s="219"/>
      <c r="F86" s="219"/>
      <c r="G86" s="3"/>
      <c r="H86" s="219"/>
      <c r="I86" s="225"/>
    </row>
    <row r="87" ht="14.25" customHeight="1">
      <c r="G87" s="3"/>
      <c r="H87" s="208"/>
      <c r="I87" s="143"/>
    </row>
    <row r="88" ht="14.25" customHeight="1">
      <c r="G88" s="3"/>
      <c r="H88" s="208"/>
      <c r="I88" s="143"/>
    </row>
    <row r="89" ht="14.25" customHeight="1">
      <c r="G89" s="3"/>
      <c r="H89" s="208"/>
      <c r="I89" s="143"/>
    </row>
    <row r="90" ht="14.25" customHeight="1">
      <c r="A90" s="218"/>
      <c r="B90" s="219"/>
      <c r="C90" s="219"/>
      <c r="D90" s="219"/>
      <c r="E90" s="219"/>
      <c r="F90" s="219"/>
      <c r="G90" s="3"/>
      <c r="H90" s="219"/>
      <c r="I90" s="225"/>
    </row>
    <row r="91" ht="14.25" customHeight="1">
      <c r="G91" s="3"/>
      <c r="H91" s="208"/>
      <c r="I91" s="143"/>
    </row>
    <row r="92" ht="14.25" customHeight="1">
      <c r="G92" s="3"/>
      <c r="H92" s="208"/>
      <c r="I92" s="143"/>
    </row>
    <row r="93" ht="14.25" customHeight="1">
      <c r="A93" s="218"/>
      <c r="B93" s="219"/>
      <c r="C93" s="219"/>
      <c r="D93" s="219"/>
      <c r="E93" s="219"/>
      <c r="F93" s="219"/>
      <c r="G93" s="3"/>
      <c r="H93" s="219"/>
      <c r="I93" s="225"/>
    </row>
    <row r="94" ht="14.25" customHeight="1">
      <c r="G94" s="3"/>
      <c r="H94" s="208"/>
      <c r="I94" s="143"/>
    </row>
    <row r="95" ht="14.25" customHeight="1">
      <c r="G95" s="3"/>
      <c r="H95" s="208"/>
      <c r="I95" s="143"/>
    </row>
    <row r="96" ht="14.25" customHeight="1">
      <c r="A96" s="218"/>
      <c r="B96" s="219"/>
      <c r="C96" s="219"/>
      <c r="D96" s="219"/>
      <c r="E96" s="219"/>
      <c r="F96" s="219"/>
      <c r="G96" s="3"/>
      <c r="H96" s="219"/>
      <c r="I96" s="225"/>
    </row>
    <row r="97" ht="14.25" customHeight="1">
      <c r="A97" s="218"/>
      <c r="B97" s="219"/>
      <c r="C97" s="219"/>
      <c r="D97" s="219"/>
      <c r="E97" s="219"/>
      <c r="F97" s="219"/>
      <c r="G97" s="3"/>
      <c r="H97" s="247"/>
      <c r="I97" s="225"/>
    </row>
    <row r="98" ht="14.25" customHeight="1">
      <c r="A98" s="218"/>
      <c r="B98" s="219"/>
      <c r="C98" s="219"/>
      <c r="D98" s="219"/>
      <c r="E98" s="219"/>
      <c r="F98" s="219"/>
      <c r="G98" s="3"/>
      <c r="H98" s="219"/>
      <c r="I98" s="22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1" width="8.71"/>
    <col customWidth="1" min="12" max="12" width="10.14"/>
    <col customWidth="1" min="13" max="13" width="19.29"/>
  </cols>
  <sheetData>
    <row r="1" ht="33.75" customHeight="1">
      <c r="A1" s="91" t="str">
        <f>'01_C&amp;P'!A1</f>
        <v>EDIFICIO LAS HERAS</v>
      </c>
      <c r="B1" s="91"/>
      <c r="C1" s="91"/>
      <c r="G1" s="3"/>
    </row>
    <row r="2" ht="14.25" customHeight="1">
      <c r="G2" s="3"/>
    </row>
    <row r="3" ht="23.25" customHeight="1">
      <c r="A3" s="195">
        <f>'01_C&amp;P'!A49</f>
        <v>46056</v>
      </c>
      <c r="B3" s="196" t="str">
        <f>IF($A3=0,"",VLOOKUP($A3,'01_C&amp;P'!$A$9:$D$192,2,FALSE))</f>
        <v>VIGAS </v>
      </c>
      <c r="C3" s="197"/>
      <c r="D3" s="197"/>
      <c r="E3" s="197"/>
      <c r="F3" s="197"/>
      <c r="G3" s="198"/>
      <c r="H3" s="199">
        <f>IF($A3=0,"",VLOOKUP($A3,'01_C&amp;P'!$A$9:$D$192,4,FALSE))</f>
        <v>13</v>
      </c>
      <c r="I3" s="200" t="str">
        <f>IF($A3=0,"",VLOOKUP($A3,'01_C&amp;P'!$A$9:$D$192,3,FALSE))</f>
        <v>m³</v>
      </c>
      <c r="M3" s="85" t="s">
        <v>1070</v>
      </c>
    </row>
    <row r="4" ht="14.25" customHeight="1">
      <c r="G4" s="3"/>
    </row>
    <row r="5" ht="14.25" customHeight="1">
      <c r="A5" s="201" t="s">
        <v>0</v>
      </c>
      <c r="B5" s="94"/>
      <c r="C5" s="94"/>
      <c r="D5" s="94"/>
      <c r="E5" s="94"/>
      <c r="F5" s="94"/>
      <c r="G5" s="2"/>
      <c r="H5" s="94"/>
      <c r="I5" s="94"/>
    </row>
    <row r="6" ht="14.25" customHeight="1">
      <c r="A6" s="202" t="s">
        <v>988</v>
      </c>
      <c r="B6" s="202" t="s">
        <v>989</v>
      </c>
      <c r="C6" s="202" t="s">
        <v>990</v>
      </c>
      <c r="D6" s="203" t="s">
        <v>991</v>
      </c>
      <c r="E6" s="197"/>
      <c r="F6" s="202" t="s">
        <v>992</v>
      </c>
      <c r="G6" s="4" t="s">
        <v>993</v>
      </c>
      <c r="H6" s="202" t="s">
        <v>994</v>
      </c>
      <c r="I6" s="202" t="s">
        <v>995</v>
      </c>
    </row>
    <row r="7" ht="14.25" customHeight="1">
      <c r="A7" s="229" t="s">
        <v>560</v>
      </c>
      <c r="B7" s="92" t="str">
        <f>IF($A7=0,"",VLOOKUP($A7,'00_Mat'!$A$4:$J$1135,2,FALSE))</f>
        <v>Hormigon H30</v>
      </c>
      <c r="C7" s="92" t="str">
        <f>IF($A7=0,"",VLOOKUP($A7,'00_Mat'!$A$4:$J$1135,3,FALSE))</f>
        <v>m3</v>
      </c>
      <c r="D7" s="230">
        <f>H3</f>
        <v>13</v>
      </c>
      <c r="E7" s="204"/>
      <c r="F7" s="206">
        <v>0.1</v>
      </c>
      <c r="G7" s="221">
        <f t="shared" ref="G7:G18" si="1">ROUNDUP((D7+(D7*F7)),0)</f>
        <v>15</v>
      </c>
      <c r="H7" s="143">
        <f>IF($A7=0,"",VLOOKUP($A7,'00_Mat'!$A$4:$J$1135,5,FALSE))</f>
        <v>158000</v>
      </c>
      <c r="I7" s="143">
        <f t="shared" ref="I7:I15" si="2">G7*H7</f>
        <v>2370000</v>
      </c>
      <c r="J7" s="231" t="s">
        <v>548</v>
      </c>
    </row>
    <row r="8" ht="14.25" customHeight="1">
      <c r="A8" s="3" t="s">
        <v>132</v>
      </c>
      <c r="B8" s="92" t="str">
        <f>IF($A8=0,"",VLOOKUP($A8,'00_Mat'!$A$4:$J$1135,2,FALSE))</f>
        <v>Hierros ADN 420 Φ 6 </v>
      </c>
      <c r="C8" s="92" t="str">
        <f>IF($A8=0,"",VLOOKUP($A8,'00_Mat'!$A$4:$J$1135,3,FALSE))</f>
        <v>u</v>
      </c>
      <c r="D8" s="230">
        <v>109.0</v>
      </c>
      <c r="E8" s="204"/>
      <c r="F8" s="206">
        <v>0.1</v>
      </c>
      <c r="G8" s="221">
        <f t="shared" si="1"/>
        <v>120</v>
      </c>
      <c r="H8" s="143">
        <f>IF($A8=0,"",VLOOKUP($A8,'00_Mat'!$A$4:$J$1135,5,FALSE))</f>
        <v>5250</v>
      </c>
      <c r="I8" s="143">
        <f t="shared" si="2"/>
        <v>630000</v>
      </c>
      <c r="J8" s="153" t="s">
        <v>1028</v>
      </c>
    </row>
    <row r="9" ht="14.25" customHeight="1">
      <c r="A9" s="3" t="s">
        <v>134</v>
      </c>
      <c r="B9" s="92" t="str">
        <f>IF($A9=0,"",VLOOKUP($A9,'00_Mat'!$A$4:$J$1135,2,FALSE))</f>
        <v>Hierros ADN 420 Φ 8</v>
      </c>
      <c r="C9" s="92" t="str">
        <f>IF($A9=0,"",VLOOKUP($A9,'00_Mat'!$A$4:$J$1135,3,FALSE))</f>
        <v>u</v>
      </c>
      <c r="D9" s="229">
        <v>13.0</v>
      </c>
      <c r="E9" s="204"/>
      <c r="F9" s="206">
        <v>0.1</v>
      </c>
      <c r="G9" s="221">
        <f t="shared" si="1"/>
        <v>15</v>
      </c>
      <c r="H9" s="143">
        <f>IF($A9=0,"",VLOOKUP($A9,'00_Mat'!$A$4:$J$1135,5,FALSE))</f>
        <v>9050</v>
      </c>
      <c r="I9" s="143">
        <f t="shared" si="2"/>
        <v>135750</v>
      </c>
    </row>
    <row r="10" ht="14.25" customHeight="1">
      <c r="A10" s="3" t="s">
        <v>136</v>
      </c>
      <c r="B10" s="92" t="str">
        <f>IF($A10=0,"",VLOOKUP($A10,'00_Mat'!$A$4:$J$1135,2,FALSE))</f>
        <v>Hierros ADN 420Φ 10</v>
      </c>
      <c r="C10" s="92" t="str">
        <f>IF($A10=0,"",VLOOKUP($A10,'00_Mat'!$A$4:$J$1135,3,FALSE))</f>
        <v>u</v>
      </c>
      <c r="D10" s="229">
        <v>62.0</v>
      </c>
      <c r="E10" s="204"/>
      <c r="F10" s="206">
        <v>0.1</v>
      </c>
      <c r="G10" s="221">
        <f t="shared" si="1"/>
        <v>69</v>
      </c>
      <c r="H10" s="143">
        <f>IF($A10=0,"",VLOOKUP($A10,'00_Mat'!$A$4:$J$1135,5,FALSE))</f>
        <v>11237</v>
      </c>
      <c r="I10" s="143">
        <f t="shared" si="2"/>
        <v>775353</v>
      </c>
    </row>
    <row r="11" ht="14.25" customHeight="1">
      <c r="A11" s="3" t="s">
        <v>138</v>
      </c>
      <c r="B11" s="92" t="str">
        <f>IF($A11=0,"",VLOOKUP($A11,'00_Mat'!$A$4:$J$1135,2,FALSE))</f>
        <v>Hierros ADN 420 Φ 12</v>
      </c>
      <c r="C11" s="92" t="str">
        <f>IF($A11=0,"",VLOOKUP($A11,'00_Mat'!$A$4:$J$1135,3,FALSE))</f>
        <v>u</v>
      </c>
      <c r="D11" s="229">
        <v>34.0</v>
      </c>
      <c r="E11" s="204"/>
      <c r="F11" s="206">
        <v>0.1</v>
      </c>
      <c r="G11" s="221">
        <f t="shared" si="1"/>
        <v>38</v>
      </c>
      <c r="H11" s="143">
        <f>IF($A11=0,"",VLOOKUP($A11,'00_Mat'!$A$4:$J$1135,5,FALSE))</f>
        <v>20442.5</v>
      </c>
      <c r="I11" s="143">
        <f t="shared" si="2"/>
        <v>776815</v>
      </c>
    </row>
    <row r="12" ht="14.25" customHeight="1">
      <c r="A12" s="3" t="s">
        <v>140</v>
      </c>
      <c r="B12" s="92" t="str">
        <f>IF($A12=0,"",VLOOKUP($A12,'00_Mat'!$A$4:$J$1135,2,FALSE))</f>
        <v>Hierros ADN 420 Φ 16</v>
      </c>
      <c r="C12" s="92" t="str">
        <f>IF($A12=0,"",VLOOKUP($A12,'00_Mat'!$A$4:$J$1135,3,FALSE))</f>
        <v>u</v>
      </c>
      <c r="D12" s="229">
        <v>25.0</v>
      </c>
      <c r="E12" s="204"/>
      <c r="F12" s="206">
        <v>0.1</v>
      </c>
      <c r="G12" s="221">
        <f t="shared" si="1"/>
        <v>28</v>
      </c>
      <c r="H12" s="143">
        <f>IF($A12=0,"",VLOOKUP($A12,'00_Mat'!$A$4:$J$1135,5,FALSE))</f>
        <v>36603.12</v>
      </c>
      <c r="I12" s="143">
        <f t="shared" si="2"/>
        <v>1024887.36</v>
      </c>
    </row>
    <row r="13" ht="14.25" customHeight="1">
      <c r="A13" s="20" t="s">
        <v>142</v>
      </c>
      <c r="B13" s="92" t="str">
        <f>IF($A13=0,"",VLOOKUP($A13,'00_Mat'!$A$4:$J$1135,2,FALSE))</f>
        <v>Hierros ADN 420 Φ 20</v>
      </c>
      <c r="C13" s="92" t="str">
        <f>IF($A13=0,"",VLOOKUP($A13,'00_Mat'!$A$4:$J$1135,3,FALSE))</f>
        <v>U</v>
      </c>
      <c r="D13" s="229">
        <v>9.0</v>
      </c>
      <c r="E13" s="204"/>
      <c r="F13" s="206">
        <v>0.1</v>
      </c>
      <c r="G13" s="221">
        <f t="shared" si="1"/>
        <v>10</v>
      </c>
      <c r="H13" s="143">
        <f>IF($A13=0,"",VLOOKUP($A13,'00_Mat'!$A$4:$J$1135,5,FALSE))</f>
        <v>55000</v>
      </c>
      <c r="I13" s="143">
        <f t="shared" si="2"/>
        <v>550000</v>
      </c>
    </row>
    <row r="14" ht="14.25" customHeight="1">
      <c r="A14" s="3" t="s">
        <v>300</v>
      </c>
      <c r="B14" s="92" t="str">
        <f>IF($A14=0,"",VLOOKUP($A14,'00_Mat'!$A$4:$J$1135,2,FALSE))</f>
        <v>Fenolico 18mm Miraluz 125 GR con film</v>
      </c>
      <c r="C14" s="92" t="str">
        <f>IF($A14=0,"",VLOOKUP($A14,'00_Mat'!$A$4:$J$1135,3,FALSE))</f>
        <v>u</v>
      </c>
      <c r="D14" s="229">
        <f>6/2</f>
        <v>3</v>
      </c>
      <c r="E14" s="204"/>
      <c r="F14" s="236">
        <v>0.25</v>
      </c>
      <c r="G14" s="221">
        <f t="shared" si="1"/>
        <v>4</v>
      </c>
      <c r="H14" s="143">
        <f>IF($A14=0,"",VLOOKUP($A14,'00_Mat'!$A$4:$J$1135,5,FALSE))</f>
        <v>55260</v>
      </c>
      <c r="I14" s="143">
        <f t="shared" si="2"/>
        <v>221040</v>
      </c>
      <c r="J14" s="153" t="s">
        <v>1029</v>
      </c>
    </row>
    <row r="15" ht="14.25" customHeight="1">
      <c r="A15" s="3" t="s">
        <v>303</v>
      </c>
      <c r="B15" s="92" t="str">
        <f>IF($A15=0,"",VLOOKUP($A15,'00_Mat'!$A$4:$J$1135,2,FALSE))</f>
        <v>Fenolico 18mm Grandis 2 Buenas cal 3/3</v>
      </c>
      <c r="C15" s="92" t="str">
        <f>IF($A15=0,"",VLOOKUP($A15,'00_Mat'!$A$4:$J$1135,3,FALSE))</f>
        <v>u</v>
      </c>
      <c r="D15" s="229">
        <f>60/2</f>
        <v>30</v>
      </c>
      <c r="E15" s="204"/>
      <c r="F15" s="236">
        <v>0.25</v>
      </c>
      <c r="G15" s="221">
        <f t="shared" si="1"/>
        <v>38</v>
      </c>
      <c r="H15" s="143">
        <f>IF($A15=0,"",VLOOKUP($A15,'00_Mat'!$A$4:$J$1135,5,FALSE))</f>
        <v>45454</v>
      </c>
      <c r="I15" s="143">
        <f t="shared" si="2"/>
        <v>1727252</v>
      </c>
      <c r="J15" s="153" t="s">
        <v>1030</v>
      </c>
    </row>
    <row r="16" ht="14.25" customHeight="1">
      <c r="A16" s="204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04"/>
      <c r="E16" s="204"/>
      <c r="F16" s="206"/>
      <c r="G16" s="221">
        <f t="shared" si="1"/>
        <v>0</v>
      </c>
      <c r="H16" s="143" t="str">
        <f>IF($A16=0,"",VLOOKUP($A16,'00_Mat'!$A$4:$J$1135,5,FALSE))</f>
        <v/>
      </c>
      <c r="I16" s="143"/>
    </row>
    <row r="17" ht="14.25" customHeight="1">
      <c r="A17" s="204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04"/>
      <c r="E17" s="204"/>
      <c r="F17" s="206"/>
      <c r="G17" s="221">
        <f t="shared" si="1"/>
        <v>0</v>
      </c>
      <c r="H17" s="143" t="str">
        <f>IF($A17=0,"",VLOOKUP($A17,'00_Mat'!$A$4:$J$1135,5,FALSE))</f>
        <v/>
      </c>
      <c r="I17" s="143"/>
    </row>
    <row r="18" ht="14.25" customHeight="1">
      <c r="A18" s="204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04"/>
      <c r="E18" s="204"/>
      <c r="F18" s="206"/>
      <c r="G18" s="221">
        <f t="shared" si="1"/>
        <v>0</v>
      </c>
      <c r="H18" s="143" t="str">
        <f>IF($A18=0,"",VLOOKUP($A18,'00_Mat'!$A$4:$J$1135,5,FALSE))</f>
        <v/>
      </c>
      <c r="I18" s="143"/>
    </row>
    <row r="19" ht="14.25" customHeight="1">
      <c r="F19" s="208"/>
      <c r="G19" s="3"/>
      <c r="H19" s="143"/>
      <c r="I19" s="143"/>
    </row>
    <row r="20" ht="14.25" customHeight="1">
      <c r="A20" s="222" t="s">
        <v>996</v>
      </c>
      <c r="B20" s="223"/>
      <c r="C20" s="223"/>
      <c r="D20" s="223"/>
      <c r="E20" s="223"/>
      <c r="F20" s="223"/>
      <c r="G20" s="211"/>
      <c r="H20" s="223"/>
      <c r="I20" s="224">
        <f>SUM(I7:I18)</f>
        <v>8211097.36</v>
      </c>
      <c r="J20" s="92"/>
      <c r="K20" s="92"/>
      <c r="L20" s="92"/>
    </row>
    <row r="21" ht="14.25" customHeight="1">
      <c r="A21" s="232" t="str">
        <f>$I$3</f>
        <v>m³</v>
      </c>
      <c r="B21" s="233"/>
      <c r="C21" s="233"/>
      <c r="D21" s="233"/>
      <c r="E21" s="233"/>
      <c r="F21" s="233"/>
      <c r="G21" s="21"/>
      <c r="H21" s="233"/>
      <c r="I21" s="205">
        <f>$H$3</f>
        <v>13</v>
      </c>
      <c r="J21" s="92"/>
      <c r="K21" s="92"/>
      <c r="L21" s="92"/>
    </row>
    <row r="22" ht="14.25" customHeight="1">
      <c r="A22" s="234" t="s">
        <v>997</v>
      </c>
      <c r="B22" s="232" t="str">
        <f>A21</f>
        <v>m³</v>
      </c>
      <c r="C22" s="233"/>
      <c r="D22" s="233"/>
      <c r="E22" s="233"/>
      <c r="F22" s="233"/>
      <c r="G22" s="21"/>
      <c r="H22" s="233"/>
      <c r="I22" s="235">
        <f>I20/I21</f>
        <v>631622.8738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01" t="s">
        <v>998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02" t="s">
        <v>988</v>
      </c>
      <c r="B26" s="202" t="s">
        <v>989</v>
      </c>
      <c r="C26" s="202" t="s">
        <v>990</v>
      </c>
      <c r="D26" s="202" t="s">
        <v>991</v>
      </c>
      <c r="E26" s="202" t="s">
        <v>999</v>
      </c>
      <c r="F26" s="202" t="s">
        <v>992</v>
      </c>
      <c r="G26" s="4" t="s">
        <v>993</v>
      </c>
      <c r="H26" s="202" t="s">
        <v>994</v>
      </c>
      <c r="I26" s="202" t="s">
        <v>995</v>
      </c>
    </row>
    <row r="27" ht="14.25" customHeight="1">
      <c r="A27" s="61" t="s">
        <v>621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29">
        <v>1.0</v>
      </c>
      <c r="E27" s="229">
        <v>10.0</v>
      </c>
      <c r="F27" s="236">
        <v>0.25</v>
      </c>
      <c r="G27" s="217">
        <f t="shared" ref="G27:G32" si="3">ROUNDUP(((D27*E27)*(1+F27)),0)</f>
        <v>13</v>
      </c>
      <c r="H27" s="143">
        <f>IF($A27=0,"",VLOOKUP($A27,'00_MO'!$A$4:$D$7,4,FALSE))</f>
        <v>120000</v>
      </c>
      <c r="I27" s="143">
        <f t="shared" ref="I27:I30" si="4">G27*H27</f>
        <v>1560000</v>
      </c>
    </row>
    <row r="28" ht="14.25" customHeight="1">
      <c r="A28" s="61" t="s">
        <v>623</v>
      </c>
      <c r="B28" s="92" t="str">
        <f>IF($A28=0,"",VLOOKUP($A28,'00_MO'!$A$4:$D$7,2,FALSE))</f>
        <v>Puntero</v>
      </c>
      <c r="C28" s="92" t="str">
        <f>IF($A28=0,"",VLOOKUP($A28,'00_MO'!$A$4:$D$7,3,FALSE))</f>
        <v>u</v>
      </c>
      <c r="D28" s="229">
        <v>2.0</v>
      </c>
      <c r="E28" s="229">
        <v>10.0</v>
      </c>
      <c r="F28" s="236">
        <v>0.25</v>
      </c>
      <c r="G28" s="217">
        <f t="shared" si="3"/>
        <v>25</v>
      </c>
      <c r="H28" s="143">
        <f>IF($A28=0,"",VLOOKUP($A28,'00_MO'!$A$4:$D$7,4,FALSE))</f>
        <v>105000</v>
      </c>
      <c r="I28" s="143">
        <f t="shared" si="4"/>
        <v>2625000</v>
      </c>
    </row>
    <row r="29" ht="14.25" customHeight="1">
      <c r="A29" s="61" t="s">
        <v>625</v>
      </c>
      <c r="B29" s="92" t="str">
        <f>IF($A29=0,"",VLOOKUP($A29,'00_MO'!$A$4:$D$7,2,FALSE))</f>
        <v>Oficial</v>
      </c>
      <c r="C29" s="92" t="str">
        <f>IF($A29=0,"",VLOOKUP($A29,'00_MO'!$A$4:$D$7,3,FALSE))</f>
        <v>u</v>
      </c>
      <c r="D29" s="229">
        <v>3.0</v>
      </c>
      <c r="E29" s="229">
        <v>10.0</v>
      </c>
      <c r="F29" s="236">
        <v>0.25</v>
      </c>
      <c r="G29" s="217">
        <f t="shared" si="3"/>
        <v>38</v>
      </c>
      <c r="H29" s="143">
        <f>IF($A29=0,"",VLOOKUP($A29,'00_MO'!$A$4:$D$7,4,FALSE))</f>
        <v>90000</v>
      </c>
      <c r="I29" s="143">
        <f t="shared" si="4"/>
        <v>3420000</v>
      </c>
    </row>
    <row r="30" ht="14.25" customHeight="1">
      <c r="A30" s="61" t="s">
        <v>627</v>
      </c>
      <c r="B30" s="92" t="str">
        <f>IF($A30=0,"",VLOOKUP($A30,'00_MO'!$A$4:$D$7,2,FALSE))</f>
        <v>Ayudante</v>
      </c>
      <c r="C30" s="92" t="str">
        <f>IF($A30=0,"",VLOOKUP($A30,'00_MO'!$A$4:$D$7,3,FALSE))</f>
        <v>u</v>
      </c>
      <c r="D30" s="229">
        <v>3.0</v>
      </c>
      <c r="E30" s="229">
        <v>10.0</v>
      </c>
      <c r="F30" s="236">
        <v>0.25</v>
      </c>
      <c r="G30" s="217">
        <f t="shared" si="3"/>
        <v>38</v>
      </c>
      <c r="H30" s="143">
        <f>IF($A30=0,"",VLOOKUP($A30,'00_MO'!$A$4:$D$7,4,FALSE))</f>
        <v>60000</v>
      </c>
      <c r="I30" s="143">
        <f t="shared" si="4"/>
        <v>2280000</v>
      </c>
    </row>
    <row r="31" ht="14.25" customHeight="1">
      <c r="A31" s="204"/>
      <c r="B31" s="92" t="str">
        <f>IF($A31=0,"",VLOOKUP($A31,'00_MO'!$A$4:$D$7,2,FALSE))</f>
        <v/>
      </c>
      <c r="C31" s="92" t="str">
        <f>IF($A31=0,"",VLOOKUP($A31,'00_MO'!$A$4:$D$7,3,FALSE))</f>
        <v/>
      </c>
      <c r="D31" s="204"/>
      <c r="E31" s="204"/>
      <c r="F31" s="206"/>
      <c r="G31" s="217">
        <f t="shared" si="3"/>
        <v>0</v>
      </c>
      <c r="H31" s="143" t="str">
        <f>IF($A31=0,"",VLOOKUP($A31,'00_MO'!$A$4:$D$7,4,FALSE))</f>
        <v/>
      </c>
      <c r="I31" s="143"/>
    </row>
    <row r="32" ht="14.25" customHeight="1">
      <c r="A32" s="204"/>
      <c r="B32" s="92" t="str">
        <f>IF($A32=0,"",VLOOKUP($A32,'00_MO'!$A$4:$D$7,2,FALSE))</f>
        <v/>
      </c>
      <c r="C32" s="92" t="str">
        <f>IF($A32=0,"",VLOOKUP($A32,'00_MO'!$A$4:$D$7,3,FALSE))</f>
        <v/>
      </c>
      <c r="D32" s="204"/>
      <c r="E32" s="204"/>
      <c r="F32" s="206"/>
      <c r="G32" s="217">
        <f t="shared" si="3"/>
        <v>0</v>
      </c>
      <c r="H32" s="143" t="str">
        <f>IF($A32=0,"",VLOOKUP($A32,'00_MO'!$A$4:$D$7,4,FALSE))</f>
        <v/>
      </c>
      <c r="I32" s="143"/>
    </row>
    <row r="33" ht="14.25" customHeight="1">
      <c r="F33" s="208"/>
      <c r="G33" s="3"/>
      <c r="H33" s="143"/>
      <c r="I33" s="143"/>
    </row>
    <row r="34" ht="14.25" customHeight="1">
      <c r="A34" s="222" t="s">
        <v>987</v>
      </c>
      <c r="B34" s="223"/>
      <c r="C34" s="223"/>
      <c r="D34" s="223"/>
      <c r="E34" s="223"/>
      <c r="F34" s="223"/>
      <c r="G34" s="211"/>
      <c r="H34" s="223"/>
      <c r="I34" s="224">
        <f>SUM(I27:I32)</f>
        <v>9885000</v>
      </c>
    </row>
    <row r="35" ht="14.25" customHeight="1">
      <c r="A35" s="232" t="str">
        <f>$I$3</f>
        <v>m³</v>
      </c>
      <c r="B35" s="233"/>
      <c r="C35" s="233"/>
      <c r="D35" s="233"/>
      <c r="E35" s="233"/>
      <c r="F35" s="233"/>
      <c r="G35" s="21"/>
      <c r="H35" s="233"/>
      <c r="I35" s="205">
        <f>$H$3</f>
        <v>13</v>
      </c>
      <c r="J35" s="92"/>
      <c r="K35" s="92"/>
      <c r="L35" s="92"/>
    </row>
    <row r="36" ht="14.25" customHeight="1">
      <c r="A36" s="234" t="s">
        <v>997</v>
      </c>
      <c r="B36" s="232" t="str">
        <f>A35</f>
        <v>m³</v>
      </c>
      <c r="C36" s="233"/>
      <c r="D36" s="233"/>
      <c r="E36" s="233"/>
      <c r="F36" s="233"/>
      <c r="G36" s="21"/>
      <c r="H36" s="233"/>
      <c r="I36" s="235">
        <f>I34/I35</f>
        <v>760384.6154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01" t="s">
        <v>1000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02" t="s">
        <v>988</v>
      </c>
      <c r="B40" s="202" t="s">
        <v>989</v>
      </c>
      <c r="C40" s="202" t="s">
        <v>990</v>
      </c>
      <c r="D40" s="202" t="s">
        <v>991</v>
      </c>
      <c r="E40" s="202" t="s">
        <v>999</v>
      </c>
      <c r="F40" s="202" t="s">
        <v>992</v>
      </c>
      <c r="G40" s="4" t="s">
        <v>993</v>
      </c>
      <c r="H40" s="202" t="s">
        <v>994</v>
      </c>
      <c r="I40" s="202" t="s">
        <v>995</v>
      </c>
    </row>
    <row r="41" ht="14.25" customHeight="1">
      <c r="A41" s="3"/>
      <c r="B41" s="92" t="str">
        <f>IF($A41=0,"",VLOOKUP($A41,'00_Mat'!$A$4:$J$1135,2,FALSE))</f>
        <v/>
      </c>
      <c r="C41" s="92" t="str">
        <f>IF($A41=0,"",VLOOKUP($A41,'00_Mat'!$A$4:$J$1135,3,FALSE))</f>
        <v/>
      </c>
      <c r="D41" s="230"/>
      <c r="E41" s="204"/>
      <c r="F41" s="236"/>
      <c r="G41" s="221">
        <f t="shared" ref="G41:G45" si="5">ROUNDUP((D41+(D41*F41)),0)</f>
        <v>0</v>
      </c>
      <c r="H41" s="143" t="str">
        <f>IF($A41=0,"",VLOOKUP($A41,'00_Mat'!$A$4:$J$1135,5,FALSE))</f>
        <v/>
      </c>
      <c r="I41" s="143">
        <f t="shared" ref="I41:I46" si="6">G41*H41</f>
        <v>0</v>
      </c>
      <c r="J41" s="237"/>
    </row>
    <row r="42" ht="14.25" customHeight="1">
      <c r="A42" s="3"/>
      <c r="B42" s="92" t="str">
        <f>IF($A42=0,"",VLOOKUP($A42,'00_Mat'!$A$4:$J$1135,2,FALSE))</f>
        <v/>
      </c>
      <c r="C42" s="92" t="str">
        <f>IF($A42=0,"",VLOOKUP($A42,'00_Mat'!$A$4:$J$1135,3,FALSE))</f>
        <v/>
      </c>
      <c r="D42" s="230"/>
      <c r="E42" s="204"/>
      <c r="F42" s="236"/>
      <c r="G42" s="221">
        <f t="shared" si="5"/>
        <v>0</v>
      </c>
      <c r="H42" s="143" t="str">
        <f>IF($A42=0,"",VLOOKUP($A42,'00_Mat'!$A$4:$J$1135,5,FALSE))</f>
        <v/>
      </c>
      <c r="I42" s="143">
        <f t="shared" si="6"/>
        <v>0</v>
      </c>
      <c r="J42" s="237"/>
    </row>
    <row r="43" ht="14.25" customHeight="1">
      <c r="A43" s="3"/>
      <c r="B43" s="92" t="str">
        <f>IF($A43=0,"",VLOOKUP($A43,'00_Mat'!$A$4:$J$1135,2,FALSE))</f>
        <v/>
      </c>
      <c r="C43" s="92" t="str">
        <f>IF($A43=0,"",VLOOKUP($A43,'00_Mat'!$A$4:$J$1135,3,FALSE))</f>
        <v/>
      </c>
      <c r="D43" s="230"/>
      <c r="E43" s="204"/>
      <c r="F43" s="236"/>
      <c r="G43" s="221">
        <f t="shared" si="5"/>
        <v>0</v>
      </c>
      <c r="H43" s="143" t="str">
        <f>IF($A43=0,"",VLOOKUP($A43,'00_Mat'!$A$4:$J$1135,5,FALSE))</f>
        <v/>
      </c>
      <c r="I43" s="143">
        <f t="shared" si="6"/>
        <v>0</v>
      </c>
    </row>
    <row r="44" ht="14.25" customHeight="1">
      <c r="A44" s="20"/>
      <c r="B44" s="92" t="str">
        <f>IF($A44=0,"",VLOOKUP($A44,'00_Mat'!$A$4:$J$1135,2,FALSE))</f>
        <v/>
      </c>
      <c r="C44" s="92" t="str">
        <f>IF($A44=0,"",VLOOKUP($A44,'00_Mat'!$A$4:$J$1135,3,FALSE))</f>
        <v/>
      </c>
      <c r="D44" s="230"/>
      <c r="E44" s="204"/>
      <c r="F44" s="236"/>
      <c r="G44" s="221">
        <f t="shared" si="5"/>
        <v>0</v>
      </c>
      <c r="H44" s="143" t="str">
        <f>IF($A44=0,"",VLOOKUP($A44,'00_Mat'!$A$4:$J$1135,5,FALSE))</f>
        <v/>
      </c>
      <c r="I44" s="143">
        <f t="shared" si="6"/>
        <v>0</v>
      </c>
    </row>
    <row r="45" ht="14.25" customHeight="1">
      <c r="B45" s="194" t="str">
        <f>IF($A45=0,"",VLOOKUP($A45,'00_Mat'!$A$4:$J$1135,2,FALSE))</f>
        <v/>
      </c>
      <c r="C45" s="92" t="str">
        <f>IF($A45=0,"",VLOOKUP($A45,'00_Mat'!$A$4:$J$1135,3,FALSE))</f>
        <v/>
      </c>
      <c r="D45" s="230"/>
      <c r="E45" s="204"/>
      <c r="F45" s="236"/>
      <c r="G45" s="221">
        <f t="shared" si="5"/>
        <v>0</v>
      </c>
      <c r="H45" s="231"/>
      <c r="I45" s="143">
        <f t="shared" si="6"/>
        <v>0</v>
      </c>
      <c r="M45" s="153"/>
    </row>
    <row r="46" ht="14.25" customHeight="1">
      <c r="A46" s="204"/>
      <c r="B46" s="92" t="str">
        <f>IF($A46=0,"",VLOOKUP($A46,'00_Mat'!$A$4:$J$1135,2,FALSE))</f>
        <v/>
      </c>
      <c r="C46" s="92" t="str">
        <f>IF($A46=0,"",VLOOKUP($A46,'00_Mat'!$A$4:$J$1135,3,FALSE))</f>
        <v/>
      </c>
      <c r="D46" s="204"/>
      <c r="E46" s="204"/>
      <c r="F46" s="236"/>
      <c r="G46" s="217">
        <f>ROUNDUP(((D46*E46)*(1+F46)),0)</f>
        <v>0</v>
      </c>
      <c r="H46" s="143" t="str">
        <f>IF($A46=0,"",VLOOKUP($A46,'00_Mat'!$A$4:$J$1135,5,FALSE))</f>
        <v/>
      </c>
      <c r="I46" s="143">
        <f t="shared" si="6"/>
        <v>0</v>
      </c>
    </row>
    <row r="47" ht="14.25" customHeight="1">
      <c r="F47" s="208"/>
      <c r="G47" s="3"/>
      <c r="H47" s="143"/>
      <c r="I47" s="143"/>
    </row>
    <row r="48" ht="14.25" customHeight="1">
      <c r="A48" s="222" t="s">
        <v>987</v>
      </c>
      <c r="B48" s="223"/>
      <c r="C48" s="223"/>
      <c r="D48" s="223"/>
      <c r="E48" s="223"/>
      <c r="F48" s="223"/>
      <c r="G48" s="211"/>
      <c r="H48" s="223"/>
      <c r="I48" s="224">
        <f>SUM(I41:I46)</f>
        <v>0</v>
      </c>
    </row>
    <row r="49" ht="14.25" customHeight="1">
      <c r="A49" s="232" t="str">
        <f>$I$3</f>
        <v>m³</v>
      </c>
      <c r="B49" s="233"/>
      <c r="C49" s="233"/>
      <c r="D49" s="233"/>
      <c r="E49" s="233"/>
      <c r="F49" s="233"/>
      <c r="G49" s="21"/>
      <c r="H49" s="233"/>
      <c r="I49" s="205">
        <f>$H$3</f>
        <v>13</v>
      </c>
      <c r="J49" s="92"/>
      <c r="K49" s="92"/>
      <c r="L49" s="92"/>
    </row>
    <row r="50" ht="14.25" customHeight="1">
      <c r="A50" s="234" t="s">
        <v>997</v>
      </c>
      <c r="B50" s="232" t="str">
        <f>A49</f>
        <v>m³</v>
      </c>
      <c r="C50" s="233"/>
      <c r="D50" s="233"/>
      <c r="E50" s="233"/>
      <c r="F50" s="233"/>
      <c r="G50" s="21"/>
      <c r="H50" s="233"/>
      <c r="I50" s="235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01" t="s">
        <v>1010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02" t="s">
        <v>988</v>
      </c>
      <c r="B54" s="202" t="s">
        <v>989</v>
      </c>
      <c r="C54" s="202" t="s">
        <v>990</v>
      </c>
      <c r="D54" s="203" t="s">
        <v>991</v>
      </c>
      <c r="E54" s="197"/>
      <c r="F54" s="202" t="s">
        <v>992</v>
      </c>
      <c r="G54" s="4" t="s">
        <v>993</v>
      </c>
      <c r="H54" s="202" t="s">
        <v>994</v>
      </c>
      <c r="I54" s="202" t="s">
        <v>995</v>
      </c>
    </row>
    <row r="55" ht="14.25" customHeight="1">
      <c r="A55" s="3"/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30"/>
      <c r="E55" s="204"/>
      <c r="F55" s="236">
        <v>0.1</v>
      </c>
      <c r="G55" s="221">
        <f t="shared" ref="G55:G59" si="7">ROUNDUP((D55+(D55*F55)),0)</f>
        <v>0</v>
      </c>
      <c r="H55" s="143" t="str">
        <f>IF($A55=0,"",VLOOKUP($A55,'00_Mat'!$A$4:$J$1135,5,FALSE))</f>
        <v/>
      </c>
      <c r="I55" s="143">
        <f t="shared" ref="I55:I60" si="8">G55*H55</f>
        <v>0</v>
      </c>
      <c r="J55" s="237"/>
    </row>
    <row r="56" ht="14.25" customHeight="1">
      <c r="A56" s="3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0"/>
      <c r="E56" s="204"/>
      <c r="F56" s="236">
        <v>0.1</v>
      </c>
      <c r="G56" s="221">
        <f t="shared" si="7"/>
        <v>0</v>
      </c>
      <c r="H56" s="143" t="str">
        <f>IF($A56=0,"",VLOOKUP($A56,'00_Mat'!$A$4:$J$1135,5,FALSE))</f>
        <v/>
      </c>
      <c r="I56" s="143">
        <f t="shared" si="8"/>
        <v>0</v>
      </c>
      <c r="J56" s="237"/>
    </row>
    <row r="57" ht="14.25" customHeight="1">
      <c r="A57" s="3" t="s">
        <v>75</v>
      </c>
      <c r="B57" s="92" t="str">
        <f>IF($A57=0,"",VLOOKUP($A57,'00_Mat'!$A$4:$J$1135,2,FALSE))</f>
        <v>Clavos 2" punta paris (k)</v>
      </c>
      <c r="C57" s="92" t="str">
        <f>IF($A57=0,"",VLOOKUP($A57,'00_Mat'!$A$4:$J$1135,3,FALSE))</f>
        <v>k</v>
      </c>
      <c r="D57" s="230">
        <v>10.0</v>
      </c>
      <c r="E57" s="204"/>
      <c r="F57" s="236">
        <v>0.1</v>
      </c>
      <c r="G57" s="221">
        <f t="shared" si="7"/>
        <v>11</v>
      </c>
      <c r="H57" s="143">
        <f>IF($A57=0,"",VLOOKUP($A57,'00_Mat'!$A$4:$J$1135,5,FALSE))</f>
        <v>4500</v>
      </c>
      <c r="I57" s="143">
        <f t="shared" si="8"/>
        <v>49500</v>
      </c>
      <c r="J57" s="153" t="s">
        <v>1013</v>
      </c>
    </row>
    <row r="58" ht="14.25" customHeight="1">
      <c r="A58" s="20" t="s">
        <v>81</v>
      </c>
      <c r="B58" s="92" t="str">
        <f>IF($A58=0,"",VLOOKUP($A58,'00_Mat'!$A$4:$J$1135,2,FALSE))</f>
        <v>Alambre Fardo (50 k)</v>
      </c>
      <c r="C58" s="92" t="str">
        <f>IF($A58=0,"",VLOOKUP($A58,'00_Mat'!$A$4:$J$1135,3,FALSE))</f>
        <v>k</v>
      </c>
      <c r="D58" s="230">
        <v>1.0</v>
      </c>
      <c r="E58" s="204"/>
      <c r="F58" s="236">
        <v>0.0</v>
      </c>
      <c r="G58" s="221">
        <f t="shared" si="7"/>
        <v>1</v>
      </c>
      <c r="H58" s="143">
        <f>IF($A58=0,"",VLOOKUP($A58,'00_Mat'!$A$4:$J$1135,5,FALSE))</f>
        <v>220000</v>
      </c>
      <c r="I58" s="143">
        <f t="shared" si="8"/>
        <v>220000</v>
      </c>
      <c r="J58" s="153" t="s">
        <v>1033</v>
      </c>
    </row>
    <row r="59" ht="14.25" customHeight="1">
      <c r="B59" s="194" t="str">
        <f>IF($A59=0,"",VLOOKUP($A59,'00_Mat'!$A$4:$J$1135,2,FALSE))</f>
        <v/>
      </c>
      <c r="C59" s="92" t="str">
        <f>IF($A59=0,"",VLOOKUP($A59,'00_Mat'!$A$4:$J$1135,3,FALSE))</f>
        <v/>
      </c>
      <c r="D59" s="230"/>
      <c r="E59" s="204"/>
      <c r="F59" s="236">
        <v>0.1</v>
      </c>
      <c r="G59" s="221">
        <f t="shared" si="7"/>
        <v>0</v>
      </c>
      <c r="H59" s="231"/>
      <c r="I59" s="143">
        <f t="shared" si="8"/>
        <v>0</v>
      </c>
      <c r="M59" s="153"/>
    </row>
    <row r="60" ht="14.25" customHeight="1">
      <c r="A60" s="204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04"/>
      <c r="E60" s="204"/>
      <c r="F60" s="236">
        <v>0.1</v>
      </c>
      <c r="G60" s="217">
        <f>ROUNDUP(((D60*E60)*(1+F60)),0)</f>
        <v>0</v>
      </c>
      <c r="H60" s="143" t="str">
        <f>IF($A60=0,"",VLOOKUP($A60,'00_Mat'!$A$4:$J$1135,5,FALSE))</f>
        <v/>
      </c>
      <c r="I60" s="143">
        <f t="shared" si="8"/>
        <v>0</v>
      </c>
    </row>
    <row r="61" ht="14.25" customHeight="1">
      <c r="F61" s="208"/>
      <c r="G61" s="3"/>
      <c r="H61" s="143"/>
      <c r="I61" s="143"/>
    </row>
    <row r="62" ht="14.25" customHeight="1">
      <c r="A62" s="222" t="s">
        <v>987</v>
      </c>
      <c r="B62" s="223"/>
      <c r="C62" s="223"/>
      <c r="D62" s="223"/>
      <c r="E62" s="223"/>
      <c r="F62" s="223"/>
      <c r="G62" s="211"/>
      <c r="H62" s="223"/>
      <c r="I62" s="224">
        <f>SUM(I55:I60)</f>
        <v>269500</v>
      </c>
    </row>
    <row r="63" ht="14.25" customHeight="1">
      <c r="A63" s="232" t="str">
        <f>$I$3</f>
        <v>m³</v>
      </c>
      <c r="B63" s="233"/>
      <c r="C63" s="233"/>
      <c r="D63" s="233"/>
      <c r="E63" s="233"/>
      <c r="F63" s="233"/>
      <c r="G63" s="21"/>
      <c r="H63" s="233"/>
      <c r="I63" s="205">
        <f>$H$3</f>
        <v>13</v>
      </c>
      <c r="J63" s="92"/>
      <c r="K63" s="92"/>
      <c r="L63" s="92"/>
    </row>
    <row r="64" ht="14.25" customHeight="1">
      <c r="A64" s="234" t="s">
        <v>997</v>
      </c>
      <c r="B64" s="232" t="str">
        <f>A63</f>
        <v>m³</v>
      </c>
      <c r="C64" s="233"/>
      <c r="D64" s="233"/>
      <c r="E64" s="233"/>
      <c r="F64" s="233"/>
      <c r="G64" s="21"/>
      <c r="H64" s="233"/>
      <c r="I64" s="235">
        <f>I62/I63</f>
        <v>20730.76923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01" t="s">
        <v>1025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02" t="s">
        <v>988</v>
      </c>
      <c r="B68" s="202" t="s">
        <v>989</v>
      </c>
      <c r="C68" s="202" t="s">
        <v>990</v>
      </c>
      <c r="D68" s="202" t="s">
        <v>991</v>
      </c>
      <c r="E68" s="202" t="s">
        <v>999</v>
      </c>
      <c r="F68" s="202" t="s">
        <v>992</v>
      </c>
      <c r="G68" s="4" t="s">
        <v>993</v>
      </c>
      <c r="H68" s="202" t="s">
        <v>994</v>
      </c>
      <c r="I68" s="202" t="s">
        <v>995</v>
      </c>
    </row>
    <row r="69" ht="14.25" customHeight="1">
      <c r="A69" s="204"/>
      <c r="B69" s="92" t="str">
        <f>IF($A69=0,"",VLOOKUP($A69,'00_Sub'!$A$4:$D$1007,2,FALSE))</f>
        <v/>
      </c>
      <c r="C69" s="92" t="str">
        <f>IF($A69=0,"",VLOOKUP($A69,'00_Sub'!$A$4:$D$1007,3,FALSE))</f>
        <v/>
      </c>
      <c r="D69" s="204"/>
      <c r="E69" s="204"/>
      <c r="F69" s="206"/>
      <c r="G69" s="221">
        <f t="shared" ref="G69:G74" si="9">ROUNDUP((D69+(D69*F69)),0)</f>
        <v>0</v>
      </c>
      <c r="H69" s="143" t="str">
        <f>IF($A69=0,"",VLOOKUP($A69,'00_Sub'!$A$4:$D$1007,4,FALSE))</f>
        <v/>
      </c>
      <c r="I69" s="143"/>
    </row>
    <row r="70" ht="14.25" customHeight="1">
      <c r="A70" s="204"/>
      <c r="B70" s="92" t="str">
        <f>IF($A70=0,"",VLOOKUP($A70,'00_Sub'!$A$4:$D$1007,2,FALSE))</f>
        <v/>
      </c>
      <c r="C70" s="92" t="str">
        <f>IF($A70=0,"",VLOOKUP($A70,'00_Sub'!$A$4:$D$1007,3,FALSE))</f>
        <v/>
      </c>
      <c r="D70" s="204"/>
      <c r="E70" s="204"/>
      <c r="F70" s="206"/>
      <c r="G70" s="221">
        <f t="shared" si="9"/>
        <v>0</v>
      </c>
      <c r="H70" s="143" t="str">
        <f>IF($A70=0,"",VLOOKUP($A70,'00_Sub'!$A$4:$D$1007,4,FALSE))</f>
        <v/>
      </c>
      <c r="I70" s="143"/>
    </row>
    <row r="71" ht="14.25" customHeight="1">
      <c r="A71" s="204"/>
      <c r="B71" s="92" t="str">
        <f>IF($A71=0,"",VLOOKUP($A71,'00_Sub'!$A$4:$D$1007,2,FALSE))</f>
        <v/>
      </c>
      <c r="C71" s="92" t="str">
        <f>IF($A71=0,"",VLOOKUP($A71,'00_Sub'!$A$4:$D$1007,3,FALSE))</f>
        <v/>
      </c>
      <c r="D71" s="204"/>
      <c r="E71" s="204"/>
      <c r="F71" s="206"/>
      <c r="G71" s="221">
        <f t="shared" si="9"/>
        <v>0</v>
      </c>
      <c r="H71" s="143" t="str">
        <f>IF($A71=0,"",VLOOKUP($A71,'00_Sub'!$A$4:$D$1007,4,FALSE))</f>
        <v/>
      </c>
      <c r="I71" s="143"/>
    </row>
    <row r="72" ht="14.25" customHeight="1">
      <c r="A72" s="204"/>
      <c r="B72" s="92" t="str">
        <f>IF($A72=0,"",VLOOKUP($A72,'00_Sub'!$A$4:$D$1007,2,FALSE))</f>
        <v/>
      </c>
      <c r="C72" s="92" t="str">
        <f>IF($A72=0,"",VLOOKUP($A72,'00_Sub'!$A$4:$D$1007,3,FALSE))</f>
        <v/>
      </c>
      <c r="D72" s="204"/>
      <c r="E72" s="204"/>
      <c r="F72" s="206"/>
      <c r="G72" s="221">
        <f t="shared" si="9"/>
        <v>0</v>
      </c>
      <c r="H72" s="143" t="str">
        <f>IF($A72=0,"",VLOOKUP($A72,'00_Sub'!$A$4:$D$1007,4,FALSE))</f>
        <v/>
      </c>
      <c r="I72" s="143"/>
    </row>
    <row r="73" ht="14.25" customHeight="1">
      <c r="A73" s="204"/>
      <c r="B73" s="92" t="str">
        <f>IF($A73=0,"",VLOOKUP($A73,'00_Sub'!$A$4:$D$1007,2,FALSE))</f>
        <v/>
      </c>
      <c r="C73" s="92" t="str">
        <f>IF($A73=0,"",VLOOKUP($A73,'00_Sub'!$A$4:$D$1007,3,FALSE))</f>
        <v/>
      </c>
      <c r="D73" s="204"/>
      <c r="E73" s="204"/>
      <c r="F73" s="206"/>
      <c r="G73" s="221">
        <f t="shared" si="9"/>
        <v>0</v>
      </c>
      <c r="H73" s="143" t="str">
        <f>IF($A73=0,"",VLOOKUP($A73,'00_Sub'!$A$4:$D$1007,4,FALSE))</f>
        <v/>
      </c>
      <c r="I73" s="143"/>
    </row>
    <row r="74" ht="14.25" customHeight="1">
      <c r="A74" s="204"/>
      <c r="B74" s="92" t="str">
        <f>IF($A74=0,"",VLOOKUP($A74,'00_Sub'!$A$4:$D$1007,2,FALSE))</f>
        <v/>
      </c>
      <c r="C74" s="92" t="str">
        <f>IF($A74=0,"",VLOOKUP($A74,'00_Sub'!$A$4:$D$1007,3,FALSE))</f>
        <v/>
      </c>
      <c r="D74" s="204"/>
      <c r="E74" s="204"/>
      <c r="F74" s="206"/>
      <c r="G74" s="221">
        <f t="shared" si="9"/>
        <v>0</v>
      </c>
      <c r="H74" s="143" t="str">
        <f>IF($A74=0,"",VLOOKUP($A74,'00_Sub'!$A$4:$D$1007,4,FALSE))</f>
        <v/>
      </c>
      <c r="I74" s="143"/>
    </row>
    <row r="75" ht="14.25" customHeight="1">
      <c r="F75" s="208"/>
      <c r="G75" s="3"/>
      <c r="H75" s="143"/>
      <c r="I75" s="143"/>
    </row>
    <row r="76" ht="14.25" customHeight="1">
      <c r="A76" s="222" t="s">
        <v>987</v>
      </c>
      <c r="B76" s="223"/>
      <c r="C76" s="223"/>
      <c r="D76" s="223"/>
      <c r="E76" s="223"/>
      <c r="F76" s="223"/>
      <c r="G76" s="211"/>
      <c r="H76" s="223"/>
      <c r="I76" s="224">
        <f>SUM(I69:I74)</f>
        <v>0</v>
      </c>
    </row>
    <row r="77" ht="14.25" customHeight="1">
      <c r="A77" s="232" t="str">
        <f>$I$3</f>
        <v>m³</v>
      </c>
      <c r="B77" s="233"/>
      <c r="C77" s="233"/>
      <c r="D77" s="233"/>
      <c r="E77" s="233"/>
      <c r="F77" s="233"/>
      <c r="G77" s="21"/>
      <c r="H77" s="233"/>
      <c r="I77" s="205">
        <f>$H$3</f>
        <v>13</v>
      </c>
      <c r="J77" s="92"/>
      <c r="K77" s="92"/>
      <c r="L77" s="92"/>
    </row>
    <row r="78" ht="14.25" customHeight="1">
      <c r="A78" s="234" t="s">
        <v>997</v>
      </c>
      <c r="B78" s="232" t="str">
        <f>A77</f>
        <v>m³</v>
      </c>
      <c r="C78" s="233"/>
      <c r="D78" s="233"/>
      <c r="E78" s="233"/>
      <c r="F78" s="233"/>
      <c r="G78" s="21"/>
      <c r="H78" s="233"/>
      <c r="I78" s="235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3">
    <mergeCell ref="B3:F3"/>
    <mergeCell ref="D6:E6"/>
    <mergeCell ref="D54:E54"/>
  </mergeCells>
  <printOptions/>
  <pageMargins bottom="0.75" footer="0.0" header="0.0" left="0.7" right="0.7" top="0.75"/>
  <pageSetup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1" width="8.71"/>
    <col customWidth="1" min="12" max="12" width="10.14"/>
    <col customWidth="1" min="13" max="13" width="19.29"/>
  </cols>
  <sheetData>
    <row r="1" ht="33.75" customHeight="1">
      <c r="A1" s="91" t="str">
        <f>'01_C&amp;P'!A1</f>
        <v>EDIFICIO LAS HERAS</v>
      </c>
      <c r="B1" s="91"/>
      <c r="C1" s="91"/>
      <c r="G1" s="3"/>
    </row>
    <row r="2" ht="14.25" customHeight="1">
      <c r="G2" s="3"/>
    </row>
    <row r="3" ht="23.25" customHeight="1">
      <c r="A3" s="195">
        <f>'01_C&amp;P'!A50</f>
        <v>46084</v>
      </c>
      <c r="B3" s="196" t="str">
        <f>IF($A3=0,"",VLOOKUP($A3,'01_C&amp;P'!$A$9:$D$192,2,FALSE))</f>
        <v>LOSA</v>
      </c>
      <c r="C3" s="197"/>
      <c r="D3" s="197"/>
      <c r="E3" s="197"/>
      <c r="F3" s="197"/>
      <c r="G3" s="198"/>
      <c r="H3" s="199">
        <f>IF($A3=0,"",VLOOKUP($A3,'01_C&amp;P'!$A$9:$D$192,4,FALSE))</f>
        <v>24</v>
      </c>
      <c r="I3" s="200" t="str">
        <f>IF($A3=0,"",VLOOKUP($A3,'01_C&amp;P'!$A$9:$D$192,3,FALSE))</f>
        <v>m³</v>
      </c>
      <c r="M3" s="85" t="s">
        <v>1037</v>
      </c>
    </row>
    <row r="4" ht="14.25" customHeight="1">
      <c r="G4" s="3"/>
      <c r="M4" s="153"/>
    </row>
    <row r="5" ht="14.25" customHeight="1">
      <c r="A5" s="201" t="s">
        <v>0</v>
      </c>
      <c r="B5" s="94"/>
      <c r="C5" s="94"/>
      <c r="D5" s="94"/>
      <c r="E5" s="94"/>
      <c r="F5" s="94"/>
      <c r="G5" s="2"/>
      <c r="H5" s="94"/>
      <c r="I5" s="94"/>
    </row>
    <row r="6" ht="14.25" customHeight="1">
      <c r="A6" s="202" t="s">
        <v>988</v>
      </c>
      <c r="B6" s="202" t="s">
        <v>989</v>
      </c>
      <c r="C6" s="202" t="s">
        <v>990</v>
      </c>
      <c r="D6" s="203" t="s">
        <v>991</v>
      </c>
      <c r="E6" s="197"/>
      <c r="F6" s="202" t="s">
        <v>992</v>
      </c>
      <c r="G6" s="4" t="s">
        <v>993</v>
      </c>
      <c r="H6" s="202" t="s">
        <v>994</v>
      </c>
      <c r="I6" s="202" t="s">
        <v>995</v>
      </c>
    </row>
    <row r="7" ht="14.25" customHeight="1">
      <c r="A7" s="229" t="s">
        <v>560</v>
      </c>
      <c r="B7" s="92" t="str">
        <f>IF($A7=0,"",VLOOKUP($A7,'00_Mat'!$A$4:$J$1135,2,FALSE))</f>
        <v>Hormigon H30</v>
      </c>
      <c r="C7" s="92" t="str">
        <f>IF($A7=0,"",VLOOKUP($A7,'00_Mat'!$A$4:$J$1135,3,FALSE))</f>
        <v>m3</v>
      </c>
      <c r="D7" s="230">
        <f>H3</f>
        <v>24</v>
      </c>
      <c r="E7" s="204"/>
      <c r="F7" s="206">
        <v>0.1</v>
      </c>
      <c r="G7" s="221">
        <f t="shared" ref="G7:G18" si="1">ROUNDUP((D7+(D7*F7)),0)</f>
        <v>27</v>
      </c>
      <c r="H7" s="143">
        <f>IF($A7=0,"",VLOOKUP($A7,'00_Mat'!$A$4:$J$1135,5,FALSE))</f>
        <v>158000</v>
      </c>
      <c r="I7" s="143">
        <f t="shared" ref="I7:I17" si="2">G7*H7</f>
        <v>4266000</v>
      </c>
      <c r="J7" s="231" t="s">
        <v>548</v>
      </c>
      <c r="M7" s="153" t="s">
        <v>1038</v>
      </c>
    </row>
    <row r="8" ht="14.25" customHeight="1">
      <c r="A8" s="3" t="s">
        <v>132</v>
      </c>
      <c r="B8" s="92" t="str">
        <f>IF($A8=0,"",VLOOKUP($A8,'00_Mat'!$A$4:$J$1135,2,FALSE))</f>
        <v>Hierros ADN 420 Φ 6 </v>
      </c>
      <c r="C8" s="92" t="str">
        <f>IF($A8=0,"",VLOOKUP($A8,'00_Mat'!$A$4:$J$1135,3,FALSE))</f>
        <v>u</v>
      </c>
      <c r="D8" s="230">
        <v>192.0</v>
      </c>
      <c r="E8" s="204"/>
      <c r="F8" s="206">
        <v>0.1</v>
      </c>
      <c r="G8" s="221">
        <f t="shared" si="1"/>
        <v>212</v>
      </c>
      <c r="H8" s="143">
        <f>IF($A8=0,"",VLOOKUP($A8,'00_Mat'!$A$4:$J$1135,5,FALSE))</f>
        <v>5250</v>
      </c>
      <c r="I8" s="143">
        <f t="shared" si="2"/>
        <v>1113000</v>
      </c>
      <c r="J8" s="153" t="s">
        <v>1028</v>
      </c>
      <c r="M8" s="153" t="s">
        <v>1039</v>
      </c>
    </row>
    <row r="9" ht="14.25" customHeight="1">
      <c r="A9" s="3" t="s">
        <v>134</v>
      </c>
      <c r="B9" s="92" t="str">
        <f>IF($A9=0,"",VLOOKUP($A9,'00_Mat'!$A$4:$J$1135,2,FALSE))</f>
        <v>Hierros ADN 420 Φ 8</v>
      </c>
      <c r="C9" s="92" t="str">
        <f>IF($A9=0,"",VLOOKUP($A9,'00_Mat'!$A$4:$J$1135,3,FALSE))</f>
        <v>u</v>
      </c>
      <c r="D9" s="229">
        <v>0.0</v>
      </c>
      <c r="E9" s="204"/>
      <c r="F9" s="206">
        <v>0.1</v>
      </c>
      <c r="G9" s="221">
        <f t="shared" si="1"/>
        <v>0</v>
      </c>
      <c r="H9" s="143">
        <f>IF($A9=0,"",VLOOKUP($A9,'00_Mat'!$A$4:$J$1135,5,FALSE))</f>
        <v>9050</v>
      </c>
      <c r="I9" s="143">
        <f t="shared" si="2"/>
        <v>0</v>
      </c>
    </row>
    <row r="10" ht="14.25" customHeight="1">
      <c r="A10" s="3" t="s">
        <v>136</v>
      </c>
      <c r="B10" s="92" t="str">
        <f>IF($A10=0,"",VLOOKUP($A10,'00_Mat'!$A$4:$J$1135,2,FALSE))</f>
        <v>Hierros ADN 420Φ 10</v>
      </c>
      <c r="C10" s="92" t="str">
        <f>IF($A10=0,"",VLOOKUP($A10,'00_Mat'!$A$4:$J$1135,3,FALSE))</f>
        <v>u</v>
      </c>
      <c r="D10" s="229">
        <v>32.0</v>
      </c>
      <c r="E10" s="204"/>
      <c r="F10" s="206">
        <v>0.1</v>
      </c>
      <c r="G10" s="221">
        <f t="shared" si="1"/>
        <v>36</v>
      </c>
      <c r="H10" s="143">
        <f>IF($A10=0,"",VLOOKUP($A10,'00_Mat'!$A$4:$J$1135,5,FALSE))</f>
        <v>11237</v>
      </c>
      <c r="I10" s="143">
        <f t="shared" si="2"/>
        <v>404532</v>
      </c>
      <c r="M10" s="153" t="s">
        <v>1039</v>
      </c>
    </row>
    <row r="11" ht="14.25" customHeight="1">
      <c r="A11" s="3" t="s">
        <v>138</v>
      </c>
      <c r="B11" s="92" t="str">
        <f>IF($A11=0,"",VLOOKUP($A11,'00_Mat'!$A$4:$J$1135,2,FALSE))</f>
        <v>Hierros ADN 420 Φ 12</v>
      </c>
      <c r="C11" s="92" t="str">
        <f>IF($A11=0,"",VLOOKUP($A11,'00_Mat'!$A$4:$J$1135,3,FALSE))</f>
        <v>u</v>
      </c>
      <c r="D11" s="229">
        <v>0.0</v>
      </c>
      <c r="E11" s="204"/>
      <c r="F11" s="206">
        <v>0.1</v>
      </c>
      <c r="G11" s="221">
        <f t="shared" si="1"/>
        <v>0</v>
      </c>
      <c r="H11" s="143">
        <f>IF($A11=0,"",VLOOKUP($A11,'00_Mat'!$A$4:$J$1135,5,FALSE))</f>
        <v>20442.5</v>
      </c>
      <c r="I11" s="143">
        <f t="shared" si="2"/>
        <v>0</v>
      </c>
    </row>
    <row r="12" ht="14.25" customHeight="1">
      <c r="A12" s="3" t="s">
        <v>140</v>
      </c>
      <c r="B12" s="92" t="str">
        <f>IF($A12=0,"",VLOOKUP($A12,'00_Mat'!$A$4:$J$1135,2,FALSE))</f>
        <v>Hierros ADN 420 Φ 16</v>
      </c>
      <c r="C12" s="92" t="str">
        <f>IF($A12=0,"",VLOOKUP($A12,'00_Mat'!$A$4:$J$1135,3,FALSE))</f>
        <v>u</v>
      </c>
      <c r="D12" s="229">
        <v>0.0</v>
      </c>
      <c r="E12" s="204"/>
      <c r="F12" s="206">
        <v>0.1</v>
      </c>
      <c r="G12" s="221">
        <f t="shared" si="1"/>
        <v>0</v>
      </c>
      <c r="H12" s="143">
        <f>IF($A12=0,"",VLOOKUP($A12,'00_Mat'!$A$4:$J$1135,5,FALSE))</f>
        <v>36603.12</v>
      </c>
      <c r="I12" s="143">
        <f t="shared" si="2"/>
        <v>0</v>
      </c>
    </row>
    <row r="13" ht="14.25" customHeight="1">
      <c r="A13" s="20" t="s">
        <v>142</v>
      </c>
      <c r="B13" s="92" t="str">
        <f>IF($A13=0,"",VLOOKUP($A13,'00_Mat'!$A$4:$J$1135,2,FALSE))</f>
        <v>Hierros ADN 420 Φ 20</v>
      </c>
      <c r="C13" s="92" t="str">
        <f>IF($A13=0,"",VLOOKUP($A13,'00_Mat'!$A$4:$J$1135,3,FALSE))</f>
        <v>U</v>
      </c>
      <c r="D13" s="229">
        <v>0.0</v>
      </c>
      <c r="E13" s="204"/>
      <c r="F13" s="206">
        <v>0.1</v>
      </c>
      <c r="G13" s="221">
        <f t="shared" si="1"/>
        <v>0</v>
      </c>
      <c r="H13" s="143">
        <f>IF($A13=0,"",VLOOKUP($A13,'00_Mat'!$A$4:$J$1135,5,FALSE))</f>
        <v>55000</v>
      </c>
      <c r="I13" s="143">
        <f t="shared" si="2"/>
        <v>0</v>
      </c>
    </row>
    <row r="14" ht="14.25" customHeight="1">
      <c r="A14" s="3" t="s">
        <v>300</v>
      </c>
      <c r="B14" s="92" t="str">
        <f>IF($A14=0,"",VLOOKUP($A14,'00_Mat'!$A$4:$J$1135,2,FALSE))</f>
        <v>Fenolico 18mm Miraluz 125 GR con film</v>
      </c>
      <c r="C14" s="92" t="str">
        <f>IF($A14=0,"",VLOOKUP($A14,'00_Mat'!$A$4:$J$1135,3,FALSE))</f>
        <v>u</v>
      </c>
      <c r="D14" s="229">
        <f>51/2</f>
        <v>25.5</v>
      </c>
      <c r="E14" s="204"/>
      <c r="F14" s="236">
        <v>0.25</v>
      </c>
      <c r="G14" s="221">
        <f t="shared" si="1"/>
        <v>32</v>
      </c>
      <c r="H14" s="143">
        <f>IF($A14=0,"",VLOOKUP($A14,'00_Mat'!$A$4:$J$1135,5,FALSE))</f>
        <v>55260</v>
      </c>
      <c r="I14" s="143">
        <f t="shared" si="2"/>
        <v>1768320</v>
      </c>
      <c r="J14" s="153" t="s">
        <v>1029</v>
      </c>
    </row>
    <row r="15" ht="14.25" customHeight="1">
      <c r="A15" s="3" t="s">
        <v>303</v>
      </c>
      <c r="B15" s="92" t="str">
        <f>IF($A15=0,"",VLOOKUP($A15,'00_Mat'!$A$4:$J$1135,2,FALSE))</f>
        <v>Fenolico 18mm Grandis 2 Buenas cal 3/3</v>
      </c>
      <c r="C15" s="92" t="str">
        <f>IF($A15=0,"",VLOOKUP($A15,'00_Mat'!$A$4:$J$1135,3,FALSE))</f>
        <v>u</v>
      </c>
      <c r="D15" s="229">
        <f>(17+10)/2</f>
        <v>13.5</v>
      </c>
      <c r="E15" s="204"/>
      <c r="F15" s="236">
        <v>0.25</v>
      </c>
      <c r="G15" s="221">
        <f t="shared" si="1"/>
        <v>17</v>
      </c>
      <c r="H15" s="143">
        <f>IF($A15=0,"",VLOOKUP($A15,'00_Mat'!$A$4:$J$1135,5,FALSE))</f>
        <v>45454</v>
      </c>
      <c r="I15" s="143">
        <f t="shared" si="2"/>
        <v>772718</v>
      </c>
      <c r="J15" s="153" t="s">
        <v>1030</v>
      </c>
      <c r="M15" s="153" t="s">
        <v>1040</v>
      </c>
    </row>
    <row r="16" ht="14.25" customHeight="1">
      <c r="A16" s="3" t="s">
        <v>602</v>
      </c>
      <c r="B16" s="92" t="str">
        <f>IF($A16=0,"",VLOOKUP($A16,'00_Mat'!$A$4:$J$1135,2,FALSE))</f>
        <v>Bomba Pluma Traslado e Instalacion</v>
      </c>
      <c r="C16" s="92" t="str">
        <f>IF($A16=0,"",VLOOKUP($A16,'00_Mat'!$A$4:$J$1135,3,FALSE))</f>
        <v>u</v>
      </c>
      <c r="D16" s="229">
        <v>1.0</v>
      </c>
      <c r="E16" s="204"/>
      <c r="F16" s="206"/>
      <c r="G16" s="221">
        <f t="shared" si="1"/>
        <v>1</v>
      </c>
      <c r="H16" s="143">
        <f>IF($A16=0,"",VLOOKUP($A16,'00_Mat'!$A$4:$J$1135,5,FALSE))</f>
        <v>600000</v>
      </c>
      <c r="I16" s="143">
        <f t="shared" si="2"/>
        <v>600000</v>
      </c>
      <c r="J16" s="153" t="s">
        <v>1031</v>
      </c>
    </row>
    <row r="17" ht="14.25" customHeight="1">
      <c r="A17" s="3" t="s">
        <v>604</v>
      </c>
      <c r="B17" s="92" t="str">
        <f>IF($A17=0,"",VLOOKUP($A17,'00_Mat'!$A$4:$J$1135,2,FALSE))</f>
        <v>Bomba Pluma m3 bombeable</v>
      </c>
      <c r="C17" s="92" t="str">
        <f>IF($A17=0,"",VLOOKUP($A17,'00_Mat'!$A$4:$J$1135,3,FALSE))</f>
        <v>m3</v>
      </c>
      <c r="D17" s="205">
        <f>D7+'3.2'!D7</f>
        <v>37</v>
      </c>
      <c r="E17" s="204"/>
      <c r="F17" s="206"/>
      <c r="G17" s="221">
        <f t="shared" si="1"/>
        <v>37</v>
      </c>
      <c r="H17" s="143">
        <f>IF($A17=0,"",VLOOKUP($A17,'00_Mat'!$A$4:$J$1135,5,FALSE))</f>
        <v>6000</v>
      </c>
      <c r="I17" s="143">
        <f t="shared" si="2"/>
        <v>222000</v>
      </c>
      <c r="J17" s="153" t="s">
        <v>1032</v>
      </c>
    </row>
    <row r="18" ht="14.25" customHeight="1">
      <c r="A18" s="204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04"/>
      <c r="E18" s="204"/>
      <c r="F18" s="206"/>
      <c r="G18" s="221">
        <f t="shared" si="1"/>
        <v>0</v>
      </c>
      <c r="H18" s="143" t="str">
        <f>IF($A18=0,"",VLOOKUP($A18,'00_Mat'!$A$4:$J$1135,5,FALSE))</f>
        <v/>
      </c>
      <c r="I18" s="143"/>
    </row>
    <row r="19" ht="14.25" customHeight="1">
      <c r="F19" s="208"/>
      <c r="G19" s="3"/>
      <c r="H19" s="143"/>
      <c r="I19" s="143"/>
    </row>
    <row r="20" ht="14.25" customHeight="1">
      <c r="A20" s="222" t="s">
        <v>996</v>
      </c>
      <c r="B20" s="223"/>
      <c r="C20" s="223"/>
      <c r="D20" s="223"/>
      <c r="E20" s="223"/>
      <c r="F20" s="223"/>
      <c r="G20" s="211"/>
      <c r="H20" s="223"/>
      <c r="I20" s="224">
        <f>SUM(I7:I18)</f>
        <v>9146570</v>
      </c>
      <c r="J20" s="92"/>
      <c r="K20" s="92"/>
      <c r="L20" s="92"/>
    </row>
    <row r="21" ht="14.25" customHeight="1">
      <c r="A21" s="232" t="str">
        <f>$I$3</f>
        <v>m³</v>
      </c>
      <c r="B21" s="233"/>
      <c r="C21" s="233"/>
      <c r="D21" s="233"/>
      <c r="E21" s="233"/>
      <c r="F21" s="233"/>
      <c r="G21" s="21"/>
      <c r="H21" s="233"/>
      <c r="I21" s="205">
        <f>$H$3</f>
        <v>24</v>
      </c>
      <c r="J21" s="92"/>
      <c r="K21" s="92"/>
      <c r="L21" s="92"/>
    </row>
    <row r="22" ht="14.25" customHeight="1">
      <c r="A22" s="234" t="s">
        <v>997</v>
      </c>
      <c r="B22" s="232" t="str">
        <f>A21</f>
        <v>m³</v>
      </c>
      <c r="C22" s="233"/>
      <c r="D22" s="233"/>
      <c r="E22" s="233"/>
      <c r="F22" s="233"/>
      <c r="G22" s="21"/>
      <c r="H22" s="233"/>
      <c r="I22" s="235">
        <f>I20/I21</f>
        <v>381107.0833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01" t="s">
        <v>998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02" t="s">
        <v>988</v>
      </c>
      <c r="B26" s="202" t="s">
        <v>989</v>
      </c>
      <c r="C26" s="202" t="s">
        <v>990</v>
      </c>
      <c r="D26" s="202" t="s">
        <v>991</v>
      </c>
      <c r="E26" s="202" t="s">
        <v>999</v>
      </c>
      <c r="F26" s="202" t="s">
        <v>992</v>
      </c>
      <c r="G26" s="4" t="s">
        <v>993</v>
      </c>
      <c r="H26" s="202" t="s">
        <v>994</v>
      </c>
      <c r="I26" s="202" t="s">
        <v>995</v>
      </c>
    </row>
    <row r="27" ht="14.25" customHeight="1">
      <c r="A27" s="61" t="s">
        <v>621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29">
        <v>1.0</v>
      </c>
      <c r="E27" s="229">
        <v>10.0</v>
      </c>
      <c r="F27" s="236">
        <v>0.25</v>
      </c>
      <c r="G27" s="217">
        <f t="shared" ref="G27:G32" si="3">ROUNDUP(((D27*E27)*(1+F27)),0)</f>
        <v>13</v>
      </c>
      <c r="H27" s="143">
        <f>IF($A27=0,"",VLOOKUP($A27,'00_MO'!$A$4:$D$7,4,FALSE))</f>
        <v>120000</v>
      </c>
      <c r="I27" s="143">
        <f t="shared" ref="I27:I30" si="4">G27*H27</f>
        <v>1560000</v>
      </c>
    </row>
    <row r="28" ht="14.25" customHeight="1">
      <c r="A28" s="61" t="s">
        <v>623</v>
      </c>
      <c r="B28" s="92" t="str">
        <f>IF($A28=0,"",VLOOKUP($A28,'00_MO'!$A$4:$D$7,2,FALSE))</f>
        <v>Puntero</v>
      </c>
      <c r="C28" s="92" t="str">
        <f>IF($A28=0,"",VLOOKUP($A28,'00_MO'!$A$4:$D$7,3,FALSE))</f>
        <v>u</v>
      </c>
      <c r="D28" s="229">
        <v>2.0</v>
      </c>
      <c r="E28" s="229">
        <v>10.0</v>
      </c>
      <c r="F28" s="236">
        <v>0.25</v>
      </c>
      <c r="G28" s="217">
        <f t="shared" si="3"/>
        <v>25</v>
      </c>
      <c r="H28" s="143">
        <f>IF($A28=0,"",VLOOKUP($A28,'00_MO'!$A$4:$D$7,4,FALSE))</f>
        <v>105000</v>
      </c>
      <c r="I28" s="143">
        <f t="shared" si="4"/>
        <v>2625000</v>
      </c>
    </row>
    <row r="29" ht="14.25" customHeight="1">
      <c r="A29" s="61" t="s">
        <v>625</v>
      </c>
      <c r="B29" s="92" t="str">
        <f>IF($A29=0,"",VLOOKUP($A29,'00_MO'!$A$4:$D$7,2,FALSE))</f>
        <v>Oficial</v>
      </c>
      <c r="C29" s="92" t="str">
        <f>IF($A29=0,"",VLOOKUP($A29,'00_MO'!$A$4:$D$7,3,FALSE))</f>
        <v>u</v>
      </c>
      <c r="D29" s="229">
        <v>3.0</v>
      </c>
      <c r="E29" s="229">
        <v>10.0</v>
      </c>
      <c r="F29" s="236">
        <v>0.25</v>
      </c>
      <c r="G29" s="217">
        <f t="shared" si="3"/>
        <v>38</v>
      </c>
      <c r="H29" s="143">
        <f>IF($A29=0,"",VLOOKUP($A29,'00_MO'!$A$4:$D$7,4,FALSE))</f>
        <v>90000</v>
      </c>
      <c r="I29" s="143">
        <f t="shared" si="4"/>
        <v>3420000</v>
      </c>
    </row>
    <row r="30" ht="14.25" customHeight="1">
      <c r="A30" s="61" t="s">
        <v>627</v>
      </c>
      <c r="B30" s="92" t="str">
        <f>IF($A30=0,"",VLOOKUP($A30,'00_MO'!$A$4:$D$7,2,FALSE))</f>
        <v>Ayudante</v>
      </c>
      <c r="C30" s="92" t="str">
        <f>IF($A30=0,"",VLOOKUP($A30,'00_MO'!$A$4:$D$7,3,FALSE))</f>
        <v>u</v>
      </c>
      <c r="D30" s="229">
        <v>3.0</v>
      </c>
      <c r="E30" s="229">
        <v>10.0</v>
      </c>
      <c r="F30" s="236">
        <v>0.25</v>
      </c>
      <c r="G30" s="217">
        <f t="shared" si="3"/>
        <v>38</v>
      </c>
      <c r="H30" s="143">
        <f>IF($A30=0,"",VLOOKUP($A30,'00_MO'!$A$4:$D$7,4,FALSE))</f>
        <v>60000</v>
      </c>
      <c r="I30" s="143">
        <f t="shared" si="4"/>
        <v>2280000</v>
      </c>
    </row>
    <row r="31" ht="14.25" customHeight="1">
      <c r="A31" s="204"/>
      <c r="B31" s="92" t="str">
        <f>IF($A31=0,"",VLOOKUP($A31,'00_MO'!$A$4:$D$7,2,FALSE))</f>
        <v/>
      </c>
      <c r="C31" s="92" t="str">
        <f>IF($A31=0,"",VLOOKUP($A31,'00_MO'!$A$4:$D$7,3,FALSE))</f>
        <v/>
      </c>
      <c r="D31" s="204"/>
      <c r="E31" s="204"/>
      <c r="F31" s="206"/>
      <c r="G31" s="217">
        <f t="shared" si="3"/>
        <v>0</v>
      </c>
      <c r="H31" s="143" t="str">
        <f>IF($A31=0,"",VLOOKUP($A31,'00_MO'!$A$4:$D$7,4,FALSE))</f>
        <v/>
      </c>
      <c r="I31" s="143"/>
    </row>
    <row r="32" ht="14.25" customHeight="1">
      <c r="A32" s="204"/>
      <c r="B32" s="92" t="str">
        <f>IF($A32=0,"",VLOOKUP($A32,'00_MO'!$A$4:$D$7,2,FALSE))</f>
        <v/>
      </c>
      <c r="C32" s="92" t="str">
        <f>IF($A32=0,"",VLOOKUP($A32,'00_MO'!$A$4:$D$7,3,FALSE))</f>
        <v/>
      </c>
      <c r="D32" s="204"/>
      <c r="E32" s="204"/>
      <c r="F32" s="206"/>
      <c r="G32" s="217">
        <f t="shared" si="3"/>
        <v>0</v>
      </c>
      <c r="H32" s="143" t="str">
        <f>IF($A32=0,"",VLOOKUP($A32,'00_MO'!$A$4:$D$7,4,FALSE))</f>
        <v/>
      </c>
      <c r="I32" s="143"/>
    </row>
    <row r="33" ht="14.25" customHeight="1">
      <c r="F33" s="208"/>
      <c r="G33" s="3"/>
      <c r="H33" s="143"/>
      <c r="I33" s="143"/>
    </row>
    <row r="34" ht="14.25" customHeight="1">
      <c r="A34" s="222" t="s">
        <v>987</v>
      </c>
      <c r="B34" s="223"/>
      <c r="C34" s="223"/>
      <c r="D34" s="223"/>
      <c r="E34" s="223"/>
      <c r="F34" s="223"/>
      <c r="G34" s="211"/>
      <c r="H34" s="223"/>
      <c r="I34" s="224">
        <f>SUM(I27:I32)</f>
        <v>9885000</v>
      </c>
    </row>
    <row r="35" ht="14.25" customHeight="1">
      <c r="A35" s="232" t="str">
        <f>$I$3</f>
        <v>m³</v>
      </c>
      <c r="B35" s="233"/>
      <c r="C35" s="233"/>
      <c r="D35" s="233"/>
      <c r="E35" s="233"/>
      <c r="F35" s="233"/>
      <c r="G35" s="21"/>
      <c r="H35" s="233"/>
      <c r="I35" s="205">
        <f>$H$3</f>
        <v>24</v>
      </c>
      <c r="J35" s="92"/>
      <c r="K35" s="92"/>
      <c r="L35" s="92"/>
    </row>
    <row r="36" ht="14.25" customHeight="1">
      <c r="A36" s="234" t="s">
        <v>997</v>
      </c>
      <c r="B36" s="232" t="str">
        <f>A35</f>
        <v>m³</v>
      </c>
      <c r="C36" s="233"/>
      <c r="D36" s="233"/>
      <c r="E36" s="233"/>
      <c r="F36" s="233"/>
      <c r="G36" s="21"/>
      <c r="H36" s="233"/>
      <c r="I36" s="235">
        <f>I34/I35</f>
        <v>411875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01" t="s">
        <v>1000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02" t="s">
        <v>988</v>
      </c>
      <c r="B40" s="202" t="s">
        <v>989</v>
      </c>
      <c r="C40" s="202" t="s">
        <v>990</v>
      </c>
      <c r="D40" s="202" t="s">
        <v>991</v>
      </c>
      <c r="E40" s="202" t="s">
        <v>999</v>
      </c>
      <c r="F40" s="202" t="s">
        <v>992</v>
      </c>
      <c r="G40" s="4" t="s">
        <v>993</v>
      </c>
      <c r="H40" s="202" t="s">
        <v>994</v>
      </c>
      <c r="I40" s="202" t="s">
        <v>995</v>
      </c>
    </row>
    <row r="41" ht="14.25" customHeight="1">
      <c r="A41" s="3"/>
      <c r="B41" s="92" t="str">
        <f>IF($A41=0,"",VLOOKUP($A41,'00_Mat'!$A$4:$J$1135,2,FALSE))</f>
        <v/>
      </c>
      <c r="C41" s="92" t="str">
        <f>IF($A41=0,"",VLOOKUP($A41,'00_Mat'!$A$4:$J$1135,3,FALSE))</f>
        <v/>
      </c>
      <c r="D41" s="230"/>
      <c r="E41" s="204"/>
      <c r="F41" s="236">
        <v>0.1</v>
      </c>
      <c r="G41" s="221">
        <f t="shared" ref="G41:G45" si="5">ROUNDUP((D41+(D41*F41)),0)</f>
        <v>0</v>
      </c>
      <c r="H41" s="143" t="str">
        <f>IF($A41=0,"",VLOOKUP($A41,'00_Mat'!$A$4:$J$1135,5,FALSE))</f>
        <v/>
      </c>
      <c r="I41" s="143">
        <f t="shared" ref="I41:I46" si="6">G41*H41</f>
        <v>0</v>
      </c>
      <c r="J41" s="237"/>
    </row>
    <row r="42" ht="14.25" customHeight="1">
      <c r="A42" s="3"/>
      <c r="B42" s="92" t="str">
        <f>IF($A42=0,"",VLOOKUP($A42,'00_Mat'!$A$4:$J$1135,2,FALSE))</f>
        <v/>
      </c>
      <c r="C42" s="92" t="str">
        <f>IF($A42=0,"",VLOOKUP($A42,'00_Mat'!$A$4:$J$1135,3,FALSE))</f>
        <v/>
      </c>
      <c r="D42" s="230"/>
      <c r="E42" s="204"/>
      <c r="F42" s="236">
        <v>0.1</v>
      </c>
      <c r="G42" s="221">
        <f t="shared" si="5"/>
        <v>0</v>
      </c>
      <c r="H42" s="143" t="str">
        <f>IF($A42=0,"",VLOOKUP($A42,'00_Mat'!$A$4:$J$1135,5,FALSE))</f>
        <v/>
      </c>
      <c r="I42" s="143">
        <f t="shared" si="6"/>
        <v>0</v>
      </c>
      <c r="J42" s="237"/>
    </row>
    <row r="43" ht="14.25" customHeight="1">
      <c r="A43" s="3"/>
      <c r="B43" s="92" t="str">
        <f>IF($A43=0,"",VLOOKUP($A43,'00_Mat'!$A$4:$J$1135,2,FALSE))</f>
        <v/>
      </c>
      <c r="C43" s="92" t="str">
        <f>IF($A43=0,"",VLOOKUP($A43,'00_Mat'!$A$4:$J$1135,3,FALSE))</f>
        <v/>
      </c>
      <c r="D43" s="230"/>
      <c r="E43" s="204"/>
      <c r="F43" s="236">
        <v>0.1</v>
      </c>
      <c r="G43" s="221">
        <f t="shared" si="5"/>
        <v>0</v>
      </c>
      <c r="H43" s="143" t="str">
        <f>IF($A43=0,"",VLOOKUP($A43,'00_Mat'!$A$4:$J$1135,5,FALSE))</f>
        <v/>
      </c>
      <c r="I43" s="143">
        <f t="shared" si="6"/>
        <v>0</v>
      </c>
    </row>
    <row r="44" ht="14.25" customHeight="1">
      <c r="A44" s="20"/>
      <c r="B44" s="92" t="str">
        <f>IF($A44=0,"",VLOOKUP($A44,'00_Mat'!$A$4:$J$1135,2,FALSE))</f>
        <v/>
      </c>
      <c r="C44" s="92" t="str">
        <f>IF($A44=0,"",VLOOKUP($A44,'00_Mat'!$A$4:$J$1135,3,FALSE))</f>
        <v/>
      </c>
      <c r="D44" s="230"/>
      <c r="E44" s="204"/>
      <c r="F44" s="236">
        <v>0.1</v>
      </c>
      <c r="G44" s="221">
        <f t="shared" si="5"/>
        <v>0</v>
      </c>
      <c r="H44" s="143" t="str">
        <f>IF($A44=0,"",VLOOKUP($A44,'00_Mat'!$A$4:$J$1135,5,FALSE))</f>
        <v/>
      </c>
      <c r="I44" s="143">
        <f t="shared" si="6"/>
        <v>0</v>
      </c>
    </row>
    <row r="45" ht="14.25" customHeight="1">
      <c r="B45" s="194" t="str">
        <f>IF($A45=0,"",VLOOKUP($A45,'00_Mat'!$A$4:$J$1135,2,FALSE))</f>
        <v/>
      </c>
      <c r="C45" s="92" t="str">
        <f>IF($A45=0,"",VLOOKUP($A45,'00_Mat'!$A$4:$J$1135,3,FALSE))</f>
        <v/>
      </c>
      <c r="D45" s="230"/>
      <c r="E45" s="204"/>
      <c r="F45" s="236">
        <v>0.1</v>
      </c>
      <c r="G45" s="221">
        <f t="shared" si="5"/>
        <v>0</v>
      </c>
      <c r="H45" s="231"/>
      <c r="I45" s="143">
        <f t="shared" si="6"/>
        <v>0</v>
      </c>
    </row>
    <row r="46" ht="14.25" customHeight="1">
      <c r="A46" s="204"/>
      <c r="B46" s="92" t="str">
        <f>IF($A46=0,"",VLOOKUP($A46,'00_Mat'!$A$4:$J$1135,2,FALSE))</f>
        <v/>
      </c>
      <c r="C46" s="92" t="str">
        <f>IF($A46=0,"",VLOOKUP($A46,'00_Mat'!$A$4:$J$1135,3,FALSE))</f>
        <v/>
      </c>
      <c r="D46" s="229"/>
      <c r="E46" s="204"/>
      <c r="F46" s="236">
        <v>0.1</v>
      </c>
      <c r="G46" s="217">
        <f>ROUNDUP(((D46*E46)*(1+F46)),0)</f>
        <v>0</v>
      </c>
      <c r="H46" s="143" t="str">
        <f>IF($A46=0,"",VLOOKUP($A46,'00_Mat'!$A$4:$J$1135,5,FALSE))</f>
        <v/>
      </c>
      <c r="I46" s="143">
        <f t="shared" si="6"/>
        <v>0</v>
      </c>
      <c r="J46" s="153"/>
    </row>
    <row r="47" ht="14.25" customHeight="1">
      <c r="F47" s="208"/>
      <c r="G47" s="3"/>
      <c r="H47" s="143"/>
      <c r="I47" s="143"/>
    </row>
    <row r="48" ht="14.25" customHeight="1">
      <c r="A48" s="222" t="s">
        <v>987</v>
      </c>
      <c r="B48" s="223"/>
      <c r="C48" s="223"/>
      <c r="D48" s="223"/>
      <c r="E48" s="223"/>
      <c r="F48" s="223"/>
      <c r="G48" s="211"/>
      <c r="H48" s="223"/>
      <c r="I48" s="224">
        <f>SUM(I41:I46)</f>
        <v>0</v>
      </c>
    </row>
    <row r="49" ht="14.25" customHeight="1">
      <c r="A49" s="232" t="str">
        <f>$I$3</f>
        <v>m³</v>
      </c>
      <c r="B49" s="233"/>
      <c r="C49" s="233"/>
      <c r="D49" s="233"/>
      <c r="E49" s="233"/>
      <c r="F49" s="233"/>
      <c r="G49" s="21"/>
      <c r="H49" s="233"/>
      <c r="I49" s="205">
        <f>$H$3</f>
        <v>24</v>
      </c>
      <c r="J49" s="92"/>
      <c r="K49" s="92"/>
      <c r="L49" s="92"/>
    </row>
    <row r="50" ht="14.25" customHeight="1">
      <c r="A50" s="234" t="s">
        <v>997</v>
      </c>
      <c r="B50" s="232" t="str">
        <f>A49</f>
        <v>m³</v>
      </c>
      <c r="C50" s="233"/>
      <c r="D50" s="233"/>
      <c r="E50" s="233"/>
      <c r="F50" s="233"/>
      <c r="G50" s="21"/>
      <c r="H50" s="233"/>
      <c r="I50" s="235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01" t="s">
        <v>1010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02" t="s">
        <v>988</v>
      </c>
      <c r="B54" s="202" t="s">
        <v>989</v>
      </c>
      <c r="C54" s="202" t="s">
        <v>990</v>
      </c>
      <c r="D54" s="203" t="s">
        <v>991</v>
      </c>
      <c r="E54" s="197"/>
      <c r="F54" s="202" t="s">
        <v>992</v>
      </c>
      <c r="G54" s="4" t="s">
        <v>993</v>
      </c>
      <c r="H54" s="202" t="s">
        <v>994</v>
      </c>
      <c r="I54" s="202" t="s">
        <v>995</v>
      </c>
    </row>
    <row r="55" ht="14.25" customHeight="1">
      <c r="A55" s="3" t="s">
        <v>75</v>
      </c>
      <c r="B55" s="92" t="str">
        <f>IF($A55=0,"",VLOOKUP($A55,'00_Mat'!$A$4:$J$1135,2,FALSE))</f>
        <v>Clavos 2" punta paris (k)</v>
      </c>
      <c r="C55" s="92" t="str">
        <f>IF($A55=0,"",VLOOKUP($A55,'00_Mat'!$A$4:$J$1135,3,FALSE))</f>
        <v>k</v>
      </c>
      <c r="D55" s="230">
        <v>10.0</v>
      </c>
      <c r="E55" s="204"/>
      <c r="F55" s="236">
        <v>0.1</v>
      </c>
      <c r="G55" s="221">
        <f t="shared" ref="G55:G59" si="7">ROUNDUP((D55+(D55*F55)),0)</f>
        <v>11</v>
      </c>
      <c r="H55" s="143">
        <f>IF($A55=0,"",VLOOKUP($A55,'00_Mat'!$A$4:$J$1135,5,FALSE))</f>
        <v>4500</v>
      </c>
      <c r="I55" s="143">
        <f t="shared" ref="I55:I60" si="8">G55*H55</f>
        <v>49500</v>
      </c>
      <c r="J55" s="153" t="s">
        <v>1013</v>
      </c>
    </row>
    <row r="56" ht="14.25" customHeight="1">
      <c r="A56" s="20" t="s">
        <v>81</v>
      </c>
      <c r="B56" s="92" t="str">
        <f>IF($A56=0,"",VLOOKUP($A56,'00_Mat'!$A$4:$J$1135,2,FALSE))</f>
        <v>Alambre Fardo (50 k)</v>
      </c>
      <c r="C56" s="92" t="str">
        <f>IF($A56=0,"",VLOOKUP($A56,'00_Mat'!$A$4:$J$1135,3,FALSE))</f>
        <v>k</v>
      </c>
      <c r="D56" s="230">
        <v>1.0</v>
      </c>
      <c r="E56" s="204"/>
      <c r="F56" s="236">
        <v>0.1</v>
      </c>
      <c r="G56" s="221">
        <f t="shared" si="7"/>
        <v>2</v>
      </c>
      <c r="H56" s="143">
        <f>IF($A56=0,"",VLOOKUP($A56,'00_Mat'!$A$4:$J$1135,5,FALSE))</f>
        <v>220000</v>
      </c>
      <c r="I56" s="143">
        <f t="shared" si="8"/>
        <v>440000</v>
      </c>
      <c r="J56" s="153" t="s">
        <v>1033</v>
      </c>
    </row>
    <row r="57" ht="14.25" customHeight="1">
      <c r="A57" s="3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0"/>
      <c r="E57" s="204"/>
      <c r="F57" s="236">
        <v>0.1</v>
      </c>
      <c r="G57" s="221">
        <f t="shared" si="7"/>
        <v>0</v>
      </c>
      <c r="H57" s="143" t="str">
        <f>IF($A57=0,"",VLOOKUP($A57,'00_Mat'!$A$4:$J$1135,5,FALSE))</f>
        <v/>
      </c>
      <c r="I57" s="143">
        <f t="shared" si="8"/>
        <v>0</v>
      </c>
    </row>
    <row r="58" ht="14.25" customHeight="1">
      <c r="A58" s="20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0"/>
      <c r="E58" s="204"/>
      <c r="F58" s="236">
        <v>0.1</v>
      </c>
      <c r="G58" s="221">
        <f t="shared" si="7"/>
        <v>0</v>
      </c>
      <c r="H58" s="143" t="str">
        <f>IF($A58=0,"",VLOOKUP($A58,'00_Mat'!$A$4:$J$1135,5,FALSE))</f>
        <v/>
      </c>
      <c r="I58" s="143">
        <f t="shared" si="8"/>
        <v>0</v>
      </c>
    </row>
    <row r="59" ht="14.25" customHeight="1">
      <c r="B59" s="194" t="str">
        <f>IF($A59=0,"",VLOOKUP($A59,'00_Mat'!$A$4:$J$1135,2,FALSE))</f>
        <v/>
      </c>
      <c r="C59" s="92" t="str">
        <f>IF($A59=0,"",VLOOKUP($A59,'00_Mat'!$A$4:$J$1135,3,FALSE))</f>
        <v/>
      </c>
      <c r="D59" s="230"/>
      <c r="E59" s="204"/>
      <c r="F59" s="236">
        <v>0.1</v>
      </c>
      <c r="G59" s="221">
        <f t="shared" si="7"/>
        <v>0</v>
      </c>
      <c r="H59" s="231"/>
      <c r="I59" s="143">
        <f t="shared" si="8"/>
        <v>0</v>
      </c>
    </row>
    <row r="60" ht="14.25" customHeight="1">
      <c r="A60" s="204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29"/>
      <c r="E60" s="204"/>
      <c r="F60" s="236">
        <v>0.1</v>
      </c>
      <c r="G60" s="217">
        <f>ROUNDUP(((D60*E60)*(1+F60)),0)</f>
        <v>0</v>
      </c>
      <c r="H60" s="143" t="str">
        <f>IF($A60=0,"",VLOOKUP($A60,'00_Mat'!$A$4:$J$1135,5,FALSE))</f>
        <v/>
      </c>
      <c r="I60" s="143">
        <f t="shared" si="8"/>
        <v>0</v>
      </c>
      <c r="J60" s="153"/>
    </row>
    <row r="61" ht="14.25" customHeight="1">
      <c r="F61" s="208"/>
      <c r="G61" s="3"/>
      <c r="H61" s="143"/>
      <c r="I61" s="143"/>
    </row>
    <row r="62" ht="14.25" customHeight="1">
      <c r="A62" s="222" t="s">
        <v>987</v>
      </c>
      <c r="B62" s="223"/>
      <c r="C62" s="223"/>
      <c r="D62" s="223"/>
      <c r="E62" s="223"/>
      <c r="F62" s="223"/>
      <c r="G62" s="211"/>
      <c r="H62" s="223"/>
      <c r="I62" s="224">
        <f>SUM(I55:I60)</f>
        <v>489500</v>
      </c>
    </row>
    <row r="63" ht="14.25" customHeight="1">
      <c r="A63" s="232" t="str">
        <f>$I$3</f>
        <v>m³</v>
      </c>
      <c r="B63" s="233"/>
      <c r="C63" s="233"/>
      <c r="D63" s="233"/>
      <c r="E63" s="233"/>
      <c r="F63" s="233"/>
      <c r="G63" s="21"/>
      <c r="H63" s="233"/>
      <c r="I63" s="205">
        <f>$H$3</f>
        <v>24</v>
      </c>
      <c r="J63" s="92"/>
      <c r="K63" s="92"/>
      <c r="L63" s="92"/>
    </row>
    <row r="64" ht="14.25" customHeight="1">
      <c r="A64" s="234" t="s">
        <v>997</v>
      </c>
      <c r="B64" s="232" t="str">
        <f>A63</f>
        <v>m³</v>
      </c>
      <c r="C64" s="233"/>
      <c r="D64" s="233"/>
      <c r="E64" s="233"/>
      <c r="F64" s="233"/>
      <c r="G64" s="21"/>
      <c r="H64" s="233"/>
      <c r="I64" s="235">
        <f>I62/I63</f>
        <v>20395.83333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01" t="s">
        <v>1025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02" t="s">
        <v>988</v>
      </c>
      <c r="B68" s="202" t="s">
        <v>989</v>
      </c>
      <c r="C68" s="202" t="s">
        <v>990</v>
      </c>
      <c r="D68" s="202" t="s">
        <v>991</v>
      </c>
      <c r="E68" s="202" t="s">
        <v>999</v>
      </c>
      <c r="F68" s="202" t="s">
        <v>992</v>
      </c>
      <c r="G68" s="4" t="s">
        <v>993</v>
      </c>
      <c r="H68" s="202" t="s">
        <v>994</v>
      </c>
      <c r="I68" s="202" t="s">
        <v>995</v>
      </c>
    </row>
    <row r="69" ht="14.25" customHeight="1">
      <c r="A69" s="204"/>
      <c r="B69" s="92" t="str">
        <f>IF($A69=0,"",VLOOKUP($A69,'00_Sub'!$A$4:$D$1007,2,FALSE))</f>
        <v/>
      </c>
      <c r="C69" s="92" t="str">
        <f>IF($A69=0,"",VLOOKUP($A69,'00_Sub'!$A$4:$D$1007,3,FALSE))</f>
        <v/>
      </c>
      <c r="D69" s="204"/>
      <c r="E69" s="204"/>
      <c r="F69" s="206"/>
      <c r="G69" s="221">
        <f t="shared" ref="G69:G74" si="9">ROUNDUP((D69+(D69*F69)),0)</f>
        <v>0</v>
      </c>
      <c r="H69" s="143" t="str">
        <f>IF($A69=0,"",VLOOKUP($A69,'00_Sub'!$A$4:$D$1007,4,FALSE))</f>
        <v/>
      </c>
      <c r="I69" s="143"/>
    </row>
    <row r="70" ht="14.25" customHeight="1">
      <c r="A70" s="204"/>
      <c r="B70" s="92" t="str">
        <f>IF($A70=0,"",VLOOKUP($A70,'00_Sub'!$A$4:$D$1007,2,FALSE))</f>
        <v/>
      </c>
      <c r="C70" s="92" t="str">
        <f>IF($A70=0,"",VLOOKUP($A70,'00_Sub'!$A$4:$D$1007,3,FALSE))</f>
        <v/>
      </c>
      <c r="D70" s="204"/>
      <c r="E70" s="204"/>
      <c r="F70" s="206"/>
      <c r="G70" s="221">
        <f t="shared" si="9"/>
        <v>0</v>
      </c>
      <c r="H70" s="143" t="str">
        <f>IF($A70=0,"",VLOOKUP($A70,'00_Sub'!$A$4:$D$1007,4,FALSE))</f>
        <v/>
      </c>
      <c r="I70" s="143"/>
    </row>
    <row r="71" ht="14.25" customHeight="1">
      <c r="A71" s="204"/>
      <c r="B71" s="92" t="str">
        <f>IF($A71=0,"",VLOOKUP($A71,'00_Sub'!$A$4:$D$1007,2,FALSE))</f>
        <v/>
      </c>
      <c r="C71" s="92" t="str">
        <f>IF($A71=0,"",VLOOKUP($A71,'00_Sub'!$A$4:$D$1007,3,FALSE))</f>
        <v/>
      </c>
      <c r="D71" s="204"/>
      <c r="E71" s="204"/>
      <c r="F71" s="206"/>
      <c r="G71" s="221">
        <f t="shared" si="9"/>
        <v>0</v>
      </c>
      <c r="H71" s="143" t="str">
        <f>IF($A71=0,"",VLOOKUP($A71,'00_Sub'!$A$4:$D$1007,4,FALSE))</f>
        <v/>
      </c>
      <c r="I71" s="143"/>
    </row>
    <row r="72" ht="14.25" customHeight="1">
      <c r="A72" s="204"/>
      <c r="B72" s="92" t="str">
        <f>IF($A72=0,"",VLOOKUP($A72,'00_Sub'!$A$4:$D$1007,2,FALSE))</f>
        <v/>
      </c>
      <c r="C72" s="92" t="str">
        <f>IF($A72=0,"",VLOOKUP($A72,'00_Sub'!$A$4:$D$1007,3,FALSE))</f>
        <v/>
      </c>
      <c r="D72" s="204"/>
      <c r="E72" s="204"/>
      <c r="F72" s="206"/>
      <c r="G72" s="221">
        <f t="shared" si="9"/>
        <v>0</v>
      </c>
      <c r="H72" s="143" t="str">
        <f>IF($A72=0,"",VLOOKUP($A72,'00_Sub'!$A$4:$D$1007,4,FALSE))</f>
        <v/>
      </c>
      <c r="I72" s="143"/>
    </row>
    <row r="73" ht="14.25" customHeight="1">
      <c r="A73" s="204"/>
      <c r="B73" s="92" t="str">
        <f>IF($A73=0,"",VLOOKUP($A73,'00_Sub'!$A$4:$D$1007,2,FALSE))</f>
        <v/>
      </c>
      <c r="C73" s="92" t="str">
        <f>IF($A73=0,"",VLOOKUP($A73,'00_Sub'!$A$4:$D$1007,3,FALSE))</f>
        <v/>
      </c>
      <c r="D73" s="204"/>
      <c r="E73" s="204"/>
      <c r="F73" s="206"/>
      <c r="G73" s="221">
        <f t="shared" si="9"/>
        <v>0</v>
      </c>
      <c r="H73" s="143" t="str">
        <f>IF($A73=0,"",VLOOKUP($A73,'00_Sub'!$A$4:$D$1007,4,FALSE))</f>
        <v/>
      </c>
      <c r="I73" s="143"/>
    </row>
    <row r="74" ht="14.25" customHeight="1">
      <c r="A74" s="204"/>
      <c r="B74" s="92" t="str">
        <f>IF($A74=0,"",VLOOKUP($A74,'00_Sub'!$A$4:$D$1007,2,FALSE))</f>
        <v/>
      </c>
      <c r="C74" s="92" t="str">
        <f>IF($A74=0,"",VLOOKUP($A74,'00_Sub'!$A$4:$D$1007,3,FALSE))</f>
        <v/>
      </c>
      <c r="D74" s="204"/>
      <c r="E74" s="204"/>
      <c r="F74" s="206"/>
      <c r="G74" s="221">
        <f t="shared" si="9"/>
        <v>0</v>
      </c>
      <c r="H74" s="143" t="str">
        <f>IF($A74=0,"",VLOOKUP($A74,'00_Sub'!$A$4:$D$1007,4,FALSE))</f>
        <v/>
      </c>
      <c r="I74" s="143"/>
    </row>
    <row r="75" ht="14.25" customHeight="1">
      <c r="F75" s="208"/>
      <c r="G75" s="3"/>
      <c r="H75" s="143"/>
      <c r="I75" s="143"/>
    </row>
    <row r="76" ht="14.25" customHeight="1">
      <c r="A76" s="222" t="s">
        <v>987</v>
      </c>
      <c r="B76" s="223"/>
      <c r="C76" s="223"/>
      <c r="D76" s="223"/>
      <c r="E76" s="223"/>
      <c r="F76" s="223"/>
      <c r="G76" s="211"/>
      <c r="H76" s="223"/>
      <c r="I76" s="224">
        <f>SUM(I69:I74)</f>
        <v>0</v>
      </c>
    </row>
    <row r="77" ht="14.25" customHeight="1">
      <c r="A77" s="232" t="str">
        <f>$I$3</f>
        <v>m³</v>
      </c>
      <c r="B77" s="233"/>
      <c r="C77" s="233"/>
      <c r="D77" s="233"/>
      <c r="E77" s="233"/>
      <c r="F77" s="233"/>
      <c r="G77" s="21"/>
      <c r="H77" s="233"/>
      <c r="I77" s="205">
        <f>$H$3</f>
        <v>24</v>
      </c>
      <c r="J77" s="92"/>
      <c r="K77" s="92"/>
      <c r="L77" s="92"/>
    </row>
    <row r="78" ht="14.25" customHeight="1">
      <c r="A78" s="234" t="s">
        <v>997</v>
      </c>
      <c r="B78" s="232" t="str">
        <f>A77</f>
        <v>m³</v>
      </c>
      <c r="C78" s="233"/>
      <c r="D78" s="233"/>
      <c r="E78" s="233"/>
      <c r="F78" s="233"/>
      <c r="G78" s="21"/>
      <c r="H78" s="233"/>
      <c r="I78" s="235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3">
    <mergeCell ref="B3:F3"/>
    <mergeCell ref="D6:E6"/>
    <mergeCell ref="D54:E54"/>
  </mergeCells>
  <printOptions/>
  <pageMargins bottom="0.75" footer="0.0" header="0.0" left="0.7" right="0.7" top="0.75"/>
  <pageSetup orientation="portrait"/>
  <drawing r:id="rId2"/>
  <legacy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0" width="8.71"/>
    <col customWidth="1" min="11" max="11" width="11.29"/>
    <col customWidth="1" min="12" max="12" width="10.14"/>
    <col customWidth="1" min="13" max="13" width="19.29"/>
  </cols>
  <sheetData>
    <row r="1" ht="33.75" customHeight="1">
      <c r="A1" s="91" t="str">
        <f>'01_C&amp;P'!A1</f>
        <v>EDIFICIO LAS HERAS</v>
      </c>
      <c r="B1" s="91"/>
      <c r="C1" s="91"/>
      <c r="G1" s="3"/>
    </row>
    <row r="2" ht="14.25" customHeight="1">
      <c r="G2" s="3"/>
    </row>
    <row r="3" ht="23.25" customHeight="1">
      <c r="A3" s="195">
        <f>'01_C&amp;P'!A51</f>
        <v>46115</v>
      </c>
      <c r="B3" s="196" t="str">
        <f>IF($A3=0,"",VLOOKUP($A3,'01_C&amp;P'!$A$9:$D$192,2,FALSE))</f>
        <v>MAMPOSTERIA.</v>
      </c>
      <c r="C3" s="197"/>
      <c r="D3" s="197"/>
      <c r="E3" s="197"/>
      <c r="F3" s="197"/>
      <c r="G3" s="198"/>
      <c r="H3" s="199">
        <f>IF($A3=0,"",VLOOKUP($A3,'01_C&amp;P'!$A$9:$D$192,4,FALSE))</f>
        <v>320</v>
      </c>
      <c r="I3" s="200" t="str">
        <f>IF($A3=0,"",VLOOKUP($A3,'01_C&amp;P'!$A$9:$D$192,3,FALSE))</f>
        <v>m²</v>
      </c>
      <c r="M3" s="153"/>
    </row>
    <row r="4" ht="14.25" customHeight="1">
      <c r="G4" s="3"/>
      <c r="K4" s="153" t="s">
        <v>1049</v>
      </c>
      <c r="M4" s="153" t="s">
        <v>1071</v>
      </c>
    </row>
    <row r="5" ht="14.25" customHeight="1">
      <c r="A5" s="201" t="s">
        <v>0</v>
      </c>
      <c r="B5" s="94"/>
      <c r="C5" s="94"/>
      <c r="D5" s="94"/>
      <c r="E5" s="94"/>
      <c r="F5" s="94"/>
      <c r="G5" s="2"/>
      <c r="H5" s="94"/>
      <c r="I5" s="94"/>
      <c r="K5" s="153">
        <v>4.0</v>
      </c>
      <c r="M5" s="153">
        <f>12+73+40</f>
        <v>125</v>
      </c>
    </row>
    <row r="6" ht="14.25" customHeight="1">
      <c r="A6" s="202" t="s">
        <v>988</v>
      </c>
      <c r="B6" s="202" t="s">
        <v>989</v>
      </c>
      <c r="C6" s="202" t="s">
        <v>990</v>
      </c>
      <c r="D6" s="203" t="s">
        <v>991</v>
      </c>
      <c r="E6" s="197"/>
      <c r="F6" s="202" t="s">
        <v>992</v>
      </c>
      <c r="G6" s="4" t="s">
        <v>993</v>
      </c>
      <c r="H6" s="202" t="s">
        <v>994</v>
      </c>
      <c r="I6" s="202" t="s">
        <v>995</v>
      </c>
    </row>
    <row r="7" ht="14.25" customHeight="1">
      <c r="A7" s="252" t="s">
        <v>31</v>
      </c>
      <c r="B7" s="3" t="str">
        <f>IF($A7=0,"",VLOOKUP($A7,'00_Mat'!$A$4:$J$1165,2,FALSE))</f>
        <v>Ladrillo Portante 18 (u)</v>
      </c>
      <c r="C7" s="3" t="str">
        <f>IF($A7=0,"",VLOOKUP($A7,'00_Mat'!$A$4:$J$1165,3,FALSE))</f>
        <v>u</v>
      </c>
      <c r="D7" s="250">
        <f>M9*16</f>
        <v>5120</v>
      </c>
      <c r="E7" s="204"/>
      <c r="F7" s="236">
        <v>0.1</v>
      </c>
      <c r="G7" s="221">
        <f t="shared" ref="G7:G11" si="1">ROUNDUP((D7+(D7*F7)),0)</f>
        <v>5632</v>
      </c>
      <c r="H7" s="143">
        <f>IF($A7=0,"",VLOOKUP($A7,'00_Mat'!$A$4:$J$1135,5,FALSE))</f>
        <v>1377</v>
      </c>
      <c r="I7" s="143">
        <f t="shared" ref="I7:I11" si="2">G7*H7</f>
        <v>7755264</v>
      </c>
      <c r="J7" s="231"/>
    </row>
    <row r="8" ht="14.25" customHeight="1">
      <c r="A8" s="254" t="s">
        <v>11</v>
      </c>
      <c r="B8" s="3" t="str">
        <f>IF($A8=0,"",VLOOKUP($A8,'00_Mat'!$A$4:$J$1165,2,FALSE))</f>
        <v>Bolson de Arena (1m3) </v>
      </c>
      <c r="C8" s="3" t="str">
        <f>IF($A8=0,"",VLOOKUP($A8,'00_Mat'!$A$4:$J$1165,3,FALSE))</f>
        <v>m3</v>
      </c>
      <c r="D8" s="250">
        <f>M9*0.025</f>
        <v>8</v>
      </c>
      <c r="E8" s="204"/>
      <c r="F8" s="236">
        <v>0.15</v>
      </c>
      <c r="G8" s="221">
        <f t="shared" si="1"/>
        <v>10</v>
      </c>
      <c r="H8" s="143">
        <f>IF($A8=0,"",VLOOKUP($A8,'00_Mat'!$A$4:$J$1135,5,FALSE))</f>
        <v>33470</v>
      </c>
      <c r="I8" s="143">
        <f t="shared" si="2"/>
        <v>334700</v>
      </c>
      <c r="M8" s="153" t="s">
        <v>1043</v>
      </c>
    </row>
    <row r="9" ht="14.25" customHeight="1">
      <c r="A9" s="254" t="s">
        <v>19</v>
      </c>
      <c r="B9" s="3" t="str">
        <f>IF($A9=0,"",VLOOKUP($A9,'00_Mat'!$A$4:$J$1165,2,FALSE))</f>
        <v>Bolsa Cemento "Loma Negra" 25 k (u)</v>
      </c>
      <c r="C9" s="3" t="str">
        <f>IF($A9=0,"",VLOOKUP($A9,'00_Mat'!$A$4:$J$1165,3,FALSE))</f>
        <v>u</v>
      </c>
      <c r="D9" s="255">
        <f>(M9*5.45)/25</f>
        <v>69.76</v>
      </c>
      <c r="E9" s="204"/>
      <c r="F9" s="236">
        <v>0.15</v>
      </c>
      <c r="G9" s="221">
        <f t="shared" si="1"/>
        <v>81</v>
      </c>
      <c r="H9" s="143">
        <f>IF($A9=0,"",VLOOKUP($A9,'00_Mat'!$A$4:$J$1135,5,FALSE))</f>
        <v>7000</v>
      </c>
      <c r="I9" s="143">
        <f t="shared" si="2"/>
        <v>567000</v>
      </c>
      <c r="M9" s="176">
        <f>H3</f>
        <v>320</v>
      </c>
    </row>
    <row r="10" ht="14.25" customHeight="1">
      <c r="A10" s="254" t="s">
        <v>25</v>
      </c>
      <c r="B10" s="3" t="str">
        <f>IF($A10=0,"",VLOOKUP($A10,'00_Mat'!$A$4:$J$1165,2,FALSE))</f>
        <v>Bolsa Cal "Cacique" 25 k (u)</v>
      </c>
      <c r="C10" s="3" t="str">
        <f>IF($A10=0,"",VLOOKUP($A10,'00_Mat'!$A$4:$J$1165,3,FALSE))</f>
        <v>u</v>
      </c>
      <c r="D10" s="255">
        <f>(M9*5.33)/25</f>
        <v>68.224</v>
      </c>
      <c r="E10" s="204"/>
      <c r="F10" s="236">
        <v>0.1</v>
      </c>
      <c r="G10" s="221">
        <f t="shared" si="1"/>
        <v>76</v>
      </c>
      <c r="H10" s="143">
        <f>IF($A10=0,"",VLOOKUP($A10,'00_Mat'!$A$4:$J$1135,5,FALSE))</f>
        <v>5371.900826</v>
      </c>
      <c r="I10" s="143">
        <f t="shared" si="2"/>
        <v>408264.4628</v>
      </c>
    </row>
    <row r="11" ht="14.25" customHeight="1">
      <c r="A11" s="254" t="s">
        <v>132</v>
      </c>
      <c r="B11" s="3" t="str">
        <f>IF($A11=0,"",VLOOKUP($A11,'00_Mat'!$A$4:$J$1165,2,FALSE))</f>
        <v>Hierros ADN 420 Φ 6 </v>
      </c>
      <c r="C11" s="3" t="str">
        <f>IF($A11=0,"",VLOOKUP($A11,'00_Mat'!$A$4:$J$1165,3,FALSE))</f>
        <v>u</v>
      </c>
      <c r="D11" s="255">
        <f>(M5*4)/12</f>
        <v>41.66666667</v>
      </c>
      <c r="E11" s="204"/>
      <c r="F11" s="236">
        <v>0.1</v>
      </c>
      <c r="G11" s="221">
        <f t="shared" si="1"/>
        <v>46</v>
      </c>
      <c r="H11" s="143">
        <f>IF($A11=0,"",VLOOKUP($A11,'00_Mat'!$A$4:$J$1135,5,FALSE))</f>
        <v>5250</v>
      </c>
      <c r="I11" s="143">
        <f t="shared" si="2"/>
        <v>241500</v>
      </c>
    </row>
    <row r="12" ht="14.25" customHeight="1">
      <c r="A12" s="3"/>
      <c r="B12" s="92"/>
      <c r="C12" s="92"/>
      <c r="D12" s="229"/>
      <c r="E12" s="204"/>
      <c r="F12" s="206"/>
      <c r="G12" s="221"/>
      <c r="H12" s="143"/>
      <c r="I12" s="143"/>
    </row>
    <row r="13" ht="14.25" customHeight="1">
      <c r="A13" s="20"/>
      <c r="B13" s="92"/>
      <c r="C13" s="92"/>
      <c r="D13" s="229"/>
      <c r="E13" s="204"/>
      <c r="F13" s="206"/>
      <c r="G13" s="221"/>
      <c r="H13" s="143"/>
      <c r="I13" s="143"/>
    </row>
    <row r="14" ht="14.25" customHeight="1">
      <c r="A14" s="3"/>
      <c r="B14" s="92"/>
      <c r="C14" s="92"/>
      <c r="D14" s="229"/>
      <c r="E14" s="204"/>
      <c r="F14" s="206"/>
      <c r="G14" s="221"/>
      <c r="H14" s="143"/>
      <c r="I14" s="143"/>
    </row>
    <row r="15" ht="14.25" customHeight="1">
      <c r="A15" s="3"/>
      <c r="B15" s="92"/>
      <c r="C15" s="92"/>
      <c r="D15" s="229"/>
      <c r="E15" s="204"/>
      <c r="F15" s="206"/>
      <c r="G15" s="221"/>
      <c r="H15" s="143"/>
      <c r="I15" s="143"/>
    </row>
    <row r="16" ht="14.25" customHeight="1">
      <c r="A16" s="204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04"/>
      <c r="E16" s="204"/>
      <c r="F16" s="206"/>
      <c r="G16" s="221">
        <f t="shared" ref="G16:G18" si="3">ROUNDUP((D16+(D16*F16)),0)</f>
        <v>0</v>
      </c>
      <c r="H16" s="143" t="str">
        <f>IF($A16=0,"",VLOOKUP($A16,'00_Mat'!$A$4:$J$1135,5,FALSE))</f>
        <v/>
      </c>
      <c r="I16" s="143"/>
    </row>
    <row r="17" ht="14.25" customHeight="1">
      <c r="A17" s="204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04"/>
      <c r="E17" s="204"/>
      <c r="F17" s="206"/>
      <c r="G17" s="221">
        <f t="shared" si="3"/>
        <v>0</v>
      </c>
      <c r="H17" s="143" t="str">
        <f>IF($A17=0,"",VLOOKUP($A17,'00_Mat'!$A$4:$J$1135,5,FALSE))</f>
        <v/>
      </c>
      <c r="I17" s="143"/>
    </row>
    <row r="18" ht="14.25" customHeight="1">
      <c r="A18" s="204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04"/>
      <c r="E18" s="204"/>
      <c r="F18" s="206"/>
      <c r="G18" s="221">
        <f t="shared" si="3"/>
        <v>0</v>
      </c>
      <c r="H18" s="143" t="str">
        <f>IF($A18=0,"",VLOOKUP($A18,'00_Mat'!$A$4:$J$1135,5,FALSE))</f>
        <v/>
      </c>
      <c r="I18" s="143"/>
    </row>
    <row r="19" ht="14.25" customHeight="1">
      <c r="F19" s="208"/>
      <c r="G19" s="3"/>
      <c r="H19" s="143"/>
      <c r="I19" s="143"/>
    </row>
    <row r="20" ht="14.25" customHeight="1">
      <c r="A20" s="222" t="s">
        <v>996</v>
      </c>
      <c r="B20" s="223"/>
      <c r="C20" s="223"/>
      <c r="D20" s="223"/>
      <c r="E20" s="223"/>
      <c r="F20" s="223"/>
      <c r="G20" s="211"/>
      <c r="H20" s="223"/>
      <c r="I20" s="224">
        <f>SUM(I7:I18)</f>
        <v>9306728.463</v>
      </c>
      <c r="J20" s="92"/>
      <c r="K20" s="92"/>
      <c r="L20" s="92"/>
    </row>
    <row r="21" ht="14.25" customHeight="1">
      <c r="A21" s="232" t="str">
        <f>$I$3</f>
        <v>m²</v>
      </c>
      <c r="B21" s="233"/>
      <c r="C21" s="233"/>
      <c r="D21" s="233"/>
      <c r="E21" s="233"/>
      <c r="F21" s="233"/>
      <c r="G21" s="21"/>
      <c r="H21" s="233"/>
      <c r="I21" s="205">
        <f>$H$3</f>
        <v>320</v>
      </c>
      <c r="J21" s="92"/>
      <c r="K21" s="92"/>
      <c r="L21" s="92"/>
    </row>
    <row r="22" ht="14.25" customHeight="1">
      <c r="A22" s="234" t="s">
        <v>997</v>
      </c>
      <c r="B22" s="232" t="str">
        <f>A21</f>
        <v>m²</v>
      </c>
      <c r="C22" s="233"/>
      <c r="D22" s="233"/>
      <c r="E22" s="233"/>
      <c r="F22" s="233"/>
      <c r="G22" s="21"/>
      <c r="H22" s="233"/>
      <c r="I22" s="235">
        <f>I20/I21</f>
        <v>29083.52645</v>
      </c>
      <c r="J22" s="92"/>
      <c r="K22" s="92"/>
      <c r="L22" s="92"/>
    </row>
    <row r="23" ht="14.25" customHeight="1">
      <c r="G23" s="3"/>
      <c r="H23" s="153" t="s">
        <v>1047</v>
      </c>
      <c r="I23" s="151">
        <f>I22/M9</f>
        <v>90.88602014</v>
      </c>
    </row>
    <row r="24" ht="14.25" customHeight="1">
      <c r="G24" s="3"/>
    </row>
    <row r="25" ht="14.25" customHeight="1">
      <c r="A25" s="201" t="s">
        <v>998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02" t="s">
        <v>988</v>
      </c>
      <c r="B26" s="202" t="s">
        <v>989</v>
      </c>
      <c r="C26" s="202" t="s">
        <v>990</v>
      </c>
      <c r="D26" s="202" t="s">
        <v>991</v>
      </c>
      <c r="E26" s="202" t="s">
        <v>999</v>
      </c>
      <c r="F26" s="202" t="s">
        <v>992</v>
      </c>
      <c r="G26" s="4" t="s">
        <v>993</v>
      </c>
      <c r="H26" s="202" t="s">
        <v>994</v>
      </c>
      <c r="I26" s="202" t="s">
        <v>995</v>
      </c>
    </row>
    <row r="27" ht="14.25" customHeight="1">
      <c r="A27" s="61" t="s">
        <v>621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29">
        <v>1.0</v>
      </c>
      <c r="E27" s="229">
        <v>6.0</v>
      </c>
      <c r="F27" s="236">
        <v>0.25</v>
      </c>
      <c r="G27" s="217">
        <f t="shared" ref="G27:G32" si="4">ROUNDUP(((D27*E27)*(1+F27)),0)</f>
        <v>8</v>
      </c>
      <c r="H27" s="143">
        <f>IF($A27=0,"",VLOOKUP($A27,'00_MO'!$A$4:$D$7,4,FALSE))</f>
        <v>120000</v>
      </c>
      <c r="I27" s="143">
        <f t="shared" ref="I27:I30" si="5">G27*H27</f>
        <v>960000</v>
      </c>
      <c r="K27" s="153" t="s">
        <v>1051</v>
      </c>
    </row>
    <row r="28" ht="14.25" customHeight="1">
      <c r="A28" s="61" t="s">
        <v>623</v>
      </c>
      <c r="B28" s="92" t="str">
        <f>IF($A28=0,"",VLOOKUP($A28,'00_MO'!$A$4:$D$7,2,FALSE))</f>
        <v>Puntero</v>
      </c>
      <c r="C28" s="92" t="str">
        <f>IF($A28=0,"",VLOOKUP($A28,'00_MO'!$A$4:$D$7,3,FALSE))</f>
        <v>u</v>
      </c>
      <c r="D28" s="229">
        <v>2.0</v>
      </c>
      <c r="E28" s="229">
        <v>6.0</v>
      </c>
      <c r="F28" s="236">
        <v>0.25</v>
      </c>
      <c r="G28" s="217">
        <f t="shared" si="4"/>
        <v>15</v>
      </c>
      <c r="H28" s="143">
        <f>IF($A28=0,"",VLOOKUP($A28,'00_MO'!$A$4:$D$7,4,FALSE))</f>
        <v>105000</v>
      </c>
      <c r="I28" s="143">
        <f t="shared" si="5"/>
        <v>1575000</v>
      </c>
    </row>
    <row r="29" ht="14.25" customHeight="1">
      <c r="A29" s="61" t="s">
        <v>625</v>
      </c>
      <c r="B29" s="92" t="str">
        <f>IF($A29=0,"",VLOOKUP($A29,'00_MO'!$A$4:$D$7,2,FALSE))</f>
        <v>Oficial</v>
      </c>
      <c r="C29" s="92" t="str">
        <f>IF($A29=0,"",VLOOKUP($A29,'00_MO'!$A$4:$D$7,3,FALSE))</f>
        <v>u</v>
      </c>
      <c r="D29" s="229">
        <v>3.0</v>
      </c>
      <c r="E29" s="229">
        <v>6.0</v>
      </c>
      <c r="F29" s="236">
        <v>0.25</v>
      </c>
      <c r="G29" s="217">
        <f t="shared" si="4"/>
        <v>23</v>
      </c>
      <c r="H29" s="143">
        <f>IF($A29=0,"",VLOOKUP($A29,'00_MO'!$A$4:$D$7,4,FALSE))</f>
        <v>90000</v>
      </c>
      <c r="I29" s="143">
        <f t="shared" si="5"/>
        <v>2070000</v>
      </c>
      <c r="K29" s="153" t="s">
        <v>1052</v>
      </c>
    </row>
    <row r="30" ht="14.25" customHeight="1">
      <c r="A30" s="61" t="s">
        <v>627</v>
      </c>
      <c r="B30" s="92" t="str">
        <f>IF($A30=0,"",VLOOKUP($A30,'00_MO'!$A$4:$D$7,2,FALSE))</f>
        <v>Ayudante</v>
      </c>
      <c r="C30" s="92" t="str">
        <f>IF($A30=0,"",VLOOKUP($A30,'00_MO'!$A$4:$D$7,3,FALSE))</f>
        <v>u</v>
      </c>
      <c r="D30" s="229">
        <v>3.0</v>
      </c>
      <c r="E30" s="229">
        <v>6.0</v>
      </c>
      <c r="F30" s="236">
        <v>0.25</v>
      </c>
      <c r="G30" s="217">
        <f t="shared" si="4"/>
        <v>23</v>
      </c>
      <c r="H30" s="143">
        <f>IF($A30=0,"",VLOOKUP($A30,'00_MO'!$A$4:$D$7,4,FALSE))</f>
        <v>60000</v>
      </c>
      <c r="I30" s="143">
        <f t="shared" si="5"/>
        <v>1380000</v>
      </c>
    </row>
    <row r="31" ht="14.25" customHeight="1">
      <c r="A31" s="204"/>
      <c r="B31" s="92" t="str">
        <f>IF($A31=0,"",VLOOKUP($A31,'00_MO'!$A$4:$D$7,2,FALSE))</f>
        <v/>
      </c>
      <c r="C31" s="92" t="str">
        <f>IF($A31=0,"",VLOOKUP($A31,'00_MO'!$A$4:$D$7,3,FALSE))</f>
        <v/>
      </c>
      <c r="D31" s="204"/>
      <c r="E31" s="229"/>
      <c r="F31" s="206"/>
      <c r="G31" s="217">
        <f t="shared" si="4"/>
        <v>0</v>
      </c>
      <c r="H31" s="143" t="str">
        <f>IF($A31=0,"",VLOOKUP($A31,'00_MO'!$A$4:$D$7,4,FALSE))</f>
        <v/>
      </c>
      <c r="I31" s="143"/>
    </row>
    <row r="32" ht="14.25" customHeight="1">
      <c r="A32" s="204"/>
      <c r="B32" s="92" t="str">
        <f>IF($A32=0,"",VLOOKUP($A32,'00_MO'!$A$4:$D$7,2,FALSE))</f>
        <v/>
      </c>
      <c r="C32" s="92" t="str">
        <f>IF($A32=0,"",VLOOKUP($A32,'00_MO'!$A$4:$D$7,3,FALSE))</f>
        <v/>
      </c>
      <c r="D32" s="204"/>
      <c r="E32" s="204"/>
      <c r="F32" s="206"/>
      <c r="G32" s="217">
        <f t="shared" si="4"/>
        <v>0</v>
      </c>
      <c r="H32" s="143" t="str">
        <f>IF($A32=0,"",VLOOKUP($A32,'00_MO'!$A$4:$D$7,4,FALSE))</f>
        <v/>
      </c>
      <c r="I32" s="143"/>
    </row>
    <row r="33" ht="14.25" customHeight="1">
      <c r="F33" s="208"/>
      <c r="G33" s="3"/>
      <c r="H33" s="143"/>
      <c r="I33" s="143"/>
    </row>
    <row r="34" ht="14.25" customHeight="1">
      <c r="A34" s="222" t="s">
        <v>987</v>
      </c>
      <c r="B34" s="223"/>
      <c r="C34" s="223"/>
      <c r="D34" s="223"/>
      <c r="E34" s="223"/>
      <c r="F34" s="223"/>
      <c r="G34" s="211"/>
      <c r="H34" s="223"/>
      <c r="I34" s="224">
        <f>SUM(I27:I32)</f>
        <v>5985000</v>
      </c>
    </row>
    <row r="35" ht="14.25" customHeight="1">
      <c r="A35" s="232" t="str">
        <f>$I$3</f>
        <v>m²</v>
      </c>
      <c r="B35" s="233"/>
      <c r="C35" s="233"/>
      <c r="D35" s="233"/>
      <c r="E35" s="233"/>
      <c r="F35" s="233"/>
      <c r="G35" s="21"/>
      <c r="H35" s="233"/>
      <c r="I35" s="205">
        <f>$H$3</f>
        <v>320</v>
      </c>
      <c r="J35" s="92"/>
      <c r="K35" s="92"/>
      <c r="L35" s="92"/>
    </row>
    <row r="36" ht="14.25" customHeight="1">
      <c r="A36" s="234" t="s">
        <v>997</v>
      </c>
      <c r="B36" s="232" t="str">
        <f>A35</f>
        <v>m²</v>
      </c>
      <c r="C36" s="233"/>
      <c r="D36" s="233"/>
      <c r="E36" s="233"/>
      <c r="F36" s="233"/>
      <c r="G36" s="21"/>
      <c r="H36" s="233"/>
      <c r="I36" s="235">
        <f>I34/I35</f>
        <v>18703.125</v>
      </c>
      <c r="J36" s="92"/>
      <c r="K36" s="92"/>
      <c r="L36" s="92"/>
    </row>
    <row r="37" ht="14.25" customHeight="1">
      <c r="G37" s="3"/>
      <c r="H37" s="153" t="s">
        <v>1047</v>
      </c>
      <c r="I37" s="151">
        <f>I36/M9</f>
        <v>58.44726563</v>
      </c>
    </row>
    <row r="38" ht="14.25" customHeight="1">
      <c r="G38" s="3"/>
    </row>
    <row r="39" ht="14.25" customHeight="1">
      <c r="A39" s="201" t="s">
        <v>1000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02" t="s">
        <v>988</v>
      </c>
      <c r="B40" s="202" t="s">
        <v>989</v>
      </c>
      <c r="C40" s="202" t="s">
        <v>990</v>
      </c>
      <c r="D40" s="202" t="s">
        <v>991</v>
      </c>
      <c r="E40" s="202" t="s">
        <v>999</v>
      </c>
      <c r="F40" s="202" t="s">
        <v>992</v>
      </c>
      <c r="G40" s="4" t="s">
        <v>993</v>
      </c>
      <c r="H40" s="202" t="s">
        <v>994</v>
      </c>
      <c r="I40" s="202" t="s">
        <v>995</v>
      </c>
    </row>
    <row r="41" ht="14.25" customHeight="1">
      <c r="A41" s="3"/>
      <c r="B41" s="92" t="str">
        <f>IF($A41=0,"",VLOOKUP($A41,'00_Mat'!$A$4:$J$1135,2,FALSE))</f>
        <v/>
      </c>
      <c r="C41" s="92" t="str">
        <f>IF($A41=0,"",VLOOKUP($A41,'00_Mat'!$A$4:$J$1135,3,FALSE))</f>
        <v/>
      </c>
      <c r="D41" s="230"/>
      <c r="E41" s="204"/>
      <c r="F41" s="236"/>
      <c r="G41" s="221">
        <f t="shared" ref="G41:G45" si="6">ROUNDUP((D41+(D41*F41)),0)</f>
        <v>0</v>
      </c>
      <c r="H41" s="143" t="str">
        <f>IF($A41=0,"",VLOOKUP($A41,'00_Mat'!$A$4:$J$1135,5,FALSE))</f>
        <v/>
      </c>
      <c r="I41" s="143">
        <f t="shared" ref="I41:I46" si="7">G41*H41</f>
        <v>0</v>
      </c>
      <c r="J41" s="237"/>
    </row>
    <row r="42" ht="14.25" customHeight="1">
      <c r="A42" s="3"/>
      <c r="B42" s="92" t="str">
        <f>IF($A42=0,"",VLOOKUP($A42,'00_Mat'!$A$4:$J$1135,2,FALSE))</f>
        <v/>
      </c>
      <c r="C42" s="92" t="str">
        <f>IF($A42=0,"",VLOOKUP($A42,'00_Mat'!$A$4:$J$1135,3,FALSE))</f>
        <v/>
      </c>
      <c r="D42" s="230"/>
      <c r="E42" s="204"/>
      <c r="F42" s="236"/>
      <c r="G42" s="221">
        <f t="shared" si="6"/>
        <v>0</v>
      </c>
      <c r="H42" s="143" t="str">
        <f>IF($A42=0,"",VLOOKUP($A42,'00_Mat'!$A$4:$J$1135,5,FALSE))</f>
        <v/>
      </c>
      <c r="I42" s="143">
        <f t="shared" si="7"/>
        <v>0</v>
      </c>
      <c r="J42" s="237"/>
    </row>
    <row r="43" ht="14.25" customHeight="1">
      <c r="A43" s="3"/>
      <c r="B43" s="92" t="str">
        <f>IF($A43=0,"",VLOOKUP($A43,'00_Mat'!$A$4:$J$1135,2,FALSE))</f>
        <v/>
      </c>
      <c r="C43" s="92" t="str">
        <f>IF($A43=0,"",VLOOKUP($A43,'00_Mat'!$A$4:$J$1135,3,FALSE))</f>
        <v/>
      </c>
      <c r="D43" s="230"/>
      <c r="E43" s="204"/>
      <c r="F43" s="236"/>
      <c r="G43" s="221">
        <f t="shared" si="6"/>
        <v>0</v>
      </c>
      <c r="H43" s="143" t="str">
        <f>IF($A43=0,"",VLOOKUP($A43,'00_Mat'!$A$4:$J$1135,5,FALSE))</f>
        <v/>
      </c>
      <c r="I43" s="143">
        <f t="shared" si="7"/>
        <v>0</v>
      </c>
    </row>
    <row r="44" ht="14.25" customHeight="1">
      <c r="A44" s="20"/>
      <c r="B44" s="92" t="str">
        <f>IF($A44=0,"",VLOOKUP($A44,'00_Mat'!$A$4:$J$1135,2,FALSE))</f>
        <v/>
      </c>
      <c r="C44" s="92" t="str">
        <f>IF($A44=0,"",VLOOKUP($A44,'00_Mat'!$A$4:$J$1135,3,FALSE))</f>
        <v/>
      </c>
      <c r="D44" s="230"/>
      <c r="E44" s="204"/>
      <c r="F44" s="236"/>
      <c r="G44" s="221">
        <f t="shared" si="6"/>
        <v>0</v>
      </c>
      <c r="H44" s="143" t="str">
        <f>IF($A44=0,"",VLOOKUP($A44,'00_Mat'!$A$4:$J$1135,5,FALSE))</f>
        <v/>
      </c>
      <c r="I44" s="143">
        <f t="shared" si="7"/>
        <v>0</v>
      </c>
    </row>
    <row r="45" ht="14.25" customHeight="1">
      <c r="B45" s="194" t="str">
        <f>IF($A45=0,"",VLOOKUP($A45,'00_Mat'!$A$4:$J$1135,2,FALSE))</f>
        <v/>
      </c>
      <c r="C45" s="92" t="str">
        <f>IF($A45=0,"",VLOOKUP($A45,'00_Mat'!$A$4:$J$1135,3,FALSE))</f>
        <v/>
      </c>
      <c r="D45" s="230"/>
      <c r="E45" s="204"/>
      <c r="F45" s="236"/>
      <c r="G45" s="221">
        <f t="shared" si="6"/>
        <v>0</v>
      </c>
      <c r="H45" s="231"/>
      <c r="I45" s="143">
        <f t="shared" si="7"/>
        <v>0</v>
      </c>
    </row>
    <row r="46" ht="14.25" customHeight="1">
      <c r="A46" s="204"/>
      <c r="B46" s="92" t="str">
        <f>IF($A46=0,"",VLOOKUP($A46,'00_Mat'!$A$4:$J$1135,2,FALSE))</f>
        <v/>
      </c>
      <c r="C46" s="92" t="str">
        <f>IF($A46=0,"",VLOOKUP($A46,'00_Mat'!$A$4:$J$1135,3,FALSE))</f>
        <v/>
      </c>
      <c r="D46" s="229"/>
      <c r="E46" s="204"/>
      <c r="F46" s="236"/>
      <c r="G46" s="217">
        <f>ROUNDUP(((D46*E46)*(1+F46)),0)</f>
        <v>0</v>
      </c>
      <c r="H46" s="143" t="str">
        <f>IF($A46=0,"",VLOOKUP($A46,'00_Mat'!$A$4:$J$1135,5,FALSE))</f>
        <v/>
      </c>
      <c r="I46" s="143">
        <f t="shared" si="7"/>
        <v>0</v>
      </c>
      <c r="J46" s="153"/>
    </row>
    <row r="47" ht="14.25" customHeight="1">
      <c r="F47" s="208"/>
      <c r="G47" s="3"/>
      <c r="H47" s="143"/>
      <c r="I47" s="143"/>
    </row>
    <row r="48" ht="14.25" customHeight="1">
      <c r="A48" s="222" t="s">
        <v>987</v>
      </c>
      <c r="B48" s="223"/>
      <c r="C48" s="223"/>
      <c r="D48" s="223"/>
      <c r="E48" s="223"/>
      <c r="F48" s="223"/>
      <c r="G48" s="211"/>
      <c r="H48" s="223"/>
      <c r="I48" s="224">
        <f>SUM(I41:I46)</f>
        <v>0</v>
      </c>
    </row>
    <row r="49" ht="14.25" customHeight="1">
      <c r="A49" s="232" t="str">
        <f>$I$3</f>
        <v>m²</v>
      </c>
      <c r="B49" s="233"/>
      <c r="C49" s="233"/>
      <c r="D49" s="233"/>
      <c r="E49" s="233"/>
      <c r="F49" s="233"/>
      <c r="G49" s="21"/>
      <c r="H49" s="233"/>
      <c r="I49" s="205">
        <f>$H$3</f>
        <v>320</v>
      </c>
      <c r="J49" s="92"/>
      <c r="K49" s="92"/>
      <c r="L49" s="92"/>
    </row>
    <row r="50" ht="14.25" customHeight="1">
      <c r="A50" s="234" t="s">
        <v>997</v>
      </c>
      <c r="B50" s="232" t="str">
        <f>A49</f>
        <v>m²</v>
      </c>
      <c r="C50" s="233"/>
      <c r="D50" s="233"/>
      <c r="E50" s="233"/>
      <c r="F50" s="233"/>
      <c r="G50" s="21"/>
      <c r="H50" s="233"/>
      <c r="I50" s="235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01" t="s">
        <v>1010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02" t="s">
        <v>988</v>
      </c>
      <c r="B54" s="202" t="s">
        <v>989</v>
      </c>
      <c r="C54" s="202" t="s">
        <v>990</v>
      </c>
      <c r="D54" s="203" t="s">
        <v>991</v>
      </c>
      <c r="E54" s="197"/>
      <c r="F54" s="202" t="s">
        <v>992</v>
      </c>
      <c r="G54" s="4" t="s">
        <v>993</v>
      </c>
      <c r="H54" s="202" t="s">
        <v>994</v>
      </c>
      <c r="I54" s="202" t="s">
        <v>995</v>
      </c>
    </row>
    <row r="55" ht="14.25" customHeight="1">
      <c r="A55" s="229" t="s">
        <v>1053</v>
      </c>
      <c r="B55" s="92" t="str">
        <f>IF($A55=0,"",VLOOKUP($A55,'00_Mat'!$A$4:$J$1135,2,FALSE))</f>
        <v>Disco corte</v>
      </c>
      <c r="C55" s="92" t="str">
        <f>IF($A55=0,"",VLOOKUP($A55,'00_Mat'!$A$4:$J$1135,3,FALSE))</f>
        <v>u</v>
      </c>
      <c r="D55" s="230">
        <v>1.0</v>
      </c>
      <c r="E55" s="204"/>
      <c r="F55" s="236">
        <v>0.1</v>
      </c>
      <c r="G55" s="221">
        <f t="shared" ref="G55:G60" si="8">ROUNDUP((D55+(D55*F55)),0)</f>
        <v>2</v>
      </c>
      <c r="H55" s="143">
        <f>IF($A55=0,"",VLOOKUP($A55,'00_Mat'!$A$4:$J$1135,5,FALSE))</f>
        <v>40000</v>
      </c>
      <c r="I55" s="143">
        <f t="shared" ref="I55:I58" si="9">G55*H55</f>
        <v>80000</v>
      </c>
      <c r="J55" s="237"/>
    </row>
    <row r="56" ht="14.25" customHeight="1">
      <c r="A56" s="3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0">
        <v>10.0</v>
      </c>
      <c r="E56" s="204"/>
      <c r="F56" s="236">
        <v>0.1</v>
      </c>
      <c r="G56" s="221">
        <f t="shared" si="8"/>
        <v>11</v>
      </c>
      <c r="H56" s="143" t="str">
        <f>IF($A56=0,"",VLOOKUP($A56,'00_Mat'!$A$4:$J$1135,5,FALSE))</f>
        <v/>
      </c>
      <c r="I56" s="143">
        <f t="shared" si="9"/>
        <v>0</v>
      </c>
      <c r="J56" s="237"/>
    </row>
    <row r="57" ht="14.25" customHeight="1">
      <c r="A57" s="3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0">
        <v>1.0</v>
      </c>
      <c r="E57" s="204"/>
      <c r="F57" s="236">
        <v>0.1</v>
      </c>
      <c r="G57" s="221">
        <f t="shared" si="8"/>
        <v>2</v>
      </c>
      <c r="H57" s="143" t="str">
        <f>IF($A57=0,"",VLOOKUP($A57,'00_Mat'!$A$4:$J$1135,5,FALSE))</f>
        <v/>
      </c>
      <c r="I57" s="143">
        <f t="shared" si="9"/>
        <v>0</v>
      </c>
    </row>
    <row r="58" ht="14.25" customHeight="1">
      <c r="A58" s="20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0">
        <v>1.0</v>
      </c>
      <c r="E58" s="204"/>
      <c r="F58" s="236">
        <v>0.1</v>
      </c>
      <c r="G58" s="221">
        <f t="shared" si="8"/>
        <v>2</v>
      </c>
      <c r="H58" s="143" t="str">
        <f>IF($A58=0,"",VLOOKUP($A58,'00_Mat'!$A$4:$J$1135,5,FALSE))</f>
        <v/>
      </c>
      <c r="I58" s="143">
        <f t="shared" si="9"/>
        <v>0</v>
      </c>
    </row>
    <row r="59" ht="14.25" customHeight="1">
      <c r="A59" s="204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05"/>
      <c r="E59" s="204"/>
      <c r="F59" s="206"/>
      <c r="G59" s="221">
        <f t="shared" si="8"/>
        <v>0</v>
      </c>
      <c r="H59" s="143" t="str">
        <f>IF($A59=0,"",VLOOKUP($A59,'00_Mat'!$A$4:$J$1135,5,FALSE))</f>
        <v/>
      </c>
      <c r="I59" s="143"/>
    </row>
    <row r="60" ht="14.25" customHeight="1">
      <c r="A60" s="204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05"/>
      <c r="E60" s="204"/>
      <c r="F60" s="206"/>
      <c r="G60" s="221">
        <f t="shared" si="8"/>
        <v>0</v>
      </c>
      <c r="H60" s="143" t="str">
        <f>IF($A60=0,"",VLOOKUP($A60,'00_Mat'!$A$4:$J$1135,5,FALSE))</f>
        <v/>
      </c>
      <c r="I60" s="143"/>
    </row>
    <row r="61" ht="14.25" customHeight="1">
      <c r="F61" s="208"/>
      <c r="G61" s="3"/>
      <c r="H61" s="143"/>
      <c r="I61" s="143"/>
    </row>
    <row r="62" ht="14.25" customHeight="1">
      <c r="A62" s="222" t="s">
        <v>987</v>
      </c>
      <c r="B62" s="223"/>
      <c r="C62" s="223"/>
      <c r="D62" s="223"/>
      <c r="E62" s="223"/>
      <c r="F62" s="223"/>
      <c r="G62" s="211"/>
      <c r="H62" s="223"/>
      <c r="I62" s="224">
        <f>SUM(I55:I60)</f>
        <v>80000</v>
      </c>
    </row>
    <row r="63" ht="14.25" customHeight="1">
      <c r="A63" s="232" t="str">
        <f>$I$3</f>
        <v>m²</v>
      </c>
      <c r="B63" s="233"/>
      <c r="C63" s="233"/>
      <c r="D63" s="233"/>
      <c r="E63" s="233"/>
      <c r="F63" s="233"/>
      <c r="G63" s="21"/>
      <c r="H63" s="233"/>
      <c r="I63" s="205">
        <f>$H$3</f>
        <v>320</v>
      </c>
      <c r="J63" s="92"/>
      <c r="K63" s="92"/>
      <c r="L63" s="92"/>
    </row>
    <row r="64" ht="14.25" customHeight="1">
      <c r="A64" s="234" t="s">
        <v>997</v>
      </c>
      <c r="B64" s="232" t="str">
        <f>A63</f>
        <v>m²</v>
      </c>
      <c r="C64" s="233"/>
      <c r="D64" s="233"/>
      <c r="E64" s="233"/>
      <c r="F64" s="233"/>
      <c r="G64" s="21"/>
      <c r="H64" s="233"/>
      <c r="I64" s="235">
        <f>I62/I63</f>
        <v>250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01" t="s">
        <v>1025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02" t="s">
        <v>988</v>
      </c>
      <c r="B68" s="202" t="s">
        <v>989</v>
      </c>
      <c r="C68" s="202" t="s">
        <v>990</v>
      </c>
      <c r="D68" s="202" t="s">
        <v>991</v>
      </c>
      <c r="E68" s="202" t="s">
        <v>999</v>
      </c>
      <c r="F68" s="202" t="s">
        <v>992</v>
      </c>
      <c r="G68" s="4" t="s">
        <v>993</v>
      </c>
      <c r="H68" s="202" t="s">
        <v>994</v>
      </c>
      <c r="I68" s="202" t="s">
        <v>995</v>
      </c>
    </row>
    <row r="69" ht="14.25" customHeight="1">
      <c r="A69" s="204"/>
      <c r="B69" s="92" t="str">
        <f>IF($A69=0,"",VLOOKUP($A69,'00_Sub'!$A$4:$D$1007,2,FALSE))</f>
        <v/>
      </c>
      <c r="C69" s="92" t="str">
        <f>IF($A69=0,"",VLOOKUP($A69,'00_Sub'!$A$4:$D$1007,3,FALSE))</f>
        <v/>
      </c>
      <c r="D69" s="204"/>
      <c r="E69" s="204"/>
      <c r="F69" s="206"/>
      <c r="G69" s="221">
        <f t="shared" ref="G69:G74" si="10">ROUNDUP((D69+(D69*F69)),0)</f>
        <v>0</v>
      </c>
      <c r="H69" s="143" t="str">
        <f>IF($A69=0,"",VLOOKUP($A69,'00_Sub'!$A$4:$D$1007,4,FALSE))</f>
        <v/>
      </c>
      <c r="I69" s="143"/>
    </row>
    <row r="70" ht="14.25" customHeight="1">
      <c r="A70" s="204"/>
      <c r="B70" s="92" t="str">
        <f>IF($A70=0,"",VLOOKUP($A70,'00_Sub'!$A$4:$D$1007,2,FALSE))</f>
        <v/>
      </c>
      <c r="C70" s="92" t="str">
        <f>IF($A70=0,"",VLOOKUP($A70,'00_Sub'!$A$4:$D$1007,3,FALSE))</f>
        <v/>
      </c>
      <c r="D70" s="204"/>
      <c r="E70" s="204"/>
      <c r="F70" s="206"/>
      <c r="G70" s="221">
        <f t="shared" si="10"/>
        <v>0</v>
      </c>
      <c r="H70" s="143" t="str">
        <f>IF($A70=0,"",VLOOKUP($A70,'00_Sub'!$A$4:$D$1007,4,FALSE))</f>
        <v/>
      </c>
      <c r="I70" s="143"/>
    </row>
    <row r="71" ht="14.25" customHeight="1">
      <c r="A71" s="204"/>
      <c r="B71" s="92" t="str">
        <f>IF($A71=0,"",VLOOKUP($A71,'00_Sub'!$A$4:$D$1007,2,FALSE))</f>
        <v/>
      </c>
      <c r="C71" s="92" t="str">
        <f>IF($A71=0,"",VLOOKUP($A71,'00_Sub'!$A$4:$D$1007,3,FALSE))</f>
        <v/>
      </c>
      <c r="D71" s="204"/>
      <c r="E71" s="204"/>
      <c r="F71" s="206"/>
      <c r="G71" s="221">
        <f t="shared" si="10"/>
        <v>0</v>
      </c>
      <c r="H71" s="143" t="str">
        <f>IF($A71=0,"",VLOOKUP($A71,'00_Sub'!$A$4:$D$1007,4,FALSE))</f>
        <v/>
      </c>
      <c r="I71" s="143"/>
    </row>
    <row r="72" ht="14.25" customHeight="1">
      <c r="A72" s="204"/>
      <c r="B72" s="92" t="str">
        <f>IF($A72=0,"",VLOOKUP($A72,'00_Sub'!$A$4:$D$1007,2,FALSE))</f>
        <v/>
      </c>
      <c r="C72" s="92" t="str">
        <f>IF($A72=0,"",VLOOKUP($A72,'00_Sub'!$A$4:$D$1007,3,FALSE))</f>
        <v/>
      </c>
      <c r="D72" s="204"/>
      <c r="E72" s="204"/>
      <c r="F72" s="206"/>
      <c r="G72" s="221">
        <f t="shared" si="10"/>
        <v>0</v>
      </c>
      <c r="H72" s="143" t="str">
        <f>IF($A72=0,"",VLOOKUP($A72,'00_Sub'!$A$4:$D$1007,4,FALSE))</f>
        <v/>
      </c>
      <c r="I72" s="143"/>
    </row>
    <row r="73" ht="14.25" customHeight="1">
      <c r="A73" s="204"/>
      <c r="B73" s="92" t="str">
        <f>IF($A73=0,"",VLOOKUP($A73,'00_Sub'!$A$4:$D$1007,2,FALSE))</f>
        <v/>
      </c>
      <c r="C73" s="92" t="str">
        <f>IF($A73=0,"",VLOOKUP($A73,'00_Sub'!$A$4:$D$1007,3,FALSE))</f>
        <v/>
      </c>
      <c r="D73" s="204"/>
      <c r="E73" s="204"/>
      <c r="F73" s="206"/>
      <c r="G73" s="221">
        <f t="shared" si="10"/>
        <v>0</v>
      </c>
      <c r="H73" s="143" t="str">
        <f>IF($A73=0,"",VLOOKUP($A73,'00_Sub'!$A$4:$D$1007,4,FALSE))</f>
        <v/>
      </c>
      <c r="I73" s="143"/>
    </row>
    <row r="74" ht="14.25" customHeight="1">
      <c r="A74" s="204"/>
      <c r="B74" s="92" t="str">
        <f>IF($A74=0,"",VLOOKUP($A74,'00_Sub'!$A$4:$D$1007,2,FALSE))</f>
        <v/>
      </c>
      <c r="C74" s="92" t="str">
        <f>IF($A74=0,"",VLOOKUP($A74,'00_Sub'!$A$4:$D$1007,3,FALSE))</f>
        <v/>
      </c>
      <c r="D74" s="204"/>
      <c r="E74" s="204"/>
      <c r="F74" s="206"/>
      <c r="G74" s="221">
        <f t="shared" si="10"/>
        <v>0</v>
      </c>
      <c r="H74" s="143" t="str">
        <f>IF($A74=0,"",VLOOKUP($A74,'00_Sub'!$A$4:$D$1007,4,FALSE))</f>
        <v/>
      </c>
      <c r="I74" s="143"/>
    </row>
    <row r="75" ht="14.25" customHeight="1">
      <c r="F75" s="208"/>
      <c r="G75" s="3"/>
      <c r="H75" s="143"/>
      <c r="I75" s="143"/>
    </row>
    <row r="76" ht="14.25" customHeight="1">
      <c r="A76" s="222" t="s">
        <v>987</v>
      </c>
      <c r="B76" s="223"/>
      <c r="C76" s="223"/>
      <c r="D76" s="223"/>
      <c r="E76" s="223"/>
      <c r="F76" s="223"/>
      <c r="G76" s="211"/>
      <c r="H76" s="223"/>
      <c r="I76" s="224">
        <f>SUM(I69:I74)</f>
        <v>0</v>
      </c>
    </row>
    <row r="77" ht="14.25" customHeight="1">
      <c r="A77" s="232" t="str">
        <f>$I$3</f>
        <v>m²</v>
      </c>
      <c r="B77" s="233"/>
      <c r="C77" s="233"/>
      <c r="D77" s="233"/>
      <c r="E77" s="233"/>
      <c r="F77" s="233"/>
      <c r="G77" s="21"/>
      <c r="H77" s="233"/>
      <c r="I77" s="205">
        <f>$H$3</f>
        <v>320</v>
      </c>
      <c r="J77" s="92"/>
      <c r="K77" s="92"/>
      <c r="L77" s="92"/>
    </row>
    <row r="78" ht="14.25" customHeight="1">
      <c r="A78" s="234" t="s">
        <v>997</v>
      </c>
      <c r="B78" s="232" t="str">
        <f>A77</f>
        <v>m²</v>
      </c>
      <c r="C78" s="233"/>
      <c r="D78" s="233"/>
      <c r="E78" s="233"/>
      <c r="F78" s="233"/>
      <c r="G78" s="21"/>
      <c r="H78" s="233"/>
      <c r="I78" s="235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3">
    <mergeCell ref="B3:F3"/>
    <mergeCell ref="D6:E6"/>
    <mergeCell ref="D54:E54"/>
  </mergeCells>
  <printOptions/>
  <pageMargins bottom="0.75" footer="0.0" header="0.0" left="0.7" right="0.7" top="0.75"/>
  <pageSetup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55.43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0" width="8.71"/>
    <col customWidth="1" min="11" max="11" width="11.29"/>
    <col customWidth="1" min="12" max="12" width="10.14"/>
    <col customWidth="1" min="13" max="13" width="19.29"/>
  </cols>
  <sheetData>
    <row r="1" ht="33.75" customHeight="1">
      <c r="A1" s="91" t="str">
        <f>'01_C&amp;P'!A1</f>
        <v>EDIFICIO LAS HERAS</v>
      </c>
      <c r="B1" s="91"/>
      <c r="C1" s="91"/>
      <c r="G1" s="3"/>
    </row>
    <row r="2" ht="14.25" customHeight="1">
      <c r="G2" s="3"/>
    </row>
    <row r="3" ht="23.25" customHeight="1">
      <c r="A3" s="195">
        <f>'01_C&amp;P'!A52</f>
        <v>46145</v>
      </c>
      <c r="B3" s="196" t="str">
        <f>IF($A3=0,"",VLOOKUP($A3,'01_C&amp;P'!$A$9:$D$192,2,FALSE))</f>
        <v>CONTRAPISO . e=12cm</v>
      </c>
      <c r="C3" s="197"/>
      <c r="D3" s="197"/>
      <c r="E3" s="197"/>
      <c r="F3" s="197"/>
      <c r="G3" s="198"/>
      <c r="H3" s="199">
        <f>IF($A3=0,"",VLOOKUP($A3,'01_C&amp;P'!$A$9:$D$192,4,FALSE))</f>
        <v>270</v>
      </c>
      <c r="I3" s="200" t="str">
        <f>IF($A3=0,"",VLOOKUP($A3,'01_C&amp;P'!$A$9:$D$192,3,FALSE))</f>
        <v>m²</v>
      </c>
      <c r="M3" s="153"/>
    </row>
    <row r="4" ht="14.25" customHeight="1">
      <c r="G4" s="3"/>
      <c r="K4" s="153" t="s">
        <v>1042</v>
      </c>
      <c r="M4" s="153" t="s">
        <v>1043</v>
      </c>
    </row>
    <row r="5" ht="14.25" customHeight="1">
      <c r="A5" s="201" t="s">
        <v>0</v>
      </c>
      <c r="B5" s="94"/>
      <c r="C5" s="94"/>
      <c r="D5" s="94"/>
      <c r="E5" s="94"/>
      <c r="F5" s="94"/>
      <c r="G5" s="2"/>
      <c r="H5" s="94"/>
      <c r="I5" s="94"/>
      <c r="K5" s="153">
        <v>0.12</v>
      </c>
      <c r="M5" s="153">
        <v>270.0</v>
      </c>
    </row>
    <row r="6" ht="14.25" customHeight="1">
      <c r="A6" s="202" t="s">
        <v>988</v>
      </c>
      <c r="B6" s="202" t="s">
        <v>989</v>
      </c>
      <c r="C6" s="202" t="s">
        <v>990</v>
      </c>
      <c r="D6" s="203" t="s">
        <v>991</v>
      </c>
      <c r="E6" s="197"/>
      <c r="F6" s="202" t="s">
        <v>992</v>
      </c>
      <c r="G6" s="4" t="s">
        <v>993</v>
      </c>
      <c r="H6" s="202" t="s">
        <v>994</v>
      </c>
      <c r="I6" s="202" t="s">
        <v>995</v>
      </c>
    </row>
    <row r="7" ht="14.25" customHeight="1">
      <c r="A7" s="249" t="s">
        <v>1054</v>
      </c>
      <c r="B7" s="3" t="str">
        <f>IF($A7=0,"",VLOOKUP($A7,'00_Mat'!$A$4:$J$1165,2,FALSE))</f>
        <v>Bolson de Arena (1m3) </v>
      </c>
      <c r="C7" s="3" t="str">
        <f>IF($A7=0,"",VLOOKUP($A7,'00_Mat'!$A$4:$J$1165,3,FALSE))</f>
        <v>m3</v>
      </c>
      <c r="D7" s="250">
        <f>L8</f>
        <v>32.4</v>
      </c>
      <c r="E7" s="204"/>
      <c r="F7" s="236">
        <v>0.1</v>
      </c>
      <c r="G7" s="221">
        <f t="shared" ref="G7:G11" si="1">ROUNDUP((D7+(D7*F7)),0)</f>
        <v>36</v>
      </c>
      <c r="H7" s="143">
        <f>IF($A7=0,"",VLOOKUP($A7,'00_Mat'!$A$4:$J$1135,5,FALSE))</f>
        <v>33470</v>
      </c>
      <c r="I7" s="143">
        <f t="shared" ref="I7:I11" si="2">G7*H7</f>
        <v>1204920</v>
      </c>
      <c r="J7" s="231"/>
      <c r="L7" s="153" t="s">
        <v>10</v>
      </c>
    </row>
    <row r="8" ht="14.25" customHeight="1">
      <c r="A8" s="249" t="s">
        <v>1055</v>
      </c>
      <c r="B8" s="3" t="str">
        <f>IF($A8=0,"",VLOOKUP($A8,'00_Mat'!$A$4:$J$1165,2,FALSE))</f>
        <v>Bolsa Cemento "Loma Negra" 25 k (u)</v>
      </c>
      <c r="C8" s="3" t="str">
        <f>IF($A8=0,"",VLOOKUP($A8,'00_Mat'!$A$4:$J$1165,3,FALSE))</f>
        <v>u</v>
      </c>
      <c r="D8" s="250">
        <f>15*L8</f>
        <v>486</v>
      </c>
      <c r="E8" s="204"/>
      <c r="F8" s="236">
        <v>0.1</v>
      </c>
      <c r="G8" s="221">
        <f t="shared" si="1"/>
        <v>535</v>
      </c>
      <c r="H8" s="143">
        <f>IF($A8=0,"",VLOOKUP($A8,'00_Mat'!$A$4:$J$1135,5,FALSE))</f>
        <v>7000</v>
      </c>
      <c r="I8" s="143">
        <f t="shared" si="2"/>
        <v>3745000</v>
      </c>
      <c r="L8" s="194">
        <f>H3*K5</f>
        <v>32.4</v>
      </c>
    </row>
    <row r="9" ht="14.25" customHeight="1">
      <c r="A9" s="3" t="s">
        <v>42</v>
      </c>
      <c r="B9" s="3" t="str">
        <f>IF($A9=0,"",VLOOKUP($A9,'00_Mat'!$A$4:$J$1165,2,FALSE))</f>
        <v>Ladrillo Comun </v>
      </c>
      <c r="C9" s="3" t="str">
        <f>IF($A9=0,"",VLOOKUP($A9,'00_Mat'!$A$4:$J$1165,3,FALSE))</f>
        <v>u</v>
      </c>
      <c r="D9" s="253">
        <v>200.0</v>
      </c>
      <c r="E9" s="204"/>
      <c r="F9" s="236">
        <v>0.25</v>
      </c>
      <c r="G9" s="221">
        <f t="shared" si="1"/>
        <v>250</v>
      </c>
      <c r="H9" s="143">
        <f>IF($A9=0,"",VLOOKUP($A9,'00_Mat'!$A$4:$J$1135,5,FALSE))</f>
        <v>190.61</v>
      </c>
      <c r="I9" s="143">
        <f t="shared" si="2"/>
        <v>47652.5</v>
      </c>
      <c r="J9" s="153" t="s">
        <v>1031</v>
      </c>
    </row>
    <row r="10" ht="14.25" customHeight="1">
      <c r="A10" s="3"/>
      <c r="B10" s="3" t="str">
        <f>IF($A10=0,"",VLOOKUP($A10,'00_Mat'!$A$4:$J$1165,2,FALSE))</f>
        <v/>
      </c>
      <c r="C10" s="3" t="str">
        <f>IF($A10=0,"",VLOOKUP($A10,'00_Mat'!$A$4:$J$1165,3,FALSE))</f>
        <v/>
      </c>
      <c r="D10" s="255"/>
      <c r="E10" s="204"/>
      <c r="F10" s="236"/>
      <c r="G10" s="221">
        <f t="shared" si="1"/>
        <v>0</v>
      </c>
      <c r="H10" s="143" t="str">
        <f>IF($A10=0,"",VLOOKUP($A10,'00_Mat'!$A$4:$J$1135,5,FALSE))</f>
        <v/>
      </c>
      <c r="I10" s="143">
        <f t="shared" si="2"/>
        <v>0</v>
      </c>
      <c r="J10" s="153" t="s">
        <v>1045</v>
      </c>
    </row>
    <row r="11" ht="14.25" customHeight="1">
      <c r="A11" s="254"/>
      <c r="B11" s="3" t="str">
        <f>IF($A11=0,"",VLOOKUP($A11,'00_Mat'!$A$4:$J$1165,2,FALSE))</f>
        <v/>
      </c>
      <c r="C11" s="3" t="str">
        <f>IF($A11=0,"",VLOOKUP($A11,'00_Mat'!$A$4:$J$1165,3,FALSE))</f>
        <v/>
      </c>
      <c r="D11" s="255"/>
      <c r="E11" s="204"/>
      <c r="F11" s="236"/>
      <c r="G11" s="221">
        <f t="shared" si="1"/>
        <v>0</v>
      </c>
      <c r="H11" s="143" t="str">
        <f>IF($A11=0,"",VLOOKUP($A11,'00_Mat'!$A$4:$J$1135,5,FALSE))</f>
        <v/>
      </c>
      <c r="I11" s="143">
        <f t="shared" si="2"/>
        <v>0</v>
      </c>
    </row>
    <row r="12" ht="14.25" customHeight="1">
      <c r="A12" s="3"/>
      <c r="B12" s="92"/>
      <c r="C12" s="92"/>
      <c r="D12" s="229"/>
      <c r="E12" s="204"/>
      <c r="F12" s="206"/>
      <c r="G12" s="221"/>
      <c r="H12" s="143"/>
      <c r="I12" s="143"/>
    </row>
    <row r="13" ht="14.25" customHeight="1">
      <c r="A13" s="20"/>
      <c r="B13" s="92"/>
      <c r="C13" s="92"/>
      <c r="D13" s="229"/>
      <c r="E13" s="204"/>
      <c r="F13" s="206"/>
      <c r="G13" s="221"/>
      <c r="H13" s="143"/>
      <c r="I13" s="143"/>
    </row>
    <row r="14" ht="14.25" customHeight="1">
      <c r="A14" s="3"/>
      <c r="B14" s="92"/>
      <c r="C14" s="92"/>
      <c r="D14" s="229"/>
      <c r="E14" s="204"/>
      <c r="F14" s="206"/>
      <c r="G14" s="221"/>
      <c r="H14" s="143"/>
      <c r="I14" s="143"/>
    </row>
    <row r="15" ht="14.25" customHeight="1">
      <c r="A15" s="3"/>
      <c r="B15" s="92"/>
      <c r="C15" s="92"/>
      <c r="D15" s="229"/>
      <c r="E15" s="204"/>
      <c r="F15" s="206"/>
      <c r="G15" s="221"/>
      <c r="H15" s="143"/>
      <c r="I15" s="143"/>
    </row>
    <row r="16" ht="14.25" customHeight="1">
      <c r="A16" s="204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04"/>
      <c r="E16" s="204"/>
      <c r="F16" s="206"/>
      <c r="G16" s="221">
        <f t="shared" ref="G16:G18" si="3">ROUNDUP((D16+(D16*F16)),0)</f>
        <v>0</v>
      </c>
      <c r="H16" s="143" t="str">
        <f>IF($A16=0,"",VLOOKUP($A16,'00_Mat'!$A$4:$J$1135,5,FALSE))</f>
        <v/>
      </c>
      <c r="I16" s="143"/>
    </row>
    <row r="17" ht="14.25" customHeight="1">
      <c r="A17" s="204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04"/>
      <c r="E17" s="204"/>
      <c r="F17" s="206"/>
      <c r="G17" s="221">
        <f t="shared" si="3"/>
        <v>0</v>
      </c>
      <c r="H17" s="143" t="str">
        <f>IF($A17=0,"",VLOOKUP($A17,'00_Mat'!$A$4:$J$1135,5,FALSE))</f>
        <v/>
      </c>
      <c r="I17" s="143"/>
    </row>
    <row r="18" ht="14.25" customHeight="1">
      <c r="A18" s="204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04"/>
      <c r="E18" s="204"/>
      <c r="F18" s="206"/>
      <c r="G18" s="221">
        <f t="shared" si="3"/>
        <v>0</v>
      </c>
      <c r="H18" s="143" t="str">
        <f>IF($A18=0,"",VLOOKUP($A18,'00_Mat'!$A$4:$J$1135,5,FALSE))</f>
        <v/>
      </c>
      <c r="I18" s="143"/>
    </row>
    <row r="19" ht="14.25" customHeight="1">
      <c r="F19" s="208"/>
      <c r="G19" s="3"/>
      <c r="H19" s="143"/>
      <c r="I19" s="143"/>
    </row>
    <row r="20" ht="14.25" customHeight="1">
      <c r="A20" s="222" t="s">
        <v>996</v>
      </c>
      <c r="B20" s="223"/>
      <c r="C20" s="223"/>
      <c r="D20" s="223"/>
      <c r="E20" s="223"/>
      <c r="F20" s="223"/>
      <c r="G20" s="211"/>
      <c r="H20" s="223"/>
      <c r="I20" s="224">
        <f>SUM(I7:I18)</f>
        <v>4997572.5</v>
      </c>
      <c r="J20" s="92"/>
      <c r="K20" s="92"/>
      <c r="L20" s="92"/>
    </row>
    <row r="21" ht="14.25" customHeight="1">
      <c r="A21" s="232" t="str">
        <f>$I$3</f>
        <v>m²</v>
      </c>
      <c r="B21" s="233"/>
      <c r="C21" s="233"/>
      <c r="D21" s="233"/>
      <c r="E21" s="233"/>
      <c r="F21" s="233"/>
      <c r="G21" s="21"/>
      <c r="H21" s="233"/>
      <c r="I21" s="205">
        <f>$H$3</f>
        <v>270</v>
      </c>
      <c r="J21" s="92"/>
      <c r="K21" s="92"/>
      <c r="L21" s="92"/>
    </row>
    <row r="22" ht="14.25" customHeight="1">
      <c r="A22" s="234" t="s">
        <v>997</v>
      </c>
      <c r="B22" s="232" t="str">
        <f>A21</f>
        <v>m²</v>
      </c>
      <c r="C22" s="233"/>
      <c r="D22" s="233"/>
      <c r="E22" s="233"/>
      <c r="F22" s="233"/>
      <c r="G22" s="21"/>
      <c r="H22" s="233"/>
      <c r="I22" s="235">
        <f>I20/I21</f>
        <v>18509.52778</v>
      </c>
      <c r="J22" s="92"/>
      <c r="K22" s="92"/>
      <c r="L22" s="92"/>
    </row>
    <row r="23" ht="14.25" customHeight="1">
      <c r="G23" s="3"/>
      <c r="H23" s="153" t="s">
        <v>1047</v>
      </c>
      <c r="I23" s="151">
        <f>I22/M5</f>
        <v>68.55380658</v>
      </c>
    </row>
    <row r="24" ht="14.25" customHeight="1">
      <c r="G24" s="3"/>
    </row>
    <row r="25" ht="14.25" customHeight="1">
      <c r="A25" s="201" t="s">
        <v>998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02" t="s">
        <v>988</v>
      </c>
      <c r="B26" s="202" t="s">
        <v>989</v>
      </c>
      <c r="C26" s="202" t="s">
        <v>990</v>
      </c>
      <c r="D26" s="202" t="s">
        <v>991</v>
      </c>
      <c r="E26" s="202" t="s">
        <v>999</v>
      </c>
      <c r="F26" s="202" t="s">
        <v>992</v>
      </c>
      <c r="G26" s="4" t="s">
        <v>993</v>
      </c>
      <c r="H26" s="202" t="s">
        <v>994</v>
      </c>
      <c r="I26" s="202" t="s">
        <v>995</v>
      </c>
    </row>
    <row r="27" ht="14.25" customHeight="1">
      <c r="A27" s="61" t="s">
        <v>621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29">
        <v>1.0</v>
      </c>
      <c r="E27" s="229">
        <v>1.0</v>
      </c>
      <c r="F27" s="236">
        <v>0.25</v>
      </c>
      <c r="G27" s="217">
        <f t="shared" ref="G27:G32" si="4">ROUNDUP(((D27*E27)*(1+F27)),0)</f>
        <v>2</v>
      </c>
      <c r="H27" s="143">
        <f>IF($A27=0,"",VLOOKUP($A27,'00_MO'!$A$4:$D$7,4,FALSE))</f>
        <v>120000</v>
      </c>
      <c r="I27" s="143">
        <f t="shared" ref="I27:I30" si="5">G27*H27</f>
        <v>240000</v>
      </c>
      <c r="K27" s="153" t="s">
        <v>1072</v>
      </c>
    </row>
    <row r="28" ht="14.25" customHeight="1">
      <c r="A28" s="61" t="s">
        <v>623</v>
      </c>
      <c r="B28" s="92" t="str">
        <f>IF($A28=0,"",VLOOKUP($A28,'00_MO'!$A$4:$D$7,2,FALSE))</f>
        <v>Puntero</v>
      </c>
      <c r="C28" s="92" t="str">
        <f>IF($A28=0,"",VLOOKUP($A28,'00_MO'!$A$4:$D$7,3,FALSE))</f>
        <v>u</v>
      </c>
      <c r="D28" s="229">
        <v>2.0</v>
      </c>
      <c r="E28" s="229">
        <v>1.0</v>
      </c>
      <c r="F28" s="236">
        <v>0.25</v>
      </c>
      <c r="G28" s="217">
        <f t="shared" si="4"/>
        <v>3</v>
      </c>
      <c r="H28" s="143">
        <f>IF($A28=0,"",VLOOKUP($A28,'00_MO'!$A$4:$D$7,4,FALSE))</f>
        <v>105000</v>
      </c>
      <c r="I28" s="143">
        <f t="shared" si="5"/>
        <v>315000</v>
      </c>
    </row>
    <row r="29" ht="14.25" customHeight="1">
      <c r="A29" s="61" t="s">
        <v>625</v>
      </c>
      <c r="B29" s="92" t="str">
        <f>IF($A29=0,"",VLOOKUP($A29,'00_MO'!$A$4:$D$7,2,FALSE))</f>
        <v>Oficial</v>
      </c>
      <c r="C29" s="92" t="str">
        <f>IF($A29=0,"",VLOOKUP($A29,'00_MO'!$A$4:$D$7,3,FALSE))</f>
        <v>u</v>
      </c>
      <c r="D29" s="229">
        <v>3.0</v>
      </c>
      <c r="E29" s="229">
        <v>1.0</v>
      </c>
      <c r="F29" s="236">
        <v>0.25</v>
      </c>
      <c r="G29" s="217">
        <f t="shared" si="4"/>
        <v>4</v>
      </c>
      <c r="H29" s="143">
        <f>IF($A29=0,"",VLOOKUP($A29,'00_MO'!$A$4:$D$7,4,FALSE))</f>
        <v>90000</v>
      </c>
      <c r="I29" s="143">
        <f t="shared" si="5"/>
        <v>360000</v>
      </c>
    </row>
    <row r="30" ht="14.25" customHeight="1">
      <c r="A30" s="61" t="s">
        <v>627</v>
      </c>
      <c r="B30" s="92" t="str">
        <f>IF($A30=0,"",VLOOKUP($A30,'00_MO'!$A$4:$D$7,2,FALSE))</f>
        <v>Ayudante</v>
      </c>
      <c r="C30" s="92" t="str">
        <f>IF($A30=0,"",VLOOKUP($A30,'00_MO'!$A$4:$D$7,3,FALSE))</f>
        <v>u</v>
      </c>
      <c r="D30" s="229">
        <v>3.0</v>
      </c>
      <c r="E30" s="229">
        <v>1.0</v>
      </c>
      <c r="F30" s="236">
        <v>0.25</v>
      </c>
      <c r="G30" s="217">
        <f t="shared" si="4"/>
        <v>4</v>
      </c>
      <c r="H30" s="143">
        <f>IF($A30=0,"",VLOOKUP($A30,'00_MO'!$A$4:$D$7,4,FALSE))</f>
        <v>60000</v>
      </c>
      <c r="I30" s="143">
        <f t="shared" si="5"/>
        <v>240000</v>
      </c>
    </row>
    <row r="31" ht="14.25" customHeight="1">
      <c r="A31" s="204"/>
      <c r="B31" s="92" t="str">
        <f>IF($A31=0,"",VLOOKUP($A31,'00_MO'!$A$4:$D$7,2,FALSE))</f>
        <v/>
      </c>
      <c r="C31" s="92" t="str">
        <f>IF($A31=0,"",VLOOKUP($A31,'00_MO'!$A$4:$D$7,3,FALSE))</f>
        <v/>
      </c>
      <c r="D31" s="204"/>
      <c r="E31" s="229"/>
      <c r="F31" s="206"/>
      <c r="G31" s="217">
        <f t="shared" si="4"/>
        <v>0</v>
      </c>
      <c r="H31" s="143" t="str">
        <f>IF($A31=0,"",VLOOKUP($A31,'00_MO'!$A$4:$D$7,4,FALSE))</f>
        <v/>
      </c>
      <c r="I31" s="143"/>
    </row>
    <row r="32" ht="14.25" customHeight="1">
      <c r="A32" s="204"/>
      <c r="B32" s="92" t="str">
        <f>IF($A32=0,"",VLOOKUP($A32,'00_MO'!$A$4:$D$7,2,FALSE))</f>
        <v/>
      </c>
      <c r="C32" s="92" t="str">
        <f>IF($A32=0,"",VLOOKUP($A32,'00_MO'!$A$4:$D$7,3,FALSE))</f>
        <v/>
      </c>
      <c r="D32" s="204"/>
      <c r="E32" s="204"/>
      <c r="F32" s="206"/>
      <c r="G32" s="217">
        <f t="shared" si="4"/>
        <v>0</v>
      </c>
      <c r="H32" s="143" t="str">
        <f>IF($A32=0,"",VLOOKUP($A32,'00_MO'!$A$4:$D$7,4,FALSE))</f>
        <v/>
      </c>
      <c r="I32" s="143"/>
    </row>
    <row r="33" ht="14.25" customHeight="1">
      <c r="F33" s="208"/>
      <c r="G33" s="3"/>
      <c r="H33" s="143"/>
      <c r="I33" s="143"/>
    </row>
    <row r="34" ht="14.25" customHeight="1">
      <c r="A34" s="222" t="s">
        <v>987</v>
      </c>
      <c r="B34" s="223"/>
      <c r="C34" s="223"/>
      <c r="D34" s="223"/>
      <c r="E34" s="223"/>
      <c r="F34" s="223"/>
      <c r="G34" s="211"/>
      <c r="H34" s="223"/>
      <c r="I34" s="224">
        <f>SUM(I27:I32)</f>
        <v>1155000</v>
      </c>
    </row>
    <row r="35" ht="14.25" customHeight="1">
      <c r="A35" s="232" t="str">
        <f>$I$3</f>
        <v>m²</v>
      </c>
      <c r="B35" s="233"/>
      <c r="C35" s="233"/>
      <c r="D35" s="233"/>
      <c r="E35" s="233"/>
      <c r="F35" s="233"/>
      <c r="G35" s="21"/>
      <c r="H35" s="233"/>
      <c r="I35" s="205">
        <f>$H$3</f>
        <v>270</v>
      </c>
      <c r="J35" s="92"/>
      <c r="K35" s="92"/>
      <c r="L35" s="92"/>
    </row>
    <row r="36" ht="14.25" customHeight="1">
      <c r="A36" s="234" t="s">
        <v>997</v>
      </c>
      <c r="B36" s="232" t="str">
        <f>A35</f>
        <v>m²</v>
      </c>
      <c r="C36" s="233"/>
      <c r="D36" s="233"/>
      <c r="E36" s="233"/>
      <c r="F36" s="233"/>
      <c r="G36" s="21"/>
      <c r="H36" s="233"/>
      <c r="I36" s="235">
        <f>I34/I35</f>
        <v>4277.777778</v>
      </c>
      <c r="J36" s="92"/>
      <c r="K36" s="92"/>
      <c r="L36" s="92"/>
    </row>
    <row r="37" ht="14.25" customHeight="1">
      <c r="G37" s="3"/>
      <c r="H37" s="153" t="s">
        <v>1047</v>
      </c>
      <c r="I37" s="151">
        <f>I36/M5</f>
        <v>15.8436214</v>
      </c>
    </row>
    <row r="38" ht="14.25" customHeight="1">
      <c r="G38" s="3"/>
    </row>
    <row r="39" ht="14.25" customHeight="1">
      <c r="A39" s="201" t="s">
        <v>1000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02" t="s">
        <v>988</v>
      </c>
      <c r="B40" s="202" t="s">
        <v>989</v>
      </c>
      <c r="C40" s="202" t="s">
        <v>990</v>
      </c>
      <c r="D40" s="202" t="s">
        <v>991</v>
      </c>
      <c r="E40" s="202" t="s">
        <v>999</v>
      </c>
      <c r="F40" s="202" t="s">
        <v>992</v>
      </c>
      <c r="G40" s="4" t="s">
        <v>993</v>
      </c>
      <c r="H40" s="202" t="s">
        <v>994</v>
      </c>
      <c r="I40" s="202" t="s">
        <v>995</v>
      </c>
    </row>
    <row r="41" ht="14.25" customHeight="1">
      <c r="A41" s="3"/>
      <c r="B41" s="92" t="str">
        <f>IF($A41=0,"",VLOOKUP($A41,'00_Mat'!$A$4:$J$1135,2,FALSE))</f>
        <v/>
      </c>
      <c r="C41" s="92" t="str">
        <f>IF($A41=0,"",VLOOKUP($A41,'00_Mat'!$A$4:$J$1135,3,FALSE))</f>
        <v/>
      </c>
      <c r="D41" s="230"/>
      <c r="E41" s="204"/>
      <c r="F41" s="236"/>
      <c r="G41" s="221">
        <f t="shared" ref="G41:G45" si="6">ROUNDUP((D41+(D41*F41)),0)</f>
        <v>0</v>
      </c>
      <c r="H41" s="143" t="str">
        <f>IF($A41=0,"",VLOOKUP($A41,'00_Mat'!$A$4:$J$1135,5,FALSE))</f>
        <v/>
      </c>
      <c r="I41" s="143">
        <f t="shared" ref="I41:I46" si="7">G41*H41</f>
        <v>0</v>
      </c>
      <c r="J41" s="237"/>
    </row>
    <row r="42" ht="14.25" customHeight="1">
      <c r="A42" s="3"/>
      <c r="B42" s="92" t="str">
        <f>IF($A42=0,"",VLOOKUP($A42,'00_Mat'!$A$4:$J$1135,2,FALSE))</f>
        <v/>
      </c>
      <c r="C42" s="92" t="str">
        <f>IF($A42=0,"",VLOOKUP($A42,'00_Mat'!$A$4:$J$1135,3,FALSE))</f>
        <v/>
      </c>
      <c r="D42" s="230"/>
      <c r="E42" s="204"/>
      <c r="F42" s="236"/>
      <c r="G42" s="221">
        <f t="shared" si="6"/>
        <v>0</v>
      </c>
      <c r="H42" s="143" t="str">
        <f>IF($A42=0,"",VLOOKUP($A42,'00_Mat'!$A$4:$J$1135,5,FALSE))</f>
        <v/>
      </c>
      <c r="I42" s="143">
        <f t="shared" si="7"/>
        <v>0</v>
      </c>
      <c r="J42" s="237"/>
    </row>
    <row r="43" ht="14.25" customHeight="1">
      <c r="A43" s="3"/>
      <c r="B43" s="92" t="str">
        <f>IF($A43=0,"",VLOOKUP($A43,'00_Mat'!$A$4:$J$1135,2,FALSE))</f>
        <v/>
      </c>
      <c r="C43" s="92" t="str">
        <f>IF($A43=0,"",VLOOKUP($A43,'00_Mat'!$A$4:$J$1135,3,FALSE))</f>
        <v/>
      </c>
      <c r="D43" s="230"/>
      <c r="E43" s="204"/>
      <c r="F43" s="236"/>
      <c r="G43" s="221">
        <f t="shared" si="6"/>
        <v>0</v>
      </c>
      <c r="H43" s="143" t="str">
        <f>IF($A43=0,"",VLOOKUP($A43,'00_Mat'!$A$4:$J$1135,5,FALSE))</f>
        <v/>
      </c>
      <c r="I43" s="143">
        <f t="shared" si="7"/>
        <v>0</v>
      </c>
    </row>
    <row r="44" ht="14.25" customHeight="1">
      <c r="A44" s="20"/>
      <c r="B44" s="92" t="str">
        <f>IF($A44=0,"",VLOOKUP($A44,'00_Mat'!$A$4:$J$1135,2,FALSE))</f>
        <v/>
      </c>
      <c r="C44" s="92" t="str">
        <f>IF($A44=0,"",VLOOKUP($A44,'00_Mat'!$A$4:$J$1135,3,FALSE))</f>
        <v/>
      </c>
      <c r="D44" s="230"/>
      <c r="E44" s="204"/>
      <c r="F44" s="236"/>
      <c r="G44" s="221">
        <f t="shared" si="6"/>
        <v>0</v>
      </c>
      <c r="H44" s="143" t="str">
        <f>IF($A44=0,"",VLOOKUP($A44,'00_Mat'!$A$4:$J$1135,5,FALSE))</f>
        <v/>
      </c>
      <c r="I44" s="143">
        <f t="shared" si="7"/>
        <v>0</v>
      </c>
    </row>
    <row r="45" ht="14.25" customHeight="1">
      <c r="B45" s="194" t="str">
        <f>IF($A45=0,"",VLOOKUP($A45,'00_Mat'!$A$4:$J$1135,2,FALSE))</f>
        <v/>
      </c>
      <c r="C45" s="92" t="str">
        <f>IF($A45=0,"",VLOOKUP($A45,'00_Mat'!$A$4:$J$1135,3,FALSE))</f>
        <v/>
      </c>
      <c r="D45" s="230"/>
      <c r="E45" s="204"/>
      <c r="F45" s="236"/>
      <c r="G45" s="221">
        <f t="shared" si="6"/>
        <v>0</v>
      </c>
      <c r="H45" s="231"/>
      <c r="I45" s="143">
        <f t="shared" si="7"/>
        <v>0</v>
      </c>
    </row>
    <row r="46" ht="14.25" customHeight="1">
      <c r="A46" s="204"/>
      <c r="B46" s="92" t="str">
        <f>IF($A46=0,"",VLOOKUP($A46,'00_Mat'!$A$4:$J$1135,2,FALSE))</f>
        <v/>
      </c>
      <c r="C46" s="92" t="str">
        <f>IF($A46=0,"",VLOOKUP($A46,'00_Mat'!$A$4:$J$1135,3,FALSE))</f>
        <v/>
      </c>
      <c r="D46" s="229"/>
      <c r="E46" s="204"/>
      <c r="F46" s="236"/>
      <c r="G46" s="217">
        <f>ROUNDUP(((D46*E46)*(1+F46)),0)</f>
        <v>0</v>
      </c>
      <c r="H46" s="143" t="str">
        <f>IF($A46=0,"",VLOOKUP($A46,'00_Mat'!$A$4:$J$1135,5,FALSE))</f>
        <v/>
      </c>
      <c r="I46" s="143">
        <f t="shared" si="7"/>
        <v>0</v>
      </c>
      <c r="J46" s="153"/>
    </row>
    <row r="47" ht="14.25" customHeight="1">
      <c r="F47" s="208"/>
      <c r="G47" s="3"/>
      <c r="H47" s="143"/>
      <c r="I47" s="143"/>
    </row>
    <row r="48" ht="14.25" customHeight="1">
      <c r="A48" s="222" t="s">
        <v>987</v>
      </c>
      <c r="B48" s="223"/>
      <c r="C48" s="223"/>
      <c r="D48" s="223"/>
      <c r="E48" s="223"/>
      <c r="F48" s="223"/>
      <c r="G48" s="211"/>
      <c r="H48" s="223"/>
      <c r="I48" s="224">
        <f>SUM(I41:I46)</f>
        <v>0</v>
      </c>
    </row>
    <row r="49" ht="14.25" customHeight="1">
      <c r="A49" s="232" t="str">
        <f>$I$3</f>
        <v>m²</v>
      </c>
      <c r="B49" s="233"/>
      <c r="C49" s="233"/>
      <c r="D49" s="233"/>
      <c r="E49" s="233"/>
      <c r="F49" s="233"/>
      <c r="G49" s="21"/>
      <c r="H49" s="233"/>
      <c r="I49" s="205">
        <f>$H$3</f>
        <v>270</v>
      </c>
      <c r="J49" s="92"/>
      <c r="K49" s="92"/>
      <c r="L49" s="92"/>
    </row>
    <row r="50" ht="14.25" customHeight="1">
      <c r="A50" s="234" t="s">
        <v>997</v>
      </c>
      <c r="B50" s="232" t="str">
        <f>A49</f>
        <v>m²</v>
      </c>
      <c r="C50" s="233"/>
      <c r="D50" s="233"/>
      <c r="E50" s="233"/>
      <c r="F50" s="233"/>
      <c r="G50" s="21"/>
      <c r="H50" s="233"/>
      <c r="I50" s="235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01" t="s">
        <v>1010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02" t="s">
        <v>988</v>
      </c>
      <c r="B54" s="202" t="s">
        <v>989</v>
      </c>
      <c r="C54" s="202" t="s">
        <v>990</v>
      </c>
      <c r="D54" s="203" t="s">
        <v>991</v>
      </c>
      <c r="E54" s="197"/>
      <c r="F54" s="202" t="s">
        <v>992</v>
      </c>
      <c r="G54" s="4" t="s">
        <v>993</v>
      </c>
      <c r="H54" s="202" t="s">
        <v>994</v>
      </c>
      <c r="I54" s="202" t="s">
        <v>995</v>
      </c>
    </row>
    <row r="55" ht="14.25" customHeight="1">
      <c r="A55" s="229"/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30">
        <v>1.0</v>
      </c>
      <c r="E55" s="204"/>
      <c r="F55" s="236">
        <v>0.1</v>
      </c>
      <c r="G55" s="221">
        <f t="shared" ref="G55:G60" si="8">ROUNDUP((D55+(D55*F55)),0)</f>
        <v>2</v>
      </c>
      <c r="H55" s="143" t="str">
        <f>IF($A55=0,"",VLOOKUP($A55,'00_Mat'!$A$4:$J$1135,5,FALSE))</f>
        <v/>
      </c>
      <c r="I55" s="143">
        <f t="shared" ref="I55:I58" si="9">G55*H55</f>
        <v>0</v>
      </c>
      <c r="J55" s="237"/>
    </row>
    <row r="56" ht="14.25" customHeight="1">
      <c r="A56" s="3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0">
        <v>10.0</v>
      </c>
      <c r="E56" s="204"/>
      <c r="F56" s="236">
        <v>0.1</v>
      </c>
      <c r="G56" s="221">
        <f t="shared" si="8"/>
        <v>11</v>
      </c>
      <c r="H56" s="143" t="str">
        <f>IF($A56=0,"",VLOOKUP($A56,'00_Mat'!$A$4:$J$1135,5,FALSE))</f>
        <v/>
      </c>
      <c r="I56" s="143">
        <f t="shared" si="9"/>
        <v>0</v>
      </c>
      <c r="J56" s="237"/>
    </row>
    <row r="57" ht="14.25" customHeight="1">
      <c r="A57" s="3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0">
        <v>1.0</v>
      </c>
      <c r="E57" s="204"/>
      <c r="F57" s="236">
        <v>0.1</v>
      </c>
      <c r="G57" s="221">
        <f t="shared" si="8"/>
        <v>2</v>
      </c>
      <c r="H57" s="143" t="str">
        <f>IF($A57=0,"",VLOOKUP($A57,'00_Mat'!$A$4:$J$1135,5,FALSE))</f>
        <v/>
      </c>
      <c r="I57" s="143">
        <f t="shared" si="9"/>
        <v>0</v>
      </c>
    </row>
    <row r="58" ht="14.25" customHeight="1">
      <c r="A58" s="20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0">
        <v>1.0</v>
      </c>
      <c r="E58" s="204"/>
      <c r="F58" s="236">
        <v>0.1</v>
      </c>
      <c r="G58" s="221">
        <f t="shared" si="8"/>
        <v>2</v>
      </c>
      <c r="H58" s="143" t="str">
        <f>IF($A58=0,"",VLOOKUP($A58,'00_Mat'!$A$4:$J$1135,5,FALSE))</f>
        <v/>
      </c>
      <c r="I58" s="143">
        <f t="shared" si="9"/>
        <v>0</v>
      </c>
    </row>
    <row r="59" ht="14.25" customHeight="1">
      <c r="A59" s="204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05"/>
      <c r="E59" s="204"/>
      <c r="F59" s="206"/>
      <c r="G59" s="221">
        <f t="shared" si="8"/>
        <v>0</v>
      </c>
      <c r="H59" s="143" t="str">
        <f>IF($A59=0,"",VLOOKUP($A59,'00_Mat'!$A$4:$J$1135,5,FALSE))</f>
        <v/>
      </c>
      <c r="I59" s="143"/>
    </row>
    <row r="60" ht="14.25" customHeight="1">
      <c r="A60" s="204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05"/>
      <c r="E60" s="204"/>
      <c r="F60" s="206"/>
      <c r="G60" s="221">
        <f t="shared" si="8"/>
        <v>0</v>
      </c>
      <c r="H60" s="143" t="str">
        <f>IF($A60=0,"",VLOOKUP($A60,'00_Mat'!$A$4:$J$1135,5,FALSE))</f>
        <v/>
      </c>
      <c r="I60" s="143"/>
    </row>
    <row r="61" ht="14.25" customHeight="1">
      <c r="F61" s="208"/>
      <c r="G61" s="3"/>
      <c r="H61" s="143"/>
      <c r="I61" s="143"/>
    </row>
    <row r="62" ht="14.25" customHeight="1">
      <c r="A62" s="222" t="s">
        <v>987</v>
      </c>
      <c r="B62" s="223"/>
      <c r="C62" s="223"/>
      <c r="D62" s="223"/>
      <c r="E62" s="223"/>
      <c r="F62" s="223"/>
      <c r="G62" s="211"/>
      <c r="H62" s="223"/>
      <c r="I62" s="224">
        <f>SUM(I55:I60)</f>
        <v>0</v>
      </c>
    </row>
    <row r="63" ht="14.25" customHeight="1">
      <c r="A63" s="232" t="str">
        <f>$I$3</f>
        <v>m²</v>
      </c>
      <c r="B63" s="233"/>
      <c r="C63" s="233"/>
      <c r="D63" s="233"/>
      <c r="E63" s="233"/>
      <c r="F63" s="233"/>
      <c r="G63" s="21"/>
      <c r="H63" s="233"/>
      <c r="I63" s="205">
        <f>$H$3</f>
        <v>270</v>
      </c>
      <c r="J63" s="92"/>
      <c r="K63" s="92"/>
      <c r="L63" s="92"/>
    </row>
    <row r="64" ht="14.25" customHeight="1">
      <c r="A64" s="234" t="s">
        <v>997</v>
      </c>
      <c r="B64" s="232" t="str">
        <f>A63</f>
        <v>m²</v>
      </c>
      <c r="C64" s="233"/>
      <c r="D64" s="233"/>
      <c r="E64" s="233"/>
      <c r="F64" s="233"/>
      <c r="G64" s="21"/>
      <c r="H64" s="233"/>
      <c r="I64" s="235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01" t="s">
        <v>1025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02" t="s">
        <v>988</v>
      </c>
      <c r="B68" s="202" t="s">
        <v>989</v>
      </c>
      <c r="C68" s="202" t="s">
        <v>990</v>
      </c>
      <c r="D68" s="202" t="s">
        <v>991</v>
      </c>
      <c r="E68" s="202" t="s">
        <v>999</v>
      </c>
      <c r="F68" s="202" t="s">
        <v>992</v>
      </c>
      <c r="G68" s="4" t="s">
        <v>993</v>
      </c>
      <c r="H68" s="202" t="s">
        <v>994</v>
      </c>
      <c r="I68" s="202" t="s">
        <v>995</v>
      </c>
    </row>
    <row r="69" ht="14.25" customHeight="1">
      <c r="A69" s="229" t="s">
        <v>1073</v>
      </c>
      <c r="B69" s="92" t="str">
        <f>IF($A69=0,"",VLOOKUP($A69,'00_Sub'!$A$4:$D$1007,2,FALSE))</f>
        <v>BOMBEO HORMIGON CELULAR. Incluye mano de obra y bomba.</v>
      </c>
      <c r="C69" s="92" t="str">
        <f>IF($A69=0,"",VLOOKUP($A69,'00_Sub'!$A$4:$D$1007,3,FALSE))</f>
        <v>m²</v>
      </c>
      <c r="D69" s="205">
        <f>H3</f>
        <v>270</v>
      </c>
      <c r="E69" s="204"/>
      <c r="F69" s="236">
        <v>0.2</v>
      </c>
      <c r="G69" s="221">
        <f t="shared" ref="G69:G74" si="10">ROUNDUP((D69+(D69*F69)),0)</f>
        <v>324</v>
      </c>
      <c r="H69" s="143">
        <f>IF($A69=0,"",VLOOKUP($A69,'00_Sub'!$A$4:$D$1007,4,FALSE))</f>
        <v>12000</v>
      </c>
      <c r="I69" s="143">
        <f>G69*H69</f>
        <v>3888000</v>
      </c>
    </row>
    <row r="70" ht="14.25" customHeight="1">
      <c r="A70" s="204"/>
      <c r="B70" s="92" t="str">
        <f>IF($A70=0,"",VLOOKUP($A70,'00_Sub'!$A$4:$D$1007,2,FALSE))</f>
        <v/>
      </c>
      <c r="C70" s="92" t="str">
        <f>IF($A70=0,"",VLOOKUP($A70,'00_Sub'!$A$4:$D$1007,3,FALSE))</f>
        <v/>
      </c>
      <c r="D70" s="204"/>
      <c r="E70" s="204"/>
      <c r="F70" s="206"/>
      <c r="G70" s="221">
        <f t="shared" si="10"/>
        <v>0</v>
      </c>
      <c r="H70" s="143" t="str">
        <f>IF($A70=0,"",VLOOKUP($A70,'00_Sub'!$A$4:$D$1007,4,FALSE))</f>
        <v/>
      </c>
      <c r="I70" s="143"/>
    </row>
    <row r="71" ht="14.25" customHeight="1">
      <c r="A71" s="204"/>
      <c r="B71" s="92" t="str">
        <f>IF($A71=0,"",VLOOKUP($A71,'00_Sub'!$A$4:$D$1007,2,FALSE))</f>
        <v/>
      </c>
      <c r="C71" s="92" t="str">
        <f>IF($A71=0,"",VLOOKUP($A71,'00_Sub'!$A$4:$D$1007,3,FALSE))</f>
        <v/>
      </c>
      <c r="D71" s="204"/>
      <c r="E71" s="204"/>
      <c r="F71" s="206"/>
      <c r="G71" s="221">
        <f t="shared" si="10"/>
        <v>0</v>
      </c>
      <c r="H71" s="143" t="str">
        <f>IF($A71=0,"",VLOOKUP($A71,'00_Sub'!$A$4:$D$1007,4,FALSE))</f>
        <v/>
      </c>
      <c r="I71" s="143"/>
    </row>
    <row r="72" ht="14.25" customHeight="1">
      <c r="A72" s="204"/>
      <c r="B72" s="92" t="str">
        <f>IF($A72=0,"",VLOOKUP($A72,'00_Sub'!$A$4:$D$1007,2,FALSE))</f>
        <v/>
      </c>
      <c r="C72" s="92" t="str">
        <f>IF($A72=0,"",VLOOKUP($A72,'00_Sub'!$A$4:$D$1007,3,FALSE))</f>
        <v/>
      </c>
      <c r="D72" s="204"/>
      <c r="E72" s="204"/>
      <c r="F72" s="206"/>
      <c r="G72" s="221">
        <f t="shared" si="10"/>
        <v>0</v>
      </c>
      <c r="H72" s="143" t="str">
        <f>IF($A72=0,"",VLOOKUP($A72,'00_Sub'!$A$4:$D$1007,4,FALSE))</f>
        <v/>
      </c>
      <c r="I72" s="143"/>
    </row>
    <row r="73" ht="14.25" customHeight="1">
      <c r="A73" s="204"/>
      <c r="B73" s="92" t="str">
        <f>IF($A73=0,"",VLOOKUP($A73,'00_Sub'!$A$4:$D$1007,2,FALSE))</f>
        <v/>
      </c>
      <c r="C73" s="92" t="str">
        <f>IF($A73=0,"",VLOOKUP($A73,'00_Sub'!$A$4:$D$1007,3,FALSE))</f>
        <v/>
      </c>
      <c r="D73" s="204"/>
      <c r="E73" s="204"/>
      <c r="F73" s="206"/>
      <c r="G73" s="221">
        <f t="shared" si="10"/>
        <v>0</v>
      </c>
      <c r="H73" s="143" t="str">
        <f>IF($A73=0,"",VLOOKUP($A73,'00_Sub'!$A$4:$D$1007,4,FALSE))</f>
        <v/>
      </c>
      <c r="I73" s="143"/>
    </row>
    <row r="74" ht="14.25" customHeight="1">
      <c r="A74" s="204"/>
      <c r="B74" s="92" t="str">
        <f>IF($A74=0,"",VLOOKUP($A74,'00_Sub'!$A$4:$D$1007,2,FALSE))</f>
        <v/>
      </c>
      <c r="C74" s="92" t="str">
        <f>IF($A74=0,"",VLOOKUP($A74,'00_Sub'!$A$4:$D$1007,3,FALSE))</f>
        <v/>
      </c>
      <c r="D74" s="204"/>
      <c r="E74" s="204"/>
      <c r="F74" s="206"/>
      <c r="G74" s="221">
        <f t="shared" si="10"/>
        <v>0</v>
      </c>
      <c r="H74" s="143" t="str">
        <f>IF($A74=0,"",VLOOKUP($A74,'00_Sub'!$A$4:$D$1007,4,FALSE))</f>
        <v/>
      </c>
      <c r="I74" s="143"/>
    </row>
    <row r="75" ht="14.25" customHeight="1">
      <c r="F75" s="208"/>
      <c r="G75" s="3"/>
      <c r="H75" s="143"/>
      <c r="I75" s="143"/>
    </row>
    <row r="76" ht="14.25" customHeight="1">
      <c r="A76" s="222" t="s">
        <v>987</v>
      </c>
      <c r="B76" s="223"/>
      <c r="C76" s="223"/>
      <c r="D76" s="223"/>
      <c r="E76" s="223"/>
      <c r="F76" s="223"/>
      <c r="G76" s="211"/>
      <c r="H76" s="223"/>
      <c r="I76" s="224">
        <f>SUM(I69:I74)</f>
        <v>3888000</v>
      </c>
    </row>
    <row r="77" ht="14.25" customHeight="1">
      <c r="A77" s="232" t="str">
        <f>$I$3</f>
        <v>m²</v>
      </c>
      <c r="B77" s="233"/>
      <c r="C77" s="233"/>
      <c r="D77" s="233"/>
      <c r="E77" s="233"/>
      <c r="F77" s="233"/>
      <c r="G77" s="21"/>
      <c r="H77" s="233"/>
      <c r="I77" s="205">
        <f>$H$3</f>
        <v>270</v>
      </c>
      <c r="J77" s="92"/>
      <c r="K77" s="92"/>
      <c r="L77" s="92"/>
    </row>
    <row r="78" ht="14.25" customHeight="1">
      <c r="A78" s="234" t="s">
        <v>997</v>
      </c>
      <c r="B78" s="232" t="str">
        <f>A77</f>
        <v>m²</v>
      </c>
      <c r="C78" s="233"/>
      <c r="D78" s="233"/>
      <c r="E78" s="233"/>
      <c r="F78" s="233"/>
      <c r="G78" s="21"/>
      <c r="H78" s="233"/>
      <c r="I78" s="235">
        <f>I76/I77</f>
        <v>14400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3">
    <mergeCell ref="B3:F3"/>
    <mergeCell ref="D6:E6"/>
    <mergeCell ref="D54:E54"/>
  </mergeCells>
  <printOptions/>
  <pageMargins bottom="0.75" footer="0.0" header="0.0" left="0.7" right="0.7" top="0.75"/>
  <pageSetup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86"/>
    <col customWidth="1" min="10" max="12" width="8.71"/>
  </cols>
  <sheetData>
    <row r="1" ht="33.75" customHeight="1">
      <c r="A1" s="91" t="str">
        <f>'01_C&amp;P'!A1</f>
        <v>EDIFICIO LAS HERAS</v>
      </c>
      <c r="B1" s="91"/>
      <c r="C1" s="91"/>
      <c r="G1" s="3"/>
    </row>
    <row r="2" ht="14.25" customHeight="1">
      <c r="G2" s="3"/>
    </row>
    <row r="3" ht="23.25" customHeight="1">
      <c r="A3" s="195">
        <f>'01_C&amp;P'!A53</f>
        <v>46176</v>
      </c>
      <c r="B3" s="196" t="str">
        <f>IF($A3=0,"",VLOOKUP($A3,'01_C&amp;P'!$A$9:$D$192,2,FALSE))</f>
        <v>CARPETA . e=3cm</v>
      </c>
      <c r="C3" s="197"/>
      <c r="D3" s="197"/>
      <c r="E3" s="197"/>
      <c r="F3" s="197"/>
      <c r="G3" s="198"/>
      <c r="H3" s="199">
        <f>IF($A3=0,"",VLOOKUP($A3,'01_C&amp;P'!$A$9:$D$192,4,FALSE))</f>
        <v>270</v>
      </c>
      <c r="I3" s="200" t="str">
        <f>IF($A3=0,"",VLOOKUP($A3,'01_C&amp;P'!$A$9:$D$192,3,FALSE))</f>
        <v>m²</v>
      </c>
    </row>
    <row r="4" ht="14.25" customHeight="1">
      <c r="G4" s="3"/>
      <c r="K4" s="153" t="s">
        <v>1042</v>
      </c>
      <c r="M4" s="153" t="s">
        <v>1043</v>
      </c>
    </row>
    <row r="5" ht="14.25" customHeight="1">
      <c r="A5" s="201" t="s">
        <v>0</v>
      </c>
      <c r="B5" s="94"/>
      <c r="C5" s="94"/>
      <c r="D5" s="94"/>
      <c r="E5" s="94"/>
      <c r="F5" s="94"/>
      <c r="G5" s="2"/>
      <c r="H5" s="94"/>
      <c r="I5" s="94"/>
      <c r="K5" s="153">
        <v>0.03</v>
      </c>
      <c r="M5" s="153">
        <v>270.0</v>
      </c>
    </row>
    <row r="6" ht="14.25" customHeight="1">
      <c r="A6" s="202" t="s">
        <v>988</v>
      </c>
      <c r="B6" s="202" t="s">
        <v>989</v>
      </c>
      <c r="C6" s="202" t="s">
        <v>990</v>
      </c>
      <c r="D6" s="203" t="s">
        <v>991</v>
      </c>
      <c r="E6" s="197"/>
      <c r="F6" s="202" t="s">
        <v>992</v>
      </c>
      <c r="G6" s="4" t="s">
        <v>993</v>
      </c>
      <c r="H6" s="202" t="s">
        <v>994</v>
      </c>
      <c r="I6" s="202" t="s">
        <v>995</v>
      </c>
    </row>
    <row r="7" ht="14.25" customHeight="1">
      <c r="A7" s="254" t="s">
        <v>19</v>
      </c>
      <c r="B7" s="3" t="str">
        <f>IF($A7=0,"",VLOOKUP($A7,'00_Mat'!$A$4:$J$1134,2,FALSE))</f>
        <v>Bolsa Cemento "Loma Negra" 25 k (u)</v>
      </c>
      <c r="C7" s="3" t="str">
        <f>IF($A7=0,"",VLOOKUP($A7,'00_Mat'!$A$4:$J$1134,3,FALSE))</f>
        <v>u</v>
      </c>
      <c r="D7" s="256">
        <f>(M5*12)/25</f>
        <v>129.6</v>
      </c>
      <c r="E7" s="204"/>
      <c r="F7" s="236">
        <v>0.1</v>
      </c>
      <c r="G7" s="221">
        <f t="shared" ref="G7:G18" si="1">ROUNDUP((D7+(D7*F7)),0)</f>
        <v>143</v>
      </c>
      <c r="H7" s="143">
        <f>IF($A7=0,"",VLOOKUP($A7,'00_Mat'!$A$4:$J$1135,5,FALSE))</f>
        <v>7000</v>
      </c>
      <c r="I7" s="143">
        <f t="shared" ref="I7:I8" si="2">G7*H7</f>
        <v>1001000</v>
      </c>
      <c r="L7" s="153" t="s">
        <v>1057</v>
      </c>
    </row>
    <row r="8" ht="14.25" customHeight="1">
      <c r="A8" s="254" t="s">
        <v>11</v>
      </c>
      <c r="B8" s="3" t="str">
        <f>IF($A8=0,"",VLOOKUP($A8,'00_Mat'!$A$4:$J$1134,2,FALSE))</f>
        <v>Bolson de Arena (1m3) </v>
      </c>
      <c r="C8" s="3" t="str">
        <f>IF($A8=0,"",VLOOKUP($A8,'00_Mat'!$A$4:$J$1134,3,FALSE))</f>
        <v>m3</v>
      </c>
      <c r="D8" s="256">
        <f>L8*1</f>
        <v>8.1</v>
      </c>
      <c r="E8" s="204"/>
      <c r="F8" s="236">
        <v>0.1</v>
      </c>
      <c r="G8" s="221">
        <f t="shared" si="1"/>
        <v>9</v>
      </c>
      <c r="H8" s="143">
        <f>IF($A8=0,"",VLOOKUP($A8,'00_Mat'!$A$4:$J$1135,5,FALSE))</f>
        <v>33470</v>
      </c>
      <c r="I8" s="143">
        <f t="shared" si="2"/>
        <v>301230</v>
      </c>
      <c r="L8" s="194">
        <f>M5*K5</f>
        <v>8.1</v>
      </c>
    </row>
    <row r="9" ht="14.25" customHeight="1">
      <c r="A9" s="204"/>
      <c r="B9" s="92" t="str">
        <f>IF($A9=0,"",VLOOKUP($A9,'00_Mat'!$A$4:$J$1135,2,FALSE))</f>
        <v/>
      </c>
      <c r="C9" s="92" t="str">
        <f>IF($A9=0,"",VLOOKUP($A9,'00_Mat'!$A$4:$J$1135,3,FALSE))</f>
        <v/>
      </c>
      <c r="D9" s="204"/>
      <c r="E9" s="204"/>
      <c r="F9" s="206"/>
      <c r="G9" s="221">
        <f t="shared" si="1"/>
        <v>0</v>
      </c>
      <c r="H9" s="143" t="str">
        <f>IF($A9=0,"",VLOOKUP($A9,'00_Mat'!$A$4:$J$1135,5,FALSE))</f>
        <v/>
      </c>
      <c r="I9" s="143"/>
    </row>
    <row r="10" ht="14.25" customHeight="1">
      <c r="A10" s="204"/>
      <c r="B10" s="92" t="str">
        <f>IF($A10=0,"",VLOOKUP($A10,'00_Mat'!$A$4:$J$1135,2,FALSE))</f>
        <v/>
      </c>
      <c r="C10" s="92" t="str">
        <f>IF($A10=0,"",VLOOKUP($A10,'00_Mat'!$A$4:$J$1135,3,FALSE))</f>
        <v/>
      </c>
      <c r="D10" s="204"/>
      <c r="E10" s="204"/>
      <c r="F10" s="206"/>
      <c r="G10" s="221">
        <f t="shared" si="1"/>
        <v>0</v>
      </c>
      <c r="H10" s="143" t="str">
        <f>IF($A10=0,"",VLOOKUP($A10,'00_Mat'!$A$4:$J$1135,5,FALSE))</f>
        <v/>
      </c>
      <c r="I10" s="143"/>
      <c r="L10" s="86" t="s">
        <v>1058</v>
      </c>
    </row>
    <row r="11" ht="14.25" customHeight="1">
      <c r="A11" s="204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04"/>
      <c r="E11" s="204"/>
      <c r="F11" s="206"/>
      <c r="G11" s="221">
        <f t="shared" si="1"/>
        <v>0</v>
      </c>
      <c r="H11" s="143" t="str">
        <f>IF($A11=0,"",VLOOKUP($A11,'00_Mat'!$A$4:$J$1135,5,FALSE))</f>
        <v/>
      </c>
      <c r="I11" s="143"/>
    </row>
    <row r="12" ht="14.25" customHeight="1">
      <c r="A12" s="204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04"/>
      <c r="E12" s="204"/>
      <c r="F12" s="206"/>
      <c r="G12" s="221">
        <f t="shared" si="1"/>
        <v>0</v>
      </c>
      <c r="H12" s="143" t="str">
        <f>IF($A12=0,"",VLOOKUP($A12,'00_Mat'!$A$4:$J$1135,5,FALSE))</f>
        <v/>
      </c>
      <c r="I12" s="143"/>
    </row>
    <row r="13" ht="14.25" customHeight="1">
      <c r="A13" s="204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04"/>
      <c r="E13" s="204"/>
      <c r="F13" s="206"/>
      <c r="G13" s="221">
        <f t="shared" si="1"/>
        <v>0</v>
      </c>
      <c r="H13" s="143" t="str">
        <f>IF($A13=0,"",VLOOKUP($A13,'00_Mat'!$A$4:$J$1135,5,FALSE))</f>
        <v/>
      </c>
      <c r="I13" s="143"/>
    </row>
    <row r="14" ht="14.25" customHeight="1">
      <c r="A14" s="204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04"/>
      <c r="E14" s="204"/>
      <c r="F14" s="206"/>
      <c r="G14" s="221">
        <f t="shared" si="1"/>
        <v>0</v>
      </c>
      <c r="H14" s="143" t="str">
        <f>IF($A14=0,"",VLOOKUP($A14,'00_Mat'!$A$4:$J$1135,5,FALSE))</f>
        <v/>
      </c>
      <c r="I14" s="143"/>
    </row>
    <row r="15" ht="14.25" customHeight="1">
      <c r="A15" s="204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04"/>
      <c r="E15" s="204"/>
      <c r="F15" s="206"/>
      <c r="G15" s="221">
        <f t="shared" si="1"/>
        <v>0</v>
      </c>
      <c r="H15" s="143" t="str">
        <f>IF($A15=0,"",VLOOKUP($A15,'00_Mat'!$A$4:$J$1135,5,FALSE))</f>
        <v/>
      </c>
      <c r="I15" s="143"/>
    </row>
    <row r="16" ht="14.25" customHeight="1">
      <c r="A16" s="204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04"/>
      <c r="E16" s="204"/>
      <c r="F16" s="206"/>
      <c r="G16" s="221">
        <f t="shared" si="1"/>
        <v>0</v>
      </c>
      <c r="H16" s="143" t="str">
        <f>IF($A16=0,"",VLOOKUP($A16,'00_Mat'!$A$4:$J$1135,5,FALSE))</f>
        <v/>
      </c>
      <c r="I16" s="143"/>
    </row>
    <row r="17" ht="14.25" customHeight="1">
      <c r="A17" s="204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04"/>
      <c r="E17" s="204"/>
      <c r="F17" s="206"/>
      <c r="G17" s="221">
        <f t="shared" si="1"/>
        <v>0</v>
      </c>
      <c r="H17" s="143" t="str">
        <f>IF($A17=0,"",VLOOKUP($A17,'00_Mat'!$A$4:$J$1135,5,FALSE))</f>
        <v/>
      </c>
      <c r="I17" s="143"/>
    </row>
    <row r="18" ht="14.25" customHeight="1">
      <c r="A18" s="204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04"/>
      <c r="E18" s="204"/>
      <c r="F18" s="206"/>
      <c r="G18" s="221">
        <f t="shared" si="1"/>
        <v>0</v>
      </c>
      <c r="H18" s="143" t="str">
        <f>IF($A18=0,"",VLOOKUP($A18,'00_Mat'!$A$4:$J$1135,5,FALSE))</f>
        <v/>
      </c>
      <c r="I18" s="143"/>
    </row>
    <row r="19" ht="14.25" customHeight="1">
      <c r="F19" s="208"/>
      <c r="G19" s="3"/>
      <c r="H19" s="143"/>
      <c r="I19" s="143"/>
    </row>
    <row r="20" ht="14.25" customHeight="1">
      <c r="A20" s="222" t="s">
        <v>996</v>
      </c>
      <c r="B20" s="223"/>
      <c r="C20" s="223"/>
      <c r="D20" s="223"/>
      <c r="E20" s="223"/>
      <c r="F20" s="223"/>
      <c r="G20" s="211"/>
      <c r="H20" s="223"/>
      <c r="I20" s="224">
        <f>SUM(I7:I18)</f>
        <v>1302230</v>
      </c>
      <c r="J20" s="92"/>
      <c r="K20" s="92"/>
      <c r="L20" s="92"/>
    </row>
    <row r="21" ht="14.25" customHeight="1">
      <c r="A21" s="232" t="str">
        <f>$I$3</f>
        <v>m²</v>
      </c>
      <c r="B21" s="233"/>
      <c r="C21" s="233"/>
      <c r="D21" s="233"/>
      <c r="E21" s="233"/>
      <c r="F21" s="233"/>
      <c r="G21" s="21"/>
      <c r="H21" s="233"/>
      <c r="I21" s="205">
        <f>$H$3</f>
        <v>270</v>
      </c>
      <c r="J21" s="92"/>
      <c r="K21" s="92"/>
      <c r="L21" s="92"/>
    </row>
    <row r="22" ht="14.25" customHeight="1">
      <c r="A22" s="234" t="s">
        <v>997</v>
      </c>
      <c r="B22" s="232" t="str">
        <f>A21</f>
        <v>m²</v>
      </c>
      <c r="C22" s="233"/>
      <c r="D22" s="233"/>
      <c r="E22" s="233"/>
      <c r="F22" s="233"/>
      <c r="G22" s="21"/>
      <c r="H22" s="233"/>
      <c r="I22" s="235">
        <f>I20/I21</f>
        <v>4823.074074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01" t="s">
        <v>998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02" t="s">
        <v>988</v>
      </c>
      <c r="B26" s="202" t="s">
        <v>989</v>
      </c>
      <c r="C26" s="202" t="s">
        <v>990</v>
      </c>
      <c r="D26" s="202" t="s">
        <v>991</v>
      </c>
      <c r="E26" s="202" t="s">
        <v>999</v>
      </c>
      <c r="F26" s="202" t="s">
        <v>992</v>
      </c>
      <c r="G26" s="4" t="s">
        <v>993</v>
      </c>
      <c r="H26" s="202" t="s">
        <v>994</v>
      </c>
      <c r="I26" s="202" t="s">
        <v>995</v>
      </c>
    </row>
    <row r="27" ht="14.25" customHeight="1">
      <c r="A27" s="61" t="s">
        <v>621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29">
        <v>1.0</v>
      </c>
      <c r="E27" s="229">
        <f>H3/60</f>
        <v>4.5</v>
      </c>
      <c r="F27" s="236">
        <v>0.25</v>
      </c>
      <c r="G27" s="217">
        <f t="shared" ref="G27:G32" si="3">ROUNDUP(((D27*E27)*(1+F27)),0)</f>
        <v>6</v>
      </c>
      <c r="H27" s="143">
        <f>IF($A27=0,"",VLOOKUP($A27,'00_MO'!$A$4:$D$7,4,FALSE))</f>
        <v>120000</v>
      </c>
      <c r="I27" s="143">
        <f t="shared" ref="I27:I30" si="4">G27*H27</f>
        <v>720000</v>
      </c>
    </row>
    <row r="28" ht="14.25" customHeight="1">
      <c r="A28" s="61" t="s">
        <v>623</v>
      </c>
      <c r="B28" s="92" t="str">
        <f>IF($A28=0,"",VLOOKUP($A28,'00_MO'!$A$4:$D$7,2,FALSE))</f>
        <v>Puntero</v>
      </c>
      <c r="C28" s="92" t="str">
        <f>IF($A28=0,"",VLOOKUP($A28,'00_MO'!$A$4:$D$7,3,FALSE))</f>
        <v>u</v>
      </c>
      <c r="D28" s="229">
        <v>2.0</v>
      </c>
      <c r="E28" s="229">
        <f>E27</f>
        <v>4.5</v>
      </c>
      <c r="F28" s="236">
        <v>0.25</v>
      </c>
      <c r="G28" s="217">
        <f t="shared" si="3"/>
        <v>12</v>
      </c>
      <c r="H28" s="143">
        <f>IF($A28=0,"",VLOOKUP($A28,'00_MO'!$A$4:$D$7,4,FALSE))</f>
        <v>105000</v>
      </c>
      <c r="I28" s="143">
        <f t="shared" si="4"/>
        <v>1260000</v>
      </c>
    </row>
    <row r="29" ht="14.25" customHeight="1">
      <c r="A29" s="61" t="s">
        <v>625</v>
      </c>
      <c r="B29" s="92" t="str">
        <f>IF($A29=0,"",VLOOKUP($A29,'00_MO'!$A$4:$D$7,2,FALSE))</f>
        <v>Oficial</v>
      </c>
      <c r="C29" s="92" t="str">
        <f>IF($A29=0,"",VLOOKUP($A29,'00_MO'!$A$4:$D$7,3,FALSE))</f>
        <v>u</v>
      </c>
      <c r="D29" s="229">
        <v>3.0</v>
      </c>
      <c r="E29" s="229">
        <f>E27</f>
        <v>4.5</v>
      </c>
      <c r="F29" s="236">
        <v>0.25</v>
      </c>
      <c r="G29" s="217">
        <f t="shared" si="3"/>
        <v>17</v>
      </c>
      <c r="H29" s="143">
        <f>IF($A29=0,"",VLOOKUP($A29,'00_MO'!$A$4:$D$7,4,FALSE))</f>
        <v>90000</v>
      </c>
      <c r="I29" s="143">
        <f t="shared" si="4"/>
        <v>1530000</v>
      </c>
    </row>
    <row r="30" ht="14.25" customHeight="1">
      <c r="A30" s="61" t="s">
        <v>627</v>
      </c>
      <c r="B30" s="92" t="str">
        <f>IF($A30=0,"",VLOOKUP($A30,'00_MO'!$A$4:$D$7,2,FALSE))</f>
        <v>Ayudante</v>
      </c>
      <c r="C30" s="92" t="str">
        <f>IF($A30=0,"",VLOOKUP($A30,'00_MO'!$A$4:$D$7,3,FALSE))</f>
        <v>u</v>
      </c>
      <c r="D30" s="229">
        <v>3.0</v>
      </c>
      <c r="E30" s="229">
        <f>E27</f>
        <v>4.5</v>
      </c>
      <c r="F30" s="236">
        <v>0.25</v>
      </c>
      <c r="G30" s="217">
        <f t="shared" si="3"/>
        <v>17</v>
      </c>
      <c r="H30" s="143">
        <f>IF($A30=0,"",VLOOKUP($A30,'00_MO'!$A$4:$D$7,4,FALSE))</f>
        <v>60000</v>
      </c>
      <c r="I30" s="143">
        <f t="shared" si="4"/>
        <v>1020000</v>
      </c>
    </row>
    <row r="31" ht="14.25" customHeight="1">
      <c r="A31" s="204"/>
      <c r="B31" s="92" t="str">
        <f>IF($A31=0,"",VLOOKUP($A31,'00_MO'!$A$4:$D$7,2,FALSE))</f>
        <v/>
      </c>
      <c r="C31" s="92" t="str">
        <f>IF($A31=0,"",VLOOKUP($A31,'00_MO'!$A$4:$D$7,3,FALSE))</f>
        <v/>
      </c>
      <c r="D31" s="204"/>
      <c r="E31" s="204"/>
      <c r="F31" s="206"/>
      <c r="G31" s="217">
        <f t="shared" si="3"/>
        <v>0</v>
      </c>
      <c r="H31" s="143" t="str">
        <f>IF($A31=0,"",VLOOKUP($A31,'00_MO'!$A$4:$D$7,4,FALSE))</f>
        <v/>
      </c>
      <c r="I31" s="143"/>
    </row>
    <row r="32" ht="14.25" customHeight="1">
      <c r="A32" s="204"/>
      <c r="B32" s="92" t="str">
        <f>IF($A32=0,"",VLOOKUP($A32,'00_MO'!$A$4:$D$7,2,FALSE))</f>
        <v/>
      </c>
      <c r="C32" s="92" t="str">
        <f>IF($A32=0,"",VLOOKUP($A32,'00_MO'!$A$4:$D$7,3,FALSE))</f>
        <v/>
      </c>
      <c r="D32" s="204"/>
      <c r="E32" s="204"/>
      <c r="F32" s="206"/>
      <c r="G32" s="217">
        <f t="shared" si="3"/>
        <v>0</v>
      </c>
      <c r="H32" s="143" t="str">
        <f>IF($A32=0,"",VLOOKUP($A32,'00_MO'!$A$4:$D$7,4,FALSE))</f>
        <v/>
      </c>
      <c r="I32" s="143"/>
    </row>
    <row r="33" ht="14.25" customHeight="1">
      <c r="F33" s="208"/>
      <c r="G33" s="3"/>
      <c r="H33" s="143"/>
      <c r="I33" s="143"/>
    </row>
    <row r="34" ht="14.25" customHeight="1">
      <c r="A34" s="222" t="s">
        <v>987</v>
      </c>
      <c r="B34" s="223"/>
      <c r="C34" s="223"/>
      <c r="D34" s="223"/>
      <c r="E34" s="223"/>
      <c r="F34" s="223"/>
      <c r="G34" s="211"/>
      <c r="H34" s="223"/>
      <c r="I34" s="224">
        <f>SUM(I27:I32)</f>
        <v>4530000</v>
      </c>
    </row>
    <row r="35" ht="14.25" customHeight="1">
      <c r="A35" s="232" t="str">
        <f>$I$3</f>
        <v>m²</v>
      </c>
      <c r="B35" s="233"/>
      <c r="C35" s="233"/>
      <c r="D35" s="233"/>
      <c r="E35" s="233"/>
      <c r="F35" s="233"/>
      <c r="G35" s="21"/>
      <c r="H35" s="233"/>
      <c r="I35" s="205">
        <f>$H$3</f>
        <v>270</v>
      </c>
      <c r="J35" s="92"/>
      <c r="K35" s="92"/>
      <c r="L35" s="92"/>
    </row>
    <row r="36" ht="14.25" customHeight="1">
      <c r="A36" s="234" t="s">
        <v>997</v>
      </c>
      <c r="B36" s="232" t="str">
        <f>A35</f>
        <v>m²</v>
      </c>
      <c r="C36" s="233"/>
      <c r="D36" s="233"/>
      <c r="E36" s="233"/>
      <c r="F36" s="233"/>
      <c r="G36" s="21"/>
      <c r="H36" s="233"/>
      <c r="I36" s="235">
        <f>I34/I35</f>
        <v>16777.77778</v>
      </c>
      <c r="J36" s="92"/>
      <c r="K36" s="92"/>
      <c r="L36" s="92"/>
    </row>
    <row r="37" ht="14.25" customHeight="1">
      <c r="G37" s="3"/>
      <c r="I37" s="151"/>
    </row>
    <row r="38" ht="14.25" customHeight="1">
      <c r="G38" s="3"/>
    </row>
    <row r="39" ht="14.25" customHeight="1">
      <c r="A39" s="201" t="s">
        <v>1000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02" t="s">
        <v>988</v>
      </c>
      <c r="B40" s="202" t="s">
        <v>989</v>
      </c>
      <c r="C40" s="202" t="s">
        <v>990</v>
      </c>
      <c r="D40" s="202" t="s">
        <v>991</v>
      </c>
      <c r="E40" s="202" t="s">
        <v>999</v>
      </c>
      <c r="F40" s="202" t="s">
        <v>992</v>
      </c>
      <c r="G40" s="4" t="s">
        <v>993</v>
      </c>
      <c r="H40" s="202" t="s">
        <v>994</v>
      </c>
      <c r="I40" s="202" t="s">
        <v>995</v>
      </c>
    </row>
    <row r="41" ht="14.25" customHeight="1">
      <c r="A41" s="204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04"/>
      <c r="E41" s="204"/>
      <c r="F41" s="206"/>
      <c r="G41" s="217">
        <f t="shared" ref="G41:G46" si="5">ROUNDUP(((D41*E41)*(1+F41)),0)</f>
        <v>0</v>
      </c>
      <c r="H41" s="143" t="str">
        <f>IF($A41=0,"",VLOOKUP($A41,'00_Eq'!$A$4:$D$100,4,FALSE))</f>
        <v/>
      </c>
      <c r="I41" s="143">
        <f>G41*H41</f>
        <v>0</v>
      </c>
    </row>
    <row r="42" ht="14.25" customHeight="1">
      <c r="A42" s="204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04"/>
      <c r="E42" s="204"/>
      <c r="F42" s="206"/>
      <c r="G42" s="217">
        <f t="shared" si="5"/>
        <v>0</v>
      </c>
      <c r="H42" s="143" t="str">
        <f>IF($A42=0,"",VLOOKUP($A42,'00_Eq'!$A$4:$D$100,4,FALSE))</f>
        <v/>
      </c>
      <c r="I42" s="143"/>
    </row>
    <row r="43" ht="14.25" customHeight="1">
      <c r="A43" s="204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04"/>
      <c r="E43" s="204"/>
      <c r="F43" s="206"/>
      <c r="G43" s="217">
        <f t="shared" si="5"/>
        <v>0</v>
      </c>
      <c r="H43" s="143" t="str">
        <f>IF($A43=0,"",VLOOKUP($A43,'00_Eq'!$A$4:$D$100,4,FALSE))</f>
        <v/>
      </c>
      <c r="I43" s="143"/>
    </row>
    <row r="44" ht="14.25" customHeight="1">
      <c r="A44" s="204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04"/>
      <c r="E44" s="204"/>
      <c r="F44" s="206"/>
      <c r="G44" s="217">
        <f t="shared" si="5"/>
        <v>0</v>
      </c>
      <c r="H44" s="143" t="str">
        <f>IF($A44=0,"",VLOOKUP($A44,'00_Eq'!$A$4:$D$100,4,FALSE))</f>
        <v/>
      </c>
      <c r="I44" s="143"/>
    </row>
    <row r="45" ht="14.25" customHeight="1">
      <c r="A45" s="204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04"/>
      <c r="E45" s="204"/>
      <c r="F45" s="206"/>
      <c r="G45" s="217">
        <f t="shared" si="5"/>
        <v>0</v>
      </c>
      <c r="H45" s="143" t="str">
        <f>IF($A45=0,"",VLOOKUP($A45,'00_Eq'!$A$4:$D$100,4,FALSE))</f>
        <v/>
      </c>
      <c r="I45" s="143"/>
    </row>
    <row r="46" ht="14.25" customHeight="1">
      <c r="A46" s="204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04"/>
      <c r="E46" s="204"/>
      <c r="F46" s="206"/>
      <c r="G46" s="217">
        <f t="shared" si="5"/>
        <v>0</v>
      </c>
      <c r="H46" s="143" t="str">
        <f>IF($A46=0,"",VLOOKUP($A46,'00_Eq'!$A$4:$D$100,4,FALSE))</f>
        <v/>
      </c>
      <c r="I46" s="143"/>
    </row>
    <row r="47" ht="14.25" customHeight="1">
      <c r="F47" s="208"/>
      <c r="G47" s="3"/>
      <c r="H47" s="143"/>
      <c r="I47" s="143"/>
    </row>
    <row r="48" ht="14.25" customHeight="1">
      <c r="A48" s="222" t="s">
        <v>987</v>
      </c>
      <c r="B48" s="223"/>
      <c r="C48" s="223"/>
      <c r="D48" s="223"/>
      <c r="E48" s="223"/>
      <c r="F48" s="223"/>
      <c r="G48" s="211"/>
      <c r="H48" s="223"/>
      <c r="I48" s="224">
        <f>SUM(I41:I46)</f>
        <v>0</v>
      </c>
    </row>
    <row r="49" ht="14.25" customHeight="1">
      <c r="A49" s="232" t="str">
        <f>$I$3</f>
        <v>m²</v>
      </c>
      <c r="B49" s="233"/>
      <c r="C49" s="233"/>
      <c r="D49" s="233"/>
      <c r="E49" s="233"/>
      <c r="F49" s="233"/>
      <c r="G49" s="21"/>
      <c r="H49" s="233"/>
      <c r="I49" s="205">
        <f>$H$3</f>
        <v>270</v>
      </c>
      <c r="J49" s="92"/>
      <c r="K49" s="92"/>
      <c r="L49" s="92"/>
    </row>
    <row r="50" ht="14.25" customHeight="1">
      <c r="A50" s="234" t="s">
        <v>997</v>
      </c>
      <c r="B50" s="232" t="str">
        <f>A49</f>
        <v>m²</v>
      </c>
      <c r="C50" s="233"/>
      <c r="D50" s="233"/>
      <c r="E50" s="233"/>
      <c r="F50" s="233"/>
      <c r="G50" s="21"/>
      <c r="H50" s="233"/>
      <c r="I50" s="235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01" t="s">
        <v>1010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02" t="s">
        <v>988</v>
      </c>
      <c r="B54" s="202" t="s">
        <v>989</v>
      </c>
      <c r="C54" s="202" t="s">
        <v>990</v>
      </c>
      <c r="D54" s="202" t="s">
        <v>991</v>
      </c>
      <c r="E54" s="202"/>
      <c r="F54" s="202" t="s">
        <v>992</v>
      </c>
      <c r="G54" s="4" t="s">
        <v>993</v>
      </c>
      <c r="H54" s="202" t="s">
        <v>994</v>
      </c>
      <c r="I54" s="202" t="s">
        <v>995</v>
      </c>
    </row>
    <row r="55" ht="14.25" customHeight="1">
      <c r="A55" s="204"/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05"/>
      <c r="E55" s="204"/>
      <c r="F55" s="206"/>
      <c r="G55" s="221">
        <f t="shared" ref="G55:G60" si="6">ROUNDUP((D55+(D55*F55)),0)</f>
        <v>0</v>
      </c>
      <c r="H55" s="143" t="str">
        <f>IF($A55=0,"",VLOOKUP($A55,'00_Mat'!$A$4:$J$1135,5,FALSE))</f>
        <v/>
      </c>
      <c r="I55" s="143">
        <f t="shared" ref="I55:I56" si="7">G55*H55</f>
        <v>0</v>
      </c>
    </row>
    <row r="56" ht="14.25" customHeight="1">
      <c r="A56" s="204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05"/>
      <c r="E56" s="204"/>
      <c r="F56" s="206"/>
      <c r="G56" s="221">
        <f t="shared" si="6"/>
        <v>0</v>
      </c>
      <c r="H56" s="143" t="str">
        <f>IF($A56=0,"",VLOOKUP($A56,'00_Mat'!$A$4:$J$1135,5,FALSE))</f>
        <v/>
      </c>
      <c r="I56" s="143">
        <f t="shared" si="7"/>
        <v>0</v>
      </c>
    </row>
    <row r="57" ht="14.25" customHeight="1">
      <c r="A57" s="204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05"/>
      <c r="E57" s="204"/>
      <c r="F57" s="206"/>
      <c r="G57" s="221">
        <f t="shared" si="6"/>
        <v>0</v>
      </c>
      <c r="H57" s="143" t="str">
        <f>IF($A57=0,"",VLOOKUP($A57,'00_Mat'!$A$4:$J$1135,5,FALSE))</f>
        <v/>
      </c>
      <c r="I57" s="143"/>
    </row>
    <row r="58" ht="14.25" customHeight="1">
      <c r="A58" s="204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05"/>
      <c r="E58" s="204"/>
      <c r="F58" s="206"/>
      <c r="G58" s="221">
        <f t="shared" si="6"/>
        <v>0</v>
      </c>
      <c r="H58" s="143" t="str">
        <f>IF($A58=0,"",VLOOKUP($A58,'00_Mat'!$A$4:$J$1135,5,FALSE))</f>
        <v/>
      </c>
      <c r="I58" s="143"/>
    </row>
    <row r="59" ht="14.25" customHeight="1">
      <c r="A59" s="204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05"/>
      <c r="E59" s="204"/>
      <c r="F59" s="206"/>
      <c r="G59" s="221">
        <f t="shared" si="6"/>
        <v>0</v>
      </c>
      <c r="H59" s="143" t="str">
        <f>IF($A59=0,"",VLOOKUP($A59,'00_Mat'!$A$4:$J$1135,5,FALSE))</f>
        <v/>
      </c>
      <c r="I59" s="143"/>
    </row>
    <row r="60" ht="14.25" customHeight="1">
      <c r="A60" s="204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05"/>
      <c r="E60" s="204"/>
      <c r="F60" s="206"/>
      <c r="G60" s="221">
        <f t="shared" si="6"/>
        <v>0</v>
      </c>
      <c r="H60" s="143" t="str">
        <f>IF($A60=0,"",VLOOKUP($A60,'00_Mat'!$A$4:$J$1135,5,FALSE))</f>
        <v/>
      </c>
      <c r="I60" s="143"/>
    </row>
    <row r="61" ht="14.25" customHeight="1">
      <c r="F61" s="208"/>
      <c r="G61" s="3"/>
      <c r="H61" s="143"/>
      <c r="I61" s="143"/>
    </row>
    <row r="62" ht="14.25" customHeight="1">
      <c r="A62" s="222" t="s">
        <v>987</v>
      </c>
      <c r="B62" s="223"/>
      <c r="C62" s="223"/>
      <c r="D62" s="223"/>
      <c r="E62" s="223"/>
      <c r="F62" s="223"/>
      <c r="G62" s="211"/>
      <c r="H62" s="223"/>
      <c r="I62" s="224">
        <f>SUM(I55:I60)</f>
        <v>0</v>
      </c>
    </row>
    <row r="63" ht="14.25" customHeight="1">
      <c r="A63" s="232" t="str">
        <f>$I$3</f>
        <v>m²</v>
      </c>
      <c r="B63" s="233"/>
      <c r="C63" s="233"/>
      <c r="D63" s="233"/>
      <c r="E63" s="233"/>
      <c r="F63" s="233"/>
      <c r="G63" s="21"/>
      <c r="H63" s="233"/>
      <c r="I63" s="205">
        <f>$H$3</f>
        <v>270</v>
      </c>
      <c r="J63" s="92"/>
      <c r="K63" s="92"/>
      <c r="L63" s="92"/>
    </row>
    <row r="64" ht="14.25" customHeight="1">
      <c r="A64" s="234" t="s">
        <v>997</v>
      </c>
      <c r="B64" s="232" t="str">
        <f>A63</f>
        <v>m²</v>
      </c>
      <c r="C64" s="233"/>
      <c r="D64" s="233"/>
      <c r="E64" s="233"/>
      <c r="F64" s="233"/>
      <c r="G64" s="21"/>
      <c r="H64" s="233"/>
      <c r="I64" s="235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01" t="s">
        <v>1025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02" t="s">
        <v>988</v>
      </c>
      <c r="B68" s="202" t="s">
        <v>989</v>
      </c>
      <c r="C68" s="202" t="s">
        <v>990</v>
      </c>
      <c r="D68" s="202" t="s">
        <v>991</v>
      </c>
      <c r="E68" s="202" t="s">
        <v>999</v>
      </c>
      <c r="F68" s="202" t="s">
        <v>992</v>
      </c>
      <c r="G68" s="4" t="s">
        <v>993</v>
      </c>
      <c r="H68" s="202" t="s">
        <v>994</v>
      </c>
      <c r="I68" s="202" t="s">
        <v>995</v>
      </c>
    </row>
    <row r="69" ht="14.25" customHeight="1">
      <c r="A69" s="204"/>
      <c r="B69" s="92" t="str">
        <f>IF($A69=0,"",VLOOKUP($A69,'00_Sub'!$A$4:$D$1007,2,FALSE))</f>
        <v/>
      </c>
      <c r="C69" s="92" t="str">
        <f>IF($A69=0,"",VLOOKUP($A69,'00_Sub'!$A$4:$D$1007,3,FALSE))</f>
        <v/>
      </c>
      <c r="D69" s="204"/>
      <c r="E69" s="204"/>
      <c r="F69" s="206"/>
      <c r="G69" s="221">
        <f t="shared" ref="G69:G74" si="8">ROUNDUP((D69+(D69*F69)),0)</f>
        <v>0</v>
      </c>
      <c r="H69" s="143" t="str">
        <f>IF($A69=0,"",VLOOKUP($A69,'00_Sub'!$A$4:$D$1007,4,FALSE))</f>
        <v/>
      </c>
      <c r="I69" s="143"/>
    </row>
    <row r="70" ht="14.25" customHeight="1">
      <c r="A70" s="204"/>
      <c r="B70" s="92" t="str">
        <f>IF($A70=0,"",VLOOKUP($A70,'00_Sub'!$A$4:$D$1007,2,FALSE))</f>
        <v/>
      </c>
      <c r="C70" s="92" t="str">
        <f>IF($A70=0,"",VLOOKUP($A70,'00_Sub'!$A$4:$D$1007,3,FALSE))</f>
        <v/>
      </c>
      <c r="D70" s="204"/>
      <c r="E70" s="204"/>
      <c r="F70" s="206"/>
      <c r="G70" s="221">
        <f t="shared" si="8"/>
        <v>0</v>
      </c>
      <c r="H70" s="143" t="str">
        <f>IF($A70=0,"",VLOOKUP($A70,'00_Sub'!$A$4:$D$1007,4,FALSE))</f>
        <v/>
      </c>
      <c r="I70" s="143"/>
    </row>
    <row r="71" ht="14.25" customHeight="1">
      <c r="A71" s="204"/>
      <c r="B71" s="92" t="str">
        <f>IF($A71=0,"",VLOOKUP($A71,'00_Sub'!$A$4:$D$1007,2,FALSE))</f>
        <v/>
      </c>
      <c r="C71" s="92" t="str">
        <f>IF($A71=0,"",VLOOKUP($A71,'00_Sub'!$A$4:$D$1007,3,FALSE))</f>
        <v/>
      </c>
      <c r="D71" s="204"/>
      <c r="E71" s="204"/>
      <c r="F71" s="206"/>
      <c r="G71" s="221">
        <f t="shared" si="8"/>
        <v>0</v>
      </c>
      <c r="H71" s="143" t="str">
        <f>IF($A71=0,"",VLOOKUP($A71,'00_Sub'!$A$4:$D$1007,4,FALSE))</f>
        <v/>
      </c>
      <c r="I71" s="143"/>
    </row>
    <row r="72" ht="14.25" customHeight="1">
      <c r="A72" s="204"/>
      <c r="B72" s="92" t="str">
        <f>IF($A72=0,"",VLOOKUP($A72,'00_Sub'!$A$4:$D$1007,2,FALSE))</f>
        <v/>
      </c>
      <c r="C72" s="92" t="str">
        <f>IF($A72=0,"",VLOOKUP($A72,'00_Sub'!$A$4:$D$1007,3,FALSE))</f>
        <v/>
      </c>
      <c r="D72" s="204"/>
      <c r="E72" s="204"/>
      <c r="F72" s="206"/>
      <c r="G72" s="221">
        <f t="shared" si="8"/>
        <v>0</v>
      </c>
      <c r="H72" s="143" t="str">
        <f>IF($A72=0,"",VLOOKUP($A72,'00_Sub'!$A$4:$D$1007,4,FALSE))</f>
        <v/>
      </c>
      <c r="I72" s="143"/>
    </row>
    <row r="73" ht="14.25" customHeight="1">
      <c r="A73" s="204"/>
      <c r="B73" s="92" t="str">
        <f>IF($A73=0,"",VLOOKUP($A73,'00_Sub'!$A$4:$D$1007,2,FALSE))</f>
        <v/>
      </c>
      <c r="C73" s="92" t="str">
        <f>IF($A73=0,"",VLOOKUP($A73,'00_Sub'!$A$4:$D$1007,3,FALSE))</f>
        <v/>
      </c>
      <c r="D73" s="204"/>
      <c r="E73" s="204"/>
      <c r="F73" s="206"/>
      <c r="G73" s="221">
        <f t="shared" si="8"/>
        <v>0</v>
      </c>
      <c r="H73" s="143" t="str">
        <f>IF($A73=0,"",VLOOKUP($A73,'00_Sub'!$A$4:$D$1007,4,FALSE))</f>
        <v/>
      </c>
      <c r="I73" s="143"/>
    </row>
    <row r="74" ht="14.25" customHeight="1">
      <c r="A74" s="204"/>
      <c r="B74" s="92" t="str">
        <f>IF($A74=0,"",VLOOKUP($A74,'00_Sub'!$A$4:$D$1007,2,FALSE))</f>
        <v/>
      </c>
      <c r="C74" s="92" t="str">
        <f>IF($A74=0,"",VLOOKUP($A74,'00_Sub'!$A$4:$D$1007,3,FALSE))</f>
        <v/>
      </c>
      <c r="D74" s="204"/>
      <c r="E74" s="204"/>
      <c r="F74" s="206"/>
      <c r="G74" s="221">
        <f t="shared" si="8"/>
        <v>0</v>
      </c>
      <c r="H74" s="143" t="str">
        <f>IF($A74=0,"",VLOOKUP($A74,'00_Sub'!$A$4:$D$1007,4,FALSE))</f>
        <v/>
      </c>
      <c r="I74" s="143"/>
    </row>
    <row r="75" ht="14.25" customHeight="1">
      <c r="F75" s="208"/>
      <c r="G75" s="3"/>
      <c r="H75" s="143"/>
      <c r="I75" s="143"/>
    </row>
    <row r="76" ht="14.25" customHeight="1">
      <c r="A76" s="222" t="s">
        <v>987</v>
      </c>
      <c r="B76" s="223"/>
      <c r="C76" s="223"/>
      <c r="D76" s="223"/>
      <c r="E76" s="223"/>
      <c r="F76" s="223"/>
      <c r="G76" s="211"/>
      <c r="H76" s="223"/>
      <c r="I76" s="224">
        <f>SUM(I69:I74)</f>
        <v>0</v>
      </c>
    </row>
    <row r="77" ht="14.25" customHeight="1">
      <c r="A77" s="232" t="str">
        <f>$I$3</f>
        <v>m²</v>
      </c>
      <c r="B77" s="233"/>
      <c r="C77" s="233"/>
      <c r="D77" s="233"/>
      <c r="E77" s="233"/>
      <c r="F77" s="233"/>
      <c r="G77" s="21"/>
      <c r="H77" s="233"/>
      <c r="I77" s="205">
        <f>$H$3</f>
        <v>270</v>
      </c>
      <c r="J77" s="92"/>
      <c r="K77" s="92"/>
      <c r="L77" s="92"/>
    </row>
    <row r="78" ht="14.25" customHeight="1">
      <c r="A78" s="234" t="s">
        <v>997</v>
      </c>
      <c r="B78" s="232" t="str">
        <f>A77</f>
        <v>m²</v>
      </c>
      <c r="C78" s="233"/>
      <c r="D78" s="233"/>
      <c r="E78" s="233"/>
      <c r="F78" s="233"/>
      <c r="G78" s="21"/>
      <c r="H78" s="233"/>
      <c r="I78" s="235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58.43"/>
    <col customWidth="1" min="3" max="3" width="8.14"/>
    <col customWidth="1" min="4" max="4" width="8.71"/>
    <col customWidth="1" min="5" max="5" width="6.57"/>
    <col customWidth="1" min="6" max="6" width="10.57"/>
    <col customWidth="1" min="7" max="7" width="12.71"/>
    <col customWidth="1" min="8" max="8" width="16.0"/>
    <col customWidth="1" min="9" max="9" width="15.86"/>
    <col customWidth="1" min="10" max="12" width="8.71"/>
  </cols>
  <sheetData>
    <row r="1" ht="33.75" customHeight="1">
      <c r="A1" s="91" t="str">
        <f>'01_C&amp;P'!A1</f>
        <v>EDIFICIO LAS HERAS</v>
      </c>
      <c r="B1" s="91"/>
      <c r="C1" s="91"/>
      <c r="G1" s="3"/>
    </row>
    <row r="2" ht="14.25" customHeight="1">
      <c r="G2" s="3"/>
    </row>
    <row r="3" ht="23.25" customHeight="1">
      <c r="A3" s="195">
        <f>'01_C&amp;P'!A54</f>
        <v>46206</v>
      </c>
      <c r="B3" s="196" t="str">
        <f>IF($A3=0,"",VLOOKUP($A3,'01_C&amp;P'!$A$9:$D$192,2,FALSE))</f>
        <v>REVOQUE INTERIOR. (GRUESO FRATAZADO)</v>
      </c>
      <c r="C3" s="197"/>
      <c r="D3" s="197"/>
      <c r="E3" s="197"/>
      <c r="F3" s="197"/>
      <c r="G3" s="198"/>
      <c r="H3" s="199">
        <f>IF($A3=0,"",VLOOKUP($A3,'01_C&amp;P'!$A$9:$D$192,4,FALSE))</f>
        <v>244</v>
      </c>
      <c r="I3" s="200" t="str">
        <f>IF($A3=0,"",VLOOKUP($A3,'01_C&amp;P'!$A$9:$D$192,3,FALSE))</f>
        <v>m²</v>
      </c>
    </row>
    <row r="4" ht="14.25" customHeight="1">
      <c r="G4" s="3"/>
    </row>
    <row r="5" ht="14.25" customHeight="1">
      <c r="A5" s="201" t="s">
        <v>0</v>
      </c>
      <c r="B5" s="94"/>
      <c r="C5" s="94"/>
      <c r="D5" s="94"/>
      <c r="E5" s="94"/>
      <c r="F5" s="94"/>
      <c r="G5" s="2"/>
      <c r="H5" s="94"/>
      <c r="I5" s="94"/>
    </row>
    <row r="6" ht="14.25" customHeight="1">
      <c r="A6" s="202" t="s">
        <v>988</v>
      </c>
      <c r="B6" s="202" t="s">
        <v>989</v>
      </c>
      <c r="C6" s="202" t="s">
        <v>990</v>
      </c>
      <c r="D6" s="203" t="s">
        <v>991</v>
      </c>
      <c r="E6" s="197"/>
      <c r="F6" s="202" t="s">
        <v>992</v>
      </c>
      <c r="G6" s="4" t="s">
        <v>993</v>
      </c>
      <c r="H6" s="202" t="s">
        <v>994</v>
      </c>
      <c r="I6" s="202" t="s">
        <v>995</v>
      </c>
    </row>
    <row r="7" ht="14.25" customHeight="1">
      <c r="A7" s="254" t="s">
        <v>11</v>
      </c>
      <c r="B7" s="3" t="str">
        <f>IF($A7=0,"",VLOOKUP($A7,'00_Mat'!$A$4:$J$1134,2,FALSE))</f>
        <v>Bolson de Arena (1m3) </v>
      </c>
      <c r="C7" s="3" t="str">
        <f>IF($A7=0,"",VLOOKUP($A7,'00_Mat'!$A$4:$J$1134,3,FALSE))</f>
        <v>m3</v>
      </c>
      <c r="D7" s="250">
        <f>H3*(0.017)</f>
        <v>4.148</v>
      </c>
      <c r="E7" s="254"/>
      <c r="F7" s="257">
        <v>0.5</v>
      </c>
      <c r="G7" s="221">
        <f t="shared" ref="G7:G18" si="1">ROUNDUP((D7+(D7*F7)),0)</f>
        <v>7</v>
      </c>
      <c r="H7" s="143">
        <f>IF($A7=0,"",VLOOKUP($A7,'00_Mat'!$A$4:$J$1135,5,FALSE))</f>
        <v>33470</v>
      </c>
      <c r="I7" s="143">
        <f t="shared" ref="I7:I11" si="2">G7*H7</f>
        <v>234290</v>
      </c>
    </row>
    <row r="8" ht="14.25" customHeight="1">
      <c r="A8" s="254" t="s">
        <v>19</v>
      </c>
      <c r="B8" s="3" t="str">
        <f>IF($A8=0,"",VLOOKUP($A8,'00_Mat'!$A$4:$J$1134,2,FALSE))</f>
        <v>Bolsa Cemento "Loma Negra" 25 k (u)</v>
      </c>
      <c r="C8" s="3" t="str">
        <f>IF($A8=0,"",VLOOKUP($A8,'00_Mat'!$A$4:$J$1134,3,FALSE))</f>
        <v>u</v>
      </c>
      <c r="D8" s="250">
        <f>(H3*(1.85)/25)</f>
        <v>18.056</v>
      </c>
      <c r="E8" s="254"/>
      <c r="F8" s="257">
        <v>0.5</v>
      </c>
      <c r="G8" s="221">
        <f t="shared" si="1"/>
        <v>28</v>
      </c>
      <c r="H8" s="143">
        <f>IF($A8=0,"",VLOOKUP($A8,'00_Mat'!$A$4:$J$1135,5,FALSE))</f>
        <v>7000</v>
      </c>
      <c r="I8" s="143">
        <f t="shared" si="2"/>
        <v>196000</v>
      </c>
    </row>
    <row r="9" ht="14.25" customHeight="1">
      <c r="A9" s="254" t="s">
        <v>25</v>
      </c>
      <c r="B9" s="3" t="str">
        <f>IF($A9=0,"",VLOOKUP($A9,'00_Mat'!$A$4:$J$1134,2,FALSE))</f>
        <v>Bolsa Cal "Cacique" 25 k (u)</v>
      </c>
      <c r="C9" s="3" t="str">
        <f>IF($A9=0,"",VLOOKUP($A9,'00_Mat'!$A$4:$J$1134,3,FALSE))</f>
        <v>u</v>
      </c>
      <c r="D9" s="250">
        <f>(H3*(3.53)/25)</f>
        <v>34.4528</v>
      </c>
      <c r="E9" s="254"/>
      <c r="F9" s="257">
        <v>0.5</v>
      </c>
      <c r="G9" s="221">
        <f t="shared" si="1"/>
        <v>52</v>
      </c>
      <c r="H9" s="143">
        <f>IF($A9=0,"",VLOOKUP($A9,'00_Mat'!$A$4:$J$1135,5,FALSE))</f>
        <v>5371.900826</v>
      </c>
      <c r="I9" s="143">
        <f t="shared" si="2"/>
        <v>279338.843</v>
      </c>
      <c r="K9" s="85" t="s">
        <v>1059</v>
      </c>
      <c r="L9" s="258"/>
      <c r="M9" s="258"/>
    </row>
    <row r="10" ht="14.25" customHeight="1">
      <c r="A10" s="204"/>
      <c r="B10" s="92" t="str">
        <f>IF($A10=0,"",VLOOKUP($A10,'00_Mat'!$A$4:$J$1135,2,FALSE))</f>
        <v/>
      </c>
      <c r="C10" s="92" t="str">
        <f>IF($A10=0,"",VLOOKUP($A10,'00_Mat'!$A$4:$J$1135,3,FALSE))</f>
        <v/>
      </c>
      <c r="D10" s="205"/>
      <c r="E10" s="204"/>
      <c r="F10" s="206"/>
      <c r="G10" s="221">
        <f t="shared" si="1"/>
        <v>0</v>
      </c>
      <c r="H10" s="143" t="str">
        <f>IF($A10=0,"",VLOOKUP($A10,'00_Mat'!$A$4:$J$1135,5,FALSE))</f>
        <v/>
      </c>
      <c r="I10" s="143">
        <f t="shared" si="2"/>
        <v>0</v>
      </c>
    </row>
    <row r="11" ht="14.25" customHeight="1">
      <c r="A11" s="204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05"/>
      <c r="E11" s="204"/>
      <c r="F11" s="206"/>
      <c r="G11" s="221">
        <f t="shared" si="1"/>
        <v>0</v>
      </c>
      <c r="H11" s="143" t="str">
        <f>IF($A11=0,"",VLOOKUP($A11,'00_Mat'!$A$4:$J$1135,5,FALSE))</f>
        <v/>
      </c>
      <c r="I11" s="143">
        <f t="shared" si="2"/>
        <v>0</v>
      </c>
    </row>
    <row r="12" ht="14.25" customHeight="1">
      <c r="A12" s="204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04"/>
      <c r="E12" s="204"/>
      <c r="F12" s="206"/>
      <c r="G12" s="221">
        <f t="shared" si="1"/>
        <v>0</v>
      </c>
      <c r="H12" s="143" t="str">
        <f>IF($A12=0,"",VLOOKUP($A12,'00_Mat'!$A$4:$J$1135,5,FALSE))</f>
        <v/>
      </c>
      <c r="I12" s="143"/>
    </row>
    <row r="13" ht="14.25" customHeight="1">
      <c r="A13" s="204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04"/>
      <c r="E13" s="204"/>
      <c r="F13" s="206"/>
      <c r="G13" s="221">
        <f t="shared" si="1"/>
        <v>0</v>
      </c>
      <c r="H13" s="143" t="str">
        <f>IF($A13=0,"",VLOOKUP($A13,'00_Mat'!$A$4:$J$1135,5,FALSE))</f>
        <v/>
      </c>
      <c r="I13" s="143"/>
    </row>
    <row r="14" ht="14.25" customHeight="1">
      <c r="A14" s="204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04"/>
      <c r="E14" s="204"/>
      <c r="F14" s="206"/>
      <c r="G14" s="221">
        <f t="shared" si="1"/>
        <v>0</v>
      </c>
      <c r="H14" s="143" t="str">
        <f>IF($A14=0,"",VLOOKUP($A14,'00_Mat'!$A$4:$J$1135,5,FALSE))</f>
        <v/>
      </c>
      <c r="I14" s="143"/>
    </row>
    <row r="15" ht="14.25" customHeight="1">
      <c r="A15" s="204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04"/>
      <c r="E15" s="204"/>
      <c r="F15" s="206"/>
      <c r="G15" s="221">
        <f t="shared" si="1"/>
        <v>0</v>
      </c>
      <c r="H15" s="143" t="str">
        <f>IF($A15=0,"",VLOOKUP($A15,'00_Mat'!$A$4:$J$1135,5,FALSE))</f>
        <v/>
      </c>
      <c r="I15" s="143"/>
    </row>
    <row r="16" ht="14.25" customHeight="1">
      <c r="A16" s="204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04"/>
      <c r="E16" s="204"/>
      <c r="F16" s="206"/>
      <c r="G16" s="221">
        <f t="shared" si="1"/>
        <v>0</v>
      </c>
      <c r="H16" s="143" t="str">
        <f>IF($A16=0,"",VLOOKUP($A16,'00_Mat'!$A$4:$J$1135,5,FALSE))</f>
        <v/>
      </c>
      <c r="I16" s="143"/>
    </row>
    <row r="17" ht="14.25" customHeight="1">
      <c r="A17" s="204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04"/>
      <c r="E17" s="204"/>
      <c r="F17" s="206"/>
      <c r="G17" s="221">
        <f t="shared" si="1"/>
        <v>0</v>
      </c>
      <c r="H17" s="143" t="str">
        <f>IF($A17=0,"",VLOOKUP($A17,'00_Mat'!$A$4:$J$1135,5,FALSE))</f>
        <v/>
      </c>
      <c r="I17" s="143"/>
    </row>
    <row r="18" ht="14.25" customHeight="1">
      <c r="A18" s="204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04"/>
      <c r="E18" s="204"/>
      <c r="F18" s="206"/>
      <c r="G18" s="221">
        <f t="shared" si="1"/>
        <v>0</v>
      </c>
      <c r="H18" s="143" t="str">
        <f>IF($A18=0,"",VLOOKUP($A18,'00_Mat'!$A$4:$J$1135,5,FALSE))</f>
        <v/>
      </c>
      <c r="I18" s="143"/>
    </row>
    <row r="19" ht="14.25" customHeight="1">
      <c r="F19" s="208"/>
      <c r="G19" s="3"/>
      <c r="H19" s="143"/>
      <c r="I19" s="143"/>
    </row>
    <row r="20" ht="14.25" customHeight="1">
      <c r="A20" s="222" t="s">
        <v>996</v>
      </c>
      <c r="B20" s="223"/>
      <c r="C20" s="223"/>
      <c r="D20" s="223"/>
      <c r="E20" s="223"/>
      <c r="F20" s="223"/>
      <c r="G20" s="211"/>
      <c r="H20" s="223"/>
      <c r="I20" s="224">
        <f>SUM(I7:I18)</f>
        <v>709628.843</v>
      </c>
      <c r="J20" s="92"/>
      <c r="K20" s="92"/>
      <c r="L20" s="92"/>
    </row>
    <row r="21" ht="14.25" customHeight="1">
      <c r="A21" s="232" t="str">
        <f>$I$3</f>
        <v>m²</v>
      </c>
      <c r="B21" s="233"/>
      <c r="C21" s="233"/>
      <c r="D21" s="233"/>
      <c r="E21" s="233"/>
      <c r="F21" s="233"/>
      <c r="G21" s="21"/>
      <c r="H21" s="233"/>
      <c r="I21" s="205">
        <f>$H$3</f>
        <v>244</v>
      </c>
      <c r="J21" s="92"/>
      <c r="K21" s="92"/>
      <c r="L21" s="92"/>
    </row>
    <row r="22" ht="14.25" customHeight="1">
      <c r="A22" s="234" t="s">
        <v>997</v>
      </c>
      <c r="B22" s="232" t="str">
        <f>A21</f>
        <v>m²</v>
      </c>
      <c r="C22" s="233"/>
      <c r="D22" s="233"/>
      <c r="E22" s="233"/>
      <c r="F22" s="233"/>
      <c r="G22" s="21"/>
      <c r="H22" s="233"/>
      <c r="I22" s="235">
        <f>I20/I21</f>
        <v>2908.31493</v>
      </c>
      <c r="J22" s="92"/>
      <c r="K22" s="92"/>
      <c r="L22" s="92"/>
    </row>
    <row r="23" ht="14.25" customHeight="1">
      <c r="G23" s="3"/>
      <c r="I23" s="151"/>
    </row>
    <row r="24" ht="14.25" customHeight="1">
      <c r="G24" s="3"/>
    </row>
    <row r="25" ht="14.25" customHeight="1">
      <c r="A25" s="201" t="s">
        <v>998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02" t="s">
        <v>988</v>
      </c>
      <c r="B26" s="202" t="s">
        <v>989</v>
      </c>
      <c r="C26" s="202" t="s">
        <v>990</v>
      </c>
      <c r="D26" s="202" t="s">
        <v>991</v>
      </c>
      <c r="E26" s="202" t="s">
        <v>999</v>
      </c>
      <c r="F26" s="202" t="s">
        <v>992</v>
      </c>
      <c r="G26" s="4" t="s">
        <v>993</v>
      </c>
      <c r="H26" s="202" t="s">
        <v>994</v>
      </c>
      <c r="I26" s="202" t="s">
        <v>995</v>
      </c>
      <c r="K26" s="3" t="s">
        <v>1060</v>
      </c>
    </row>
    <row r="27" ht="14.25" customHeight="1">
      <c r="A27" s="61" t="s">
        <v>621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29">
        <v>1.0</v>
      </c>
      <c r="E27" s="229">
        <f>(H3/60)*1.5</f>
        <v>6.1</v>
      </c>
      <c r="F27" s="236">
        <v>0.3</v>
      </c>
      <c r="G27" s="217">
        <f t="shared" ref="G27:G32" si="3">ROUNDUP(((D27*E27)*(1+F27)),0)</f>
        <v>8</v>
      </c>
      <c r="H27" s="143">
        <f>IF($A27=0,"",VLOOKUP($A27,'00_MO'!$A$4:$D$7,4,FALSE))</f>
        <v>120000</v>
      </c>
      <c r="I27" s="143">
        <f t="shared" ref="I27:I30" si="4">G27*H27</f>
        <v>960000</v>
      </c>
      <c r="K27" s="153" t="s">
        <v>1061</v>
      </c>
    </row>
    <row r="28" ht="14.25" customHeight="1">
      <c r="A28" s="61" t="s">
        <v>623</v>
      </c>
      <c r="B28" s="92" t="str">
        <f>IF($A28=0,"",VLOOKUP($A28,'00_MO'!$A$4:$D$7,2,FALSE))</f>
        <v>Puntero</v>
      </c>
      <c r="C28" s="92" t="str">
        <f>IF($A28=0,"",VLOOKUP($A28,'00_MO'!$A$4:$D$7,3,FALSE))</f>
        <v>u</v>
      </c>
      <c r="D28" s="229">
        <v>2.0</v>
      </c>
      <c r="E28" s="229">
        <f>E27</f>
        <v>6.1</v>
      </c>
      <c r="F28" s="236">
        <v>0.3</v>
      </c>
      <c r="G28" s="217">
        <f t="shared" si="3"/>
        <v>16</v>
      </c>
      <c r="H28" s="143">
        <f>IF($A28=0,"",VLOOKUP($A28,'00_MO'!$A$4:$D$7,4,FALSE))</f>
        <v>105000</v>
      </c>
      <c r="I28" s="143">
        <f t="shared" si="4"/>
        <v>1680000</v>
      </c>
      <c r="K28" s="194">
        <f>4*15</f>
        <v>60</v>
      </c>
    </row>
    <row r="29" ht="14.25" customHeight="1">
      <c r="A29" s="61" t="s">
        <v>625</v>
      </c>
      <c r="B29" s="92" t="str">
        <f>IF($A29=0,"",VLOOKUP($A29,'00_MO'!$A$4:$D$7,2,FALSE))</f>
        <v>Oficial</v>
      </c>
      <c r="C29" s="92" t="str">
        <f>IF($A29=0,"",VLOOKUP($A29,'00_MO'!$A$4:$D$7,3,FALSE))</f>
        <v>u</v>
      </c>
      <c r="D29" s="229">
        <v>3.0</v>
      </c>
      <c r="E29" s="229">
        <f>E27</f>
        <v>6.1</v>
      </c>
      <c r="F29" s="236">
        <v>0.3</v>
      </c>
      <c r="G29" s="217">
        <f t="shared" si="3"/>
        <v>24</v>
      </c>
      <c r="H29" s="143">
        <f>IF($A29=0,"",VLOOKUP($A29,'00_MO'!$A$4:$D$7,4,FALSE))</f>
        <v>90000</v>
      </c>
      <c r="I29" s="143">
        <f t="shared" si="4"/>
        <v>2160000</v>
      </c>
    </row>
    <row r="30" ht="14.25" customHeight="1">
      <c r="A30" s="61" t="s">
        <v>627</v>
      </c>
      <c r="B30" s="92" t="str">
        <f>IF($A30=0,"",VLOOKUP($A30,'00_MO'!$A$4:$D$7,2,FALSE))</f>
        <v>Ayudante</v>
      </c>
      <c r="C30" s="92" t="str">
        <f>IF($A30=0,"",VLOOKUP($A30,'00_MO'!$A$4:$D$7,3,FALSE))</f>
        <v>u</v>
      </c>
      <c r="D30" s="229">
        <v>3.0</v>
      </c>
      <c r="E30" s="229">
        <f>E27</f>
        <v>6.1</v>
      </c>
      <c r="F30" s="236">
        <v>0.3</v>
      </c>
      <c r="G30" s="217">
        <f t="shared" si="3"/>
        <v>24</v>
      </c>
      <c r="H30" s="143">
        <f>IF($A30=0,"",VLOOKUP($A30,'00_MO'!$A$4:$D$7,4,FALSE))</f>
        <v>60000</v>
      </c>
      <c r="I30" s="143">
        <f t="shared" si="4"/>
        <v>1440000</v>
      </c>
      <c r="K30" s="85" t="s">
        <v>1062</v>
      </c>
      <c r="L30" s="258"/>
      <c r="M30" s="258"/>
    </row>
    <row r="31" ht="14.25" customHeight="1">
      <c r="A31" s="204"/>
      <c r="B31" s="92" t="str">
        <f>IF($A31=0,"",VLOOKUP($A31,'00_MO'!$A$4:$D$7,2,FALSE))</f>
        <v/>
      </c>
      <c r="C31" s="92" t="str">
        <f>IF($A31=0,"",VLOOKUP($A31,'00_MO'!$A$4:$D$7,3,FALSE))</f>
        <v/>
      </c>
      <c r="D31" s="204"/>
      <c r="E31" s="204"/>
      <c r="F31" s="206"/>
      <c r="G31" s="217">
        <f t="shared" si="3"/>
        <v>0</v>
      </c>
      <c r="H31" s="143" t="str">
        <f>IF($A31=0,"",VLOOKUP($A31,'00_MO'!$A$4:$D$7,4,FALSE))</f>
        <v/>
      </c>
      <c r="I31" s="143"/>
    </row>
    <row r="32" ht="14.25" customHeight="1">
      <c r="A32" s="204"/>
      <c r="B32" s="92" t="str">
        <f>IF($A32=0,"",VLOOKUP($A32,'00_MO'!$A$4:$D$7,2,FALSE))</f>
        <v/>
      </c>
      <c r="C32" s="92" t="str">
        <f>IF($A32=0,"",VLOOKUP($A32,'00_MO'!$A$4:$D$7,3,FALSE))</f>
        <v/>
      </c>
      <c r="D32" s="204"/>
      <c r="E32" s="204"/>
      <c r="F32" s="206"/>
      <c r="G32" s="217">
        <f t="shared" si="3"/>
        <v>0</v>
      </c>
      <c r="H32" s="143" t="str">
        <f>IF($A32=0,"",VLOOKUP($A32,'00_MO'!$A$4:$D$7,4,FALSE))</f>
        <v/>
      </c>
      <c r="I32" s="143"/>
    </row>
    <row r="33" ht="14.25" customHeight="1">
      <c r="F33" s="208"/>
      <c r="G33" s="3"/>
      <c r="H33" s="143"/>
      <c r="I33" s="143"/>
    </row>
    <row r="34" ht="14.25" customHeight="1">
      <c r="A34" s="222" t="s">
        <v>987</v>
      </c>
      <c r="B34" s="223"/>
      <c r="C34" s="223"/>
      <c r="D34" s="223"/>
      <c r="E34" s="223"/>
      <c r="F34" s="223"/>
      <c r="G34" s="211"/>
      <c r="H34" s="223"/>
      <c r="I34" s="224">
        <f>SUM(I27:I32)</f>
        <v>6240000</v>
      </c>
    </row>
    <row r="35" ht="14.25" customHeight="1">
      <c r="A35" s="232" t="str">
        <f>$I$3</f>
        <v>m²</v>
      </c>
      <c r="B35" s="233"/>
      <c r="C35" s="233"/>
      <c r="D35" s="233"/>
      <c r="E35" s="233"/>
      <c r="F35" s="233"/>
      <c r="G35" s="21"/>
      <c r="H35" s="233"/>
      <c r="I35" s="205">
        <f>$H$3</f>
        <v>244</v>
      </c>
      <c r="J35" s="92"/>
      <c r="K35" s="92"/>
      <c r="L35" s="92"/>
    </row>
    <row r="36" ht="14.25" customHeight="1">
      <c r="A36" s="234" t="s">
        <v>997</v>
      </c>
      <c r="B36" s="232" t="str">
        <f>A35</f>
        <v>m²</v>
      </c>
      <c r="C36" s="233"/>
      <c r="D36" s="233"/>
      <c r="E36" s="233"/>
      <c r="F36" s="233"/>
      <c r="G36" s="21"/>
      <c r="H36" s="233"/>
      <c r="I36" s="235">
        <f>I34/I35</f>
        <v>25573.77049</v>
      </c>
      <c r="J36" s="92"/>
      <c r="K36" s="92"/>
      <c r="L36" s="92"/>
    </row>
    <row r="37" ht="14.25" customHeight="1">
      <c r="G37" s="3"/>
      <c r="I37" s="151"/>
    </row>
    <row r="38" ht="14.25" customHeight="1">
      <c r="G38" s="3"/>
    </row>
    <row r="39" ht="14.25" customHeight="1">
      <c r="A39" s="201" t="s">
        <v>1000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02" t="s">
        <v>988</v>
      </c>
      <c r="B40" s="202" t="s">
        <v>989</v>
      </c>
      <c r="C40" s="202" t="s">
        <v>990</v>
      </c>
      <c r="D40" s="202" t="s">
        <v>991</v>
      </c>
      <c r="E40" s="202" t="s">
        <v>999</v>
      </c>
      <c r="F40" s="202" t="s">
        <v>992</v>
      </c>
      <c r="G40" s="4" t="s">
        <v>993</v>
      </c>
      <c r="H40" s="202" t="s">
        <v>994</v>
      </c>
      <c r="I40" s="202" t="s">
        <v>995</v>
      </c>
    </row>
    <row r="41" ht="14.25" customHeight="1">
      <c r="A41" s="204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04"/>
      <c r="E41" s="204"/>
      <c r="F41" s="206"/>
      <c r="G41" s="217">
        <f t="shared" ref="G41:G46" si="5">ROUNDUP(((D41*E41)*(1+F41)),0)</f>
        <v>0</v>
      </c>
      <c r="H41" s="143" t="str">
        <f>IF($A41=0,"",VLOOKUP($A41,'00_Eq'!$A$4:$D$100,4,FALSE))</f>
        <v/>
      </c>
      <c r="I41" s="143"/>
    </row>
    <row r="42" ht="14.25" customHeight="1">
      <c r="A42" s="204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04"/>
      <c r="E42" s="204"/>
      <c r="F42" s="206"/>
      <c r="G42" s="217">
        <f t="shared" si="5"/>
        <v>0</v>
      </c>
      <c r="H42" s="143" t="str">
        <f>IF($A42=0,"",VLOOKUP($A42,'00_Eq'!$A$4:$D$100,4,FALSE))</f>
        <v/>
      </c>
      <c r="I42" s="143"/>
    </row>
    <row r="43" ht="14.25" customHeight="1">
      <c r="A43" s="204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04"/>
      <c r="E43" s="204"/>
      <c r="F43" s="206"/>
      <c r="G43" s="217">
        <f t="shared" si="5"/>
        <v>0</v>
      </c>
      <c r="H43" s="143" t="str">
        <f>IF($A43=0,"",VLOOKUP($A43,'00_Eq'!$A$4:$D$100,4,FALSE))</f>
        <v/>
      </c>
      <c r="I43" s="143"/>
    </row>
    <row r="44" ht="14.25" customHeight="1">
      <c r="A44" s="204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04"/>
      <c r="E44" s="204"/>
      <c r="F44" s="206"/>
      <c r="G44" s="217">
        <f t="shared" si="5"/>
        <v>0</v>
      </c>
      <c r="H44" s="143" t="str">
        <f>IF($A44=0,"",VLOOKUP($A44,'00_Eq'!$A$4:$D$100,4,FALSE))</f>
        <v/>
      </c>
      <c r="I44" s="143"/>
    </row>
    <row r="45" ht="14.25" customHeight="1">
      <c r="A45" s="204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04"/>
      <c r="E45" s="204"/>
      <c r="F45" s="206"/>
      <c r="G45" s="217">
        <f t="shared" si="5"/>
        <v>0</v>
      </c>
      <c r="H45" s="143" t="str">
        <f>IF($A45=0,"",VLOOKUP($A45,'00_Eq'!$A$4:$D$100,4,FALSE))</f>
        <v/>
      </c>
      <c r="I45" s="143"/>
    </row>
    <row r="46" ht="14.25" customHeight="1">
      <c r="A46" s="204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04"/>
      <c r="E46" s="204"/>
      <c r="F46" s="206"/>
      <c r="G46" s="217">
        <f t="shared" si="5"/>
        <v>0</v>
      </c>
      <c r="H46" s="143" t="str">
        <f>IF($A46=0,"",VLOOKUP($A46,'00_Eq'!$A$4:$D$100,4,FALSE))</f>
        <v/>
      </c>
      <c r="I46" s="143"/>
    </row>
    <row r="47" ht="14.25" customHeight="1">
      <c r="F47" s="208"/>
      <c r="G47" s="3"/>
      <c r="H47" s="143"/>
      <c r="I47" s="143"/>
    </row>
    <row r="48" ht="14.25" customHeight="1">
      <c r="A48" s="222" t="s">
        <v>987</v>
      </c>
      <c r="B48" s="223"/>
      <c r="C48" s="223"/>
      <c r="D48" s="223"/>
      <c r="E48" s="223"/>
      <c r="F48" s="223"/>
      <c r="G48" s="211"/>
      <c r="H48" s="223"/>
      <c r="I48" s="224">
        <f>SUM(I41:I46)</f>
        <v>0</v>
      </c>
    </row>
    <row r="49" ht="14.25" customHeight="1">
      <c r="A49" s="232" t="str">
        <f>$I$3</f>
        <v>m²</v>
      </c>
      <c r="B49" s="233"/>
      <c r="C49" s="233"/>
      <c r="D49" s="233"/>
      <c r="E49" s="233"/>
      <c r="F49" s="233"/>
      <c r="G49" s="21"/>
      <c r="H49" s="233"/>
      <c r="I49" s="205">
        <f>$H$3</f>
        <v>244</v>
      </c>
      <c r="J49" s="92"/>
      <c r="K49" s="92"/>
      <c r="L49" s="92"/>
    </row>
    <row r="50" ht="14.25" customHeight="1">
      <c r="A50" s="234" t="s">
        <v>997</v>
      </c>
      <c r="B50" s="232" t="str">
        <f>A49</f>
        <v>m²</v>
      </c>
      <c r="C50" s="233"/>
      <c r="D50" s="233"/>
      <c r="E50" s="233"/>
      <c r="F50" s="233"/>
      <c r="G50" s="21"/>
      <c r="H50" s="233"/>
      <c r="I50" s="235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01" t="s">
        <v>1010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02" t="s">
        <v>988</v>
      </c>
      <c r="B54" s="202" t="s">
        <v>989</v>
      </c>
      <c r="C54" s="202" t="s">
        <v>990</v>
      </c>
      <c r="D54" s="202" t="s">
        <v>991</v>
      </c>
      <c r="E54" s="202"/>
      <c r="F54" s="202" t="s">
        <v>992</v>
      </c>
      <c r="G54" s="4" t="s">
        <v>993</v>
      </c>
      <c r="H54" s="202" t="s">
        <v>994</v>
      </c>
      <c r="I54" s="202" t="s">
        <v>995</v>
      </c>
    </row>
    <row r="55" ht="14.25" customHeight="1">
      <c r="A55" s="204"/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05"/>
      <c r="E55" s="204"/>
      <c r="F55" s="206"/>
      <c r="G55" s="221">
        <f t="shared" ref="G55:G60" si="6">ROUNDUP((D55+(D55*F55)),0)</f>
        <v>0</v>
      </c>
      <c r="H55" s="143" t="str">
        <f>IF($A55=0,"",VLOOKUP($A55,'00_Mat'!$A$4:$J$1135,5,FALSE))</f>
        <v/>
      </c>
      <c r="I55" s="143"/>
    </row>
    <row r="56" ht="14.25" customHeight="1">
      <c r="A56" s="204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05"/>
      <c r="E56" s="204"/>
      <c r="F56" s="206"/>
      <c r="G56" s="221">
        <f t="shared" si="6"/>
        <v>0</v>
      </c>
      <c r="H56" s="143" t="str">
        <f>IF($A56=0,"",VLOOKUP($A56,'00_Mat'!$A$4:$J$1135,5,FALSE))</f>
        <v/>
      </c>
      <c r="I56" s="143"/>
    </row>
    <row r="57" ht="14.25" customHeight="1">
      <c r="A57" s="204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05"/>
      <c r="E57" s="204"/>
      <c r="F57" s="206"/>
      <c r="G57" s="221">
        <f t="shared" si="6"/>
        <v>0</v>
      </c>
      <c r="H57" s="143" t="str">
        <f>IF($A57=0,"",VLOOKUP($A57,'00_Mat'!$A$4:$J$1135,5,FALSE))</f>
        <v/>
      </c>
      <c r="I57" s="143"/>
    </row>
    <row r="58" ht="14.25" customHeight="1">
      <c r="A58" s="204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05"/>
      <c r="E58" s="204"/>
      <c r="F58" s="206"/>
      <c r="G58" s="221">
        <f t="shared" si="6"/>
        <v>0</v>
      </c>
      <c r="H58" s="143" t="str">
        <f>IF($A58=0,"",VLOOKUP($A58,'00_Mat'!$A$4:$J$1135,5,FALSE))</f>
        <v/>
      </c>
      <c r="I58" s="143"/>
    </row>
    <row r="59" ht="14.25" customHeight="1">
      <c r="A59" s="204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05"/>
      <c r="E59" s="204"/>
      <c r="F59" s="206"/>
      <c r="G59" s="221">
        <f t="shared" si="6"/>
        <v>0</v>
      </c>
      <c r="H59" s="143" t="str">
        <f>IF($A59=0,"",VLOOKUP($A59,'00_Mat'!$A$4:$J$1135,5,FALSE))</f>
        <v/>
      </c>
      <c r="I59" s="143"/>
    </row>
    <row r="60" ht="14.25" customHeight="1">
      <c r="A60" s="204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05"/>
      <c r="E60" s="204"/>
      <c r="F60" s="206"/>
      <c r="G60" s="221">
        <f t="shared" si="6"/>
        <v>0</v>
      </c>
      <c r="H60" s="143" t="str">
        <f>IF($A60=0,"",VLOOKUP($A60,'00_Mat'!$A$4:$J$1135,5,FALSE))</f>
        <v/>
      </c>
      <c r="I60" s="143"/>
    </row>
    <row r="61" ht="14.25" customHeight="1">
      <c r="F61" s="208"/>
      <c r="G61" s="3"/>
      <c r="H61" s="143"/>
      <c r="I61" s="143"/>
    </row>
    <row r="62" ht="14.25" customHeight="1">
      <c r="A62" s="222" t="s">
        <v>987</v>
      </c>
      <c r="B62" s="223"/>
      <c r="C62" s="223"/>
      <c r="D62" s="223"/>
      <c r="E62" s="223"/>
      <c r="F62" s="223"/>
      <c r="G62" s="211"/>
      <c r="H62" s="223"/>
      <c r="I62" s="224">
        <f>SUM(I55:I60)</f>
        <v>0</v>
      </c>
    </row>
    <row r="63" ht="14.25" customHeight="1">
      <c r="A63" s="232" t="str">
        <f>$I$3</f>
        <v>m²</v>
      </c>
      <c r="B63" s="233"/>
      <c r="C63" s="233"/>
      <c r="D63" s="233"/>
      <c r="E63" s="233"/>
      <c r="F63" s="233"/>
      <c r="G63" s="21"/>
      <c r="H63" s="233"/>
      <c r="I63" s="205">
        <f>$H$3</f>
        <v>244</v>
      </c>
      <c r="J63" s="92"/>
      <c r="K63" s="92"/>
      <c r="L63" s="92"/>
    </row>
    <row r="64" ht="14.25" customHeight="1">
      <c r="A64" s="234" t="s">
        <v>997</v>
      </c>
      <c r="B64" s="232" t="str">
        <f>A63</f>
        <v>m²</v>
      </c>
      <c r="C64" s="233"/>
      <c r="D64" s="233"/>
      <c r="E64" s="233"/>
      <c r="F64" s="233"/>
      <c r="G64" s="21"/>
      <c r="H64" s="233"/>
      <c r="I64" s="235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01" t="s">
        <v>1025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02" t="s">
        <v>988</v>
      </c>
      <c r="B68" s="202" t="s">
        <v>989</v>
      </c>
      <c r="C68" s="202" t="s">
        <v>990</v>
      </c>
      <c r="D68" s="202" t="s">
        <v>991</v>
      </c>
      <c r="E68" s="202" t="s">
        <v>999</v>
      </c>
      <c r="F68" s="202" t="s">
        <v>992</v>
      </c>
      <c r="G68" s="4" t="s">
        <v>993</v>
      </c>
      <c r="H68" s="202" t="s">
        <v>994</v>
      </c>
      <c r="I68" s="202" t="s">
        <v>995</v>
      </c>
    </row>
    <row r="69" ht="14.25" customHeight="1">
      <c r="A69" s="204"/>
      <c r="B69" s="92" t="str">
        <f>IF($A69=0,"",VLOOKUP($A69,'00_Sub'!$A$4:$D$1007,2,FALSE))</f>
        <v/>
      </c>
      <c r="C69" s="92" t="str">
        <f>IF($A69=0,"",VLOOKUP($A69,'00_Sub'!$A$4:$D$1007,3,FALSE))</f>
        <v/>
      </c>
      <c r="D69" s="204"/>
      <c r="E69" s="204"/>
      <c r="F69" s="206"/>
      <c r="G69" s="221">
        <f t="shared" ref="G69:G74" si="7">ROUNDUP((D69+(D69*F69)),0)</f>
        <v>0</v>
      </c>
      <c r="H69" s="143" t="str">
        <f>IF($A69=0,"",VLOOKUP($A69,'00_Sub'!$A$4:$D$1007,4,FALSE))</f>
        <v/>
      </c>
      <c r="I69" s="143"/>
    </row>
    <row r="70" ht="14.25" customHeight="1">
      <c r="A70" s="204"/>
      <c r="B70" s="92" t="str">
        <f>IF($A70=0,"",VLOOKUP($A70,'00_Sub'!$A$4:$D$1007,2,FALSE))</f>
        <v/>
      </c>
      <c r="C70" s="92" t="str">
        <f>IF($A70=0,"",VLOOKUP($A70,'00_Sub'!$A$4:$D$1007,3,FALSE))</f>
        <v/>
      </c>
      <c r="D70" s="204"/>
      <c r="E70" s="204"/>
      <c r="F70" s="206"/>
      <c r="G70" s="221">
        <f t="shared" si="7"/>
        <v>0</v>
      </c>
      <c r="H70" s="143" t="str">
        <f>IF($A70=0,"",VLOOKUP($A70,'00_Sub'!$A$4:$D$1007,4,FALSE))</f>
        <v/>
      </c>
      <c r="I70" s="143"/>
    </row>
    <row r="71" ht="14.25" customHeight="1">
      <c r="A71" s="204"/>
      <c r="B71" s="92" t="str">
        <f>IF($A71=0,"",VLOOKUP($A71,'00_Sub'!$A$4:$D$1007,2,FALSE))</f>
        <v/>
      </c>
      <c r="C71" s="92" t="str">
        <f>IF($A71=0,"",VLOOKUP($A71,'00_Sub'!$A$4:$D$1007,3,FALSE))</f>
        <v/>
      </c>
      <c r="D71" s="204"/>
      <c r="E71" s="204"/>
      <c r="F71" s="206"/>
      <c r="G71" s="221">
        <f t="shared" si="7"/>
        <v>0</v>
      </c>
      <c r="H71" s="143" t="str">
        <f>IF($A71=0,"",VLOOKUP($A71,'00_Sub'!$A$4:$D$1007,4,FALSE))</f>
        <v/>
      </c>
      <c r="I71" s="143"/>
    </row>
    <row r="72" ht="14.25" customHeight="1">
      <c r="A72" s="204"/>
      <c r="B72" s="92" t="str">
        <f>IF($A72=0,"",VLOOKUP($A72,'00_Sub'!$A$4:$D$1007,2,FALSE))</f>
        <v/>
      </c>
      <c r="C72" s="92" t="str">
        <f>IF($A72=0,"",VLOOKUP($A72,'00_Sub'!$A$4:$D$1007,3,FALSE))</f>
        <v/>
      </c>
      <c r="D72" s="204"/>
      <c r="E72" s="204"/>
      <c r="F72" s="206"/>
      <c r="G72" s="221">
        <f t="shared" si="7"/>
        <v>0</v>
      </c>
      <c r="H72" s="143" t="str">
        <f>IF($A72=0,"",VLOOKUP($A72,'00_Sub'!$A$4:$D$1007,4,FALSE))</f>
        <v/>
      </c>
      <c r="I72" s="143"/>
    </row>
    <row r="73" ht="14.25" customHeight="1">
      <c r="A73" s="204"/>
      <c r="B73" s="92" t="str">
        <f>IF($A73=0,"",VLOOKUP($A73,'00_Sub'!$A$4:$D$1007,2,FALSE))</f>
        <v/>
      </c>
      <c r="C73" s="92" t="str">
        <f>IF($A73=0,"",VLOOKUP($A73,'00_Sub'!$A$4:$D$1007,3,FALSE))</f>
        <v/>
      </c>
      <c r="D73" s="204"/>
      <c r="E73" s="204"/>
      <c r="F73" s="206"/>
      <c r="G73" s="221">
        <f t="shared" si="7"/>
        <v>0</v>
      </c>
      <c r="H73" s="143" t="str">
        <f>IF($A73=0,"",VLOOKUP($A73,'00_Sub'!$A$4:$D$1007,4,FALSE))</f>
        <v/>
      </c>
      <c r="I73" s="143"/>
    </row>
    <row r="74" ht="14.25" customHeight="1">
      <c r="A74" s="204"/>
      <c r="B74" s="92" t="str">
        <f>IF($A74=0,"",VLOOKUP($A74,'00_Sub'!$A$4:$D$1007,2,FALSE))</f>
        <v/>
      </c>
      <c r="C74" s="92" t="str">
        <f>IF($A74=0,"",VLOOKUP($A74,'00_Sub'!$A$4:$D$1007,3,FALSE))</f>
        <v/>
      </c>
      <c r="D74" s="204"/>
      <c r="E74" s="204"/>
      <c r="F74" s="206"/>
      <c r="G74" s="221">
        <f t="shared" si="7"/>
        <v>0</v>
      </c>
      <c r="H74" s="143" t="str">
        <f>IF($A74=0,"",VLOOKUP($A74,'00_Sub'!$A$4:$D$1007,4,FALSE))</f>
        <v/>
      </c>
      <c r="I74" s="143"/>
    </row>
    <row r="75" ht="14.25" customHeight="1">
      <c r="F75" s="208"/>
      <c r="G75" s="3"/>
      <c r="H75" s="143"/>
      <c r="I75" s="143"/>
    </row>
    <row r="76" ht="14.25" customHeight="1">
      <c r="A76" s="222" t="s">
        <v>987</v>
      </c>
      <c r="B76" s="223"/>
      <c r="C76" s="223"/>
      <c r="D76" s="223"/>
      <c r="E76" s="223"/>
      <c r="F76" s="223"/>
      <c r="G76" s="211"/>
      <c r="H76" s="223"/>
      <c r="I76" s="224">
        <f>SUM(I69:I74)</f>
        <v>0</v>
      </c>
    </row>
    <row r="77" ht="14.25" customHeight="1">
      <c r="A77" s="232" t="str">
        <f>$I$3</f>
        <v>m²</v>
      </c>
      <c r="B77" s="233"/>
      <c r="C77" s="233"/>
      <c r="D77" s="233"/>
      <c r="E77" s="233"/>
      <c r="F77" s="233"/>
      <c r="G77" s="21"/>
      <c r="H77" s="233"/>
      <c r="I77" s="205">
        <f>$H$3</f>
        <v>244</v>
      </c>
      <c r="J77" s="92"/>
      <c r="K77" s="92"/>
      <c r="L77" s="92"/>
    </row>
    <row r="78" ht="14.25" customHeight="1">
      <c r="A78" s="234" t="s">
        <v>997</v>
      </c>
      <c r="B78" s="232" t="str">
        <f>A77</f>
        <v>m²</v>
      </c>
      <c r="C78" s="233"/>
      <c r="D78" s="233"/>
      <c r="E78" s="233"/>
      <c r="F78" s="233"/>
      <c r="G78" s="21"/>
      <c r="H78" s="233"/>
      <c r="I78" s="235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2"/>
  <legacy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86"/>
    <col customWidth="1" min="10" max="12" width="8.71"/>
  </cols>
  <sheetData>
    <row r="1" ht="33.75" customHeight="1">
      <c r="A1" s="91" t="str">
        <f>'01_C&amp;P'!A1</f>
        <v>EDIFICIO LAS HERAS</v>
      </c>
      <c r="B1" s="91"/>
      <c r="C1" s="91"/>
      <c r="G1" s="3"/>
    </row>
    <row r="2" ht="14.25" customHeight="1">
      <c r="G2" s="3"/>
    </row>
    <row r="3" ht="23.25" customHeight="1">
      <c r="A3" s="195">
        <f>'01_C&amp;P'!A55</f>
        <v>46237</v>
      </c>
      <c r="B3" s="196" t="str">
        <f>IF($A3=0,"",VLOOKUP($A3,'01_C&amp;P'!$A$9:$D$192,2,FALSE))</f>
        <v>REVOQUE EXTERIOR (GRUESO FRATAZADO) CON HIDROFUGO.</v>
      </c>
      <c r="C3" s="197"/>
      <c r="D3" s="197"/>
      <c r="E3" s="197"/>
      <c r="F3" s="197"/>
      <c r="G3" s="198"/>
      <c r="H3" s="199">
        <f>IF($A3=0,"",VLOOKUP($A3,'01_C&amp;P'!$A$9:$D$192,4,FALSE))</f>
        <v>284</v>
      </c>
      <c r="I3" s="200" t="str">
        <f>IF($A3=0,"",VLOOKUP($A3,'01_C&amp;P'!$A$9:$D$192,3,FALSE))</f>
        <v>m²</v>
      </c>
    </row>
    <row r="4" ht="14.25" customHeight="1">
      <c r="G4" s="3"/>
    </row>
    <row r="5" ht="14.25" customHeight="1">
      <c r="A5" s="201" t="s">
        <v>0</v>
      </c>
      <c r="B5" s="94"/>
      <c r="C5" s="94"/>
      <c r="D5" s="94"/>
      <c r="E5" s="94"/>
      <c r="F5" s="94"/>
      <c r="G5" s="2"/>
      <c r="H5" s="94"/>
      <c r="I5" s="94"/>
      <c r="L5" s="153" t="s">
        <v>48</v>
      </c>
    </row>
    <row r="6" ht="14.25" customHeight="1">
      <c r="A6" s="202" t="s">
        <v>988</v>
      </c>
      <c r="B6" s="202" t="s">
        <v>989</v>
      </c>
      <c r="C6" s="202" t="s">
        <v>990</v>
      </c>
      <c r="D6" s="203" t="s">
        <v>991</v>
      </c>
      <c r="E6" s="197"/>
      <c r="F6" s="202" t="s">
        <v>992</v>
      </c>
      <c r="G6" s="4" t="s">
        <v>993</v>
      </c>
      <c r="H6" s="202" t="s">
        <v>994</v>
      </c>
      <c r="I6" s="202" t="s">
        <v>995</v>
      </c>
      <c r="L6" s="251">
        <f>H3</f>
        <v>284</v>
      </c>
    </row>
    <row r="7" ht="14.25" customHeight="1">
      <c r="A7" s="254" t="s">
        <v>11</v>
      </c>
      <c r="B7" s="3" t="str">
        <f>IF($A7=0,"",VLOOKUP($A7,'00_Mat'!$A$4:$J$1134,2,FALSE))</f>
        <v>Bolson de Arena (1m3) </v>
      </c>
      <c r="C7" s="3" t="str">
        <f>IF($A7=0,"",VLOOKUP($A7,'00_Mat'!$A$4:$J$1134,3,FALSE))</f>
        <v>m3</v>
      </c>
      <c r="D7" s="256">
        <f>L6*(0.017+0.006)</f>
        <v>6.532</v>
      </c>
      <c r="E7" s="254"/>
      <c r="F7" s="259">
        <v>0.1</v>
      </c>
      <c r="G7" s="221">
        <f t="shared" ref="G7:G10" si="1">ROUNDUP((D7+(D7*F7)),0)</f>
        <v>8</v>
      </c>
      <c r="H7" s="14">
        <f>IF($A7=0,"",VLOOKUP($A7,'00_Mat'!$A$4:$J$1134,5,FALSE))</f>
        <v>33470</v>
      </c>
      <c r="I7" s="14">
        <f t="shared" ref="I7:I10" si="2">G7*H7</f>
        <v>267760</v>
      </c>
      <c r="J7" s="10"/>
    </row>
    <row r="8" ht="14.25" customHeight="1">
      <c r="A8" s="254" t="s">
        <v>19</v>
      </c>
      <c r="B8" s="3" t="str">
        <f>IF($A8=0,"",VLOOKUP($A8,'00_Mat'!$A$4:$J$1134,2,FALSE))</f>
        <v>Bolsa Cemento "Loma Negra" 25 k (u)</v>
      </c>
      <c r="C8" s="3" t="str">
        <f>IF($A8=0,"",VLOOKUP($A8,'00_Mat'!$A$4:$J$1134,3,FALSE))</f>
        <v>u</v>
      </c>
      <c r="D8" s="256">
        <f>(L6*(1.85+0.45)/25)</f>
        <v>26.128</v>
      </c>
      <c r="E8" s="254"/>
      <c r="F8" s="259">
        <v>0.1</v>
      </c>
      <c r="G8" s="221">
        <f t="shared" si="1"/>
        <v>29</v>
      </c>
      <c r="H8" s="14">
        <f>IF($A8=0,"",VLOOKUP($A8,'00_Mat'!$A$4:$J$1134,5,FALSE))</f>
        <v>7000</v>
      </c>
      <c r="I8" s="14">
        <f t="shared" si="2"/>
        <v>203000</v>
      </c>
      <c r="J8" s="260"/>
    </row>
    <row r="9" ht="14.25" customHeight="1">
      <c r="A9" s="254" t="s">
        <v>25</v>
      </c>
      <c r="B9" s="3" t="str">
        <f>IF($A9=0,"",VLOOKUP($A9,'00_Mat'!$A$4:$J$1134,2,FALSE))</f>
        <v>Bolsa Cal "Cacique" 25 k (u)</v>
      </c>
      <c r="C9" s="3" t="str">
        <f>IF($A9=0,"",VLOOKUP($A9,'00_Mat'!$A$4:$J$1134,3,FALSE))</f>
        <v>u</v>
      </c>
      <c r="D9" s="256">
        <f>(L6*(3.53+1.6)/25)</f>
        <v>58.2768</v>
      </c>
      <c r="E9" s="254"/>
      <c r="F9" s="259">
        <v>0.1</v>
      </c>
      <c r="G9" s="221">
        <f t="shared" si="1"/>
        <v>65</v>
      </c>
      <c r="H9" s="14">
        <f>IF($A9=0,"",VLOOKUP($A9,'00_Mat'!$A$4:$J$1134,5,FALSE))</f>
        <v>5371.900826</v>
      </c>
      <c r="I9" s="14">
        <f t="shared" si="2"/>
        <v>349173.5537</v>
      </c>
      <c r="J9" s="260"/>
    </row>
    <row r="10" ht="14.25" customHeight="1">
      <c r="A10" s="254" t="s">
        <v>29</v>
      </c>
      <c r="B10" s="3" t="str">
        <f>IF($A10=0,"",VLOOKUP($A10,'00_Mat'!$A$4:$J$1134,2,FALSE))</f>
        <v>Ceresita 20 k (u)</v>
      </c>
      <c r="C10" s="3" t="str">
        <f>IF($A10=0,"",VLOOKUP($A10,'00_Mat'!$A$4:$J$1134,3,FALSE))</f>
        <v>u</v>
      </c>
      <c r="D10" s="256">
        <f>(0.4*L6)/20</f>
        <v>5.68</v>
      </c>
      <c r="E10" s="254"/>
      <c r="F10" s="259">
        <v>0.1</v>
      </c>
      <c r="G10" s="221">
        <f t="shared" si="1"/>
        <v>7</v>
      </c>
      <c r="H10" s="14">
        <f>IF($A10=0,"",VLOOKUP($A10,'00_Mat'!$A$4:$J$1134,5,FALSE))</f>
        <v>37190.08264</v>
      </c>
      <c r="I10" s="14">
        <f t="shared" si="2"/>
        <v>260330.5785</v>
      </c>
      <c r="J10" s="260" t="s">
        <v>1063</v>
      </c>
    </row>
    <row r="11" ht="14.25" customHeight="1">
      <c r="A11" s="204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04"/>
      <c r="E11" s="204"/>
      <c r="F11" s="206"/>
      <c r="G11" s="221">
        <f t="shared" ref="G11:G18" si="3">ROUNDUP((D11+(D11*F11)),0)</f>
        <v>0</v>
      </c>
      <c r="H11" s="143" t="str">
        <f>IF($A11=0,"",VLOOKUP($A11,'00_Mat'!$A$4:$J$1135,5,FALSE))</f>
        <v/>
      </c>
      <c r="I11" s="143"/>
    </row>
    <row r="12" ht="14.25" customHeight="1">
      <c r="A12" s="204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04"/>
      <c r="E12" s="204"/>
      <c r="F12" s="206"/>
      <c r="G12" s="221">
        <f t="shared" si="3"/>
        <v>0</v>
      </c>
      <c r="H12" s="143" t="str">
        <f>IF($A12=0,"",VLOOKUP($A12,'00_Mat'!$A$4:$J$1135,5,FALSE))</f>
        <v/>
      </c>
      <c r="I12" s="143"/>
    </row>
    <row r="13" ht="14.25" customHeight="1">
      <c r="A13" s="204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04"/>
      <c r="E13" s="204"/>
      <c r="F13" s="206"/>
      <c r="G13" s="221">
        <f t="shared" si="3"/>
        <v>0</v>
      </c>
      <c r="H13" s="143" t="str">
        <f>IF($A13=0,"",VLOOKUP($A13,'00_Mat'!$A$4:$J$1135,5,FALSE))</f>
        <v/>
      </c>
      <c r="I13" s="143"/>
    </row>
    <row r="14" ht="14.25" customHeight="1">
      <c r="A14" s="204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04"/>
      <c r="E14" s="204"/>
      <c r="F14" s="206"/>
      <c r="G14" s="221">
        <f t="shared" si="3"/>
        <v>0</v>
      </c>
      <c r="H14" s="143" t="str">
        <f>IF($A14=0,"",VLOOKUP($A14,'00_Mat'!$A$4:$J$1135,5,FALSE))</f>
        <v/>
      </c>
      <c r="I14" s="143"/>
    </row>
    <row r="15" ht="14.25" customHeight="1">
      <c r="A15" s="204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04"/>
      <c r="E15" s="204"/>
      <c r="F15" s="206"/>
      <c r="G15" s="221">
        <f t="shared" si="3"/>
        <v>0</v>
      </c>
      <c r="H15" s="143" t="str">
        <f>IF($A15=0,"",VLOOKUP($A15,'00_Mat'!$A$4:$J$1135,5,FALSE))</f>
        <v/>
      </c>
      <c r="I15" s="143"/>
    </row>
    <row r="16" ht="14.25" customHeight="1">
      <c r="A16" s="204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04"/>
      <c r="E16" s="204"/>
      <c r="F16" s="206"/>
      <c r="G16" s="221">
        <f t="shared" si="3"/>
        <v>0</v>
      </c>
      <c r="H16" s="143" t="str">
        <f>IF($A16=0,"",VLOOKUP($A16,'00_Mat'!$A$4:$J$1135,5,FALSE))</f>
        <v/>
      </c>
      <c r="I16" s="143"/>
    </row>
    <row r="17" ht="14.25" customHeight="1">
      <c r="A17" s="204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04"/>
      <c r="E17" s="204"/>
      <c r="F17" s="206"/>
      <c r="G17" s="221">
        <f t="shared" si="3"/>
        <v>0</v>
      </c>
      <c r="H17" s="143" t="str">
        <f>IF($A17=0,"",VLOOKUP($A17,'00_Mat'!$A$4:$J$1135,5,FALSE))</f>
        <v/>
      </c>
      <c r="I17" s="143"/>
    </row>
    <row r="18" ht="14.25" customHeight="1">
      <c r="A18" s="204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04"/>
      <c r="E18" s="204"/>
      <c r="F18" s="206"/>
      <c r="G18" s="221">
        <f t="shared" si="3"/>
        <v>0</v>
      </c>
      <c r="H18" s="143" t="str">
        <f>IF($A18=0,"",VLOOKUP($A18,'00_Mat'!$A$4:$J$1135,5,FALSE))</f>
        <v/>
      </c>
      <c r="I18" s="143"/>
    </row>
    <row r="19" ht="14.25" customHeight="1">
      <c r="F19" s="208"/>
      <c r="G19" s="3"/>
      <c r="H19" s="143"/>
      <c r="I19" s="143"/>
    </row>
    <row r="20" ht="14.25" customHeight="1">
      <c r="A20" s="222" t="s">
        <v>996</v>
      </c>
      <c r="B20" s="223"/>
      <c r="C20" s="223"/>
      <c r="D20" s="223"/>
      <c r="E20" s="223"/>
      <c r="F20" s="223"/>
      <c r="G20" s="211"/>
      <c r="H20" s="223"/>
      <c r="I20" s="224">
        <f>SUM(I7:I18)</f>
        <v>1080264.132</v>
      </c>
      <c r="J20" s="92"/>
      <c r="K20" s="92"/>
      <c r="L20" s="92"/>
    </row>
    <row r="21" ht="14.25" customHeight="1">
      <c r="A21" s="232" t="str">
        <f>$I$3</f>
        <v>m²</v>
      </c>
      <c r="B21" s="233"/>
      <c r="C21" s="233"/>
      <c r="D21" s="233"/>
      <c r="E21" s="233"/>
      <c r="F21" s="233"/>
      <c r="G21" s="21"/>
      <c r="H21" s="233"/>
      <c r="I21" s="205">
        <f>$H$3</f>
        <v>284</v>
      </c>
      <c r="J21" s="92"/>
      <c r="K21" s="92"/>
      <c r="L21" s="92"/>
    </row>
    <row r="22" ht="14.25" customHeight="1">
      <c r="A22" s="234" t="s">
        <v>997</v>
      </c>
      <c r="B22" s="232" t="str">
        <f>A21</f>
        <v>m²</v>
      </c>
      <c r="C22" s="233"/>
      <c r="D22" s="233"/>
      <c r="E22" s="233"/>
      <c r="F22" s="233"/>
      <c r="G22" s="21"/>
      <c r="H22" s="233"/>
      <c r="I22" s="235">
        <f>I20/I21</f>
        <v>3803.746944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01" t="s">
        <v>998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02" t="s">
        <v>988</v>
      </c>
      <c r="B26" s="202" t="s">
        <v>989</v>
      </c>
      <c r="C26" s="202" t="s">
        <v>990</v>
      </c>
      <c r="D26" s="202" t="s">
        <v>991</v>
      </c>
      <c r="E26" s="202" t="s">
        <v>999</v>
      </c>
      <c r="F26" s="202" t="s">
        <v>992</v>
      </c>
      <c r="G26" s="4" t="s">
        <v>993</v>
      </c>
      <c r="H26" s="202" t="s">
        <v>994</v>
      </c>
      <c r="I26" s="202" t="s">
        <v>995</v>
      </c>
    </row>
    <row r="27" ht="14.25" customHeight="1">
      <c r="A27" s="204"/>
      <c r="B27" s="92" t="str">
        <f>IF($A27=0,"",VLOOKUP($A27,'00_MO'!$A$4:$D$7,2,FALSE))</f>
        <v/>
      </c>
      <c r="C27" s="92" t="str">
        <f>IF($A27=0,"",VLOOKUP($A27,'00_MO'!$A$4:$D$7,3,FALSE))</f>
        <v/>
      </c>
      <c r="D27" s="204"/>
      <c r="E27" s="204"/>
      <c r="F27" s="206"/>
      <c r="G27" s="217">
        <f t="shared" ref="G27:G32" si="4">ROUNDUP(((D27*E27)*(1+F27)),0)</f>
        <v>0</v>
      </c>
      <c r="H27" s="143" t="str">
        <f>IF($A27=0,"",VLOOKUP($A27,'00_MO'!$A$4:$D$7,4,FALSE))</f>
        <v/>
      </c>
      <c r="I27" s="143"/>
    </row>
    <row r="28" ht="14.25" customHeight="1">
      <c r="A28" s="204"/>
      <c r="B28" s="92" t="str">
        <f>IF($A28=0,"",VLOOKUP($A28,'00_MO'!$A$4:$D$7,2,FALSE))</f>
        <v/>
      </c>
      <c r="C28" s="92" t="str">
        <f>IF($A28=0,"",VLOOKUP($A28,'00_MO'!$A$4:$D$7,3,FALSE))</f>
        <v/>
      </c>
      <c r="D28" s="204"/>
      <c r="E28" s="204"/>
      <c r="F28" s="206"/>
      <c r="G28" s="217">
        <f t="shared" si="4"/>
        <v>0</v>
      </c>
      <c r="H28" s="143" t="str">
        <f>IF($A28=0,"",VLOOKUP($A28,'00_MO'!$A$4:$D$7,4,FALSE))</f>
        <v/>
      </c>
      <c r="I28" s="143"/>
    </row>
    <row r="29" ht="14.25" customHeight="1">
      <c r="A29" s="204"/>
      <c r="B29" s="92" t="str">
        <f>IF($A29=0,"",VLOOKUP($A29,'00_MO'!$A$4:$D$7,2,FALSE))</f>
        <v/>
      </c>
      <c r="C29" s="92" t="str">
        <f>IF($A29=0,"",VLOOKUP($A29,'00_MO'!$A$4:$D$7,3,FALSE))</f>
        <v/>
      </c>
      <c r="D29" s="204"/>
      <c r="E29" s="204"/>
      <c r="F29" s="206"/>
      <c r="G29" s="217">
        <f t="shared" si="4"/>
        <v>0</v>
      </c>
      <c r="H29" s="143" t="str">
        <f>IF($A29=0,"",VLOOKUP($A29,'00_MO'!$A$4:$D$7,4,FALSE))</f>
        <v/>
      </c>
      <c r="I29" s="143"/>
    </row>
    <row r="30" ht="14.25" customHeight="1">
      <c r="A30" s="204"/>
      <c r="B30" s="92" t="str">
        <f>IF($A30=0,"",VLOOKUP($A30,'00_MO'!$A$4:$D$7,2,FALSE))</f>
        <v/>
      </c>
      <c r="C30" s="92" t="str">
        <f>IF($A30=0,"",VLOOKUP($A30,'00_MO'!$A$4:$D$7,3,FALSE))</f>
        <v/>
      </c>
      <c r="D30" s="204"/>
      <c r="E30" s="204"/>
      <c r="F30" s="206"/>
      <c r="G30" s="217">
        <f t="shared" si="4"/>
        <v>0</v>
      </c>
      <c r="H30" s="143" t="str">
        <f>IF($A30=0,"",VLOOKUP($A30,'00_MO'!$A$4:$D$7,4,FALSE))</f>
        <v/>
      </c>
      <c r="I30" s="143"/>
    </row>
    <row r="31" ht="14.25" customHeight="1">
      <c r="A31" s="204"/>
      <c r="B31" s="92" t="str">
        <f>IF($A31=0,"",VLOOKUP($A31,'00_MO'!$A$4:$D$7,2,FALSE))</f>
        <v/>
      </c>
      <c r="C31" s="92" t="str">
        <f>IF($A31=0,"",VLOOKUP($A31,'00_MO'!$A$4:$D$7,3,FALSE))</f>
        <v/>
      </c>
      <c r="D31" s="204"/>
      <c r="E31" s="204"/>
      <c r="F31" s="206"/>
      <c r="G31" s="217">
        <f t="shared" si="4"/>
        <v>0</v>
      </c>
      <c r="H31" s="143" t="str">
        <f>IF($A31=0,"",VLOOKUP($A31,'00_MO'!$A$4:$D$7,4,FALSE))</f>
        <v/>
      </c>
      <c r="I31" s="143"/>
    </row>
    <row r="32" ht="14.25" customHeight="1">
      <c r="A32" s="204"/>
      <c r="B32" s="92" t="str">
        <f>IF($A32=0,"",VLOOKUP($A32,'00_MO'!$A$4:$D$7,2,FALSE))</f>
        <v/>
      </c>
      <c r="C32" s="92" t="str">
        <f>IF($A32=0,"",VLOOKUP($A32,'00_MO'!$A$4:$D$7,3,FALSE))</f>
        <v/>
      </c>
      <c r="D32" s="204"/>
      <c r="E32" s="204"/>
      <c r="F32" s="206"/>
      <c r="G32" s="217">
        <f t="shared" si="4"/>
        <v>0</v>
      </c>
      <c r="H32" s="143" t="str">
        <f>IF($A32=0,"",VLOOKUP($A32,'00_MO'!$A$4:$D$7,4,FALSE))</f>
        <v/>
      </c>
      <c r="I32" s="143"/>
    </row>
    <row r="33" ht="14.25" customHeight="1">
      <c r="F33" s="208"/>
      <c r="G33" s="3"/>
      <c r="H33" s="143"/>
      <c r="I33" s="143"/>
    </row>
    <row r="34" ht="14.25" customHeight="1">
      <c r="A34" s="222" t="s">
        <v>987</v>
      </c>
      <c r="B34" s="223"/>
      <c r="C34" s="223"/>
      <c r="D34" s="223"/>
      <c r="E34" s="223"/>
      <c r="F34" s="223"/>
      <c r="G34" s="211"/>
      <c r="H34" s="223"/>
      <c r="I34" s="224">
        <f>SUM(I27:I32)</f>
        <v>0</v>
      </c>
    </row>
    <row r="35" ht="14.25" customHeight="1">
      <c r="A35" s="232" t="str">
        <f>$I$3</f>
        <v>m²</v>
      </c>
      <c r="B35" s="233"/>
      <c r="C35" s="233"/>
      <c r="D35" s="233"/>
      <c r="E35" s="233"/>
      <c r="F35" s="233"/>
      <c r="G35" s="21"/>
      <c r="H35" s="233"/>
      <c r="I35" s="205">
        <f>$H$3</f>
        <v>284</v>
      </c>
      <c r="J35" s="92"/>
      <c r="K35" s="92"/>
      <c r="L35" s="92"/>
    </row>
    <row r="36" ht="14.25" customHeight="1">
      <c r="A36" s="234" t="s">
        <v>997</v>
      </c>
      <c r="B36" s="232" t="str">
        <f>A35</f>
        <v>m²</v>
      </c>
      <c r="C36" s="233"/>
      <c r="D36" s="233"/>
      <c r="E36" s="233"/>
      <c r="F36" s="233"/>
      <c r="G36" s="21"/>
      <c r="H36" s="233"/>
      <c r="I36" s="235">
        <f>I34/I35</f>
        <v>0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01" t="s">
        <v>1000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02" t="s">
        <v>988</v>
      </c>
      <c r="B40" s="202" t="s">
        <v>989</v>
      </c>
      <c r="C40" s="202" t="s">
        <v>990</v>
      </c>
      <c r="D40" s="202" t="s">
        <v>991</v>
      </c>
      <c r="E40" s="202" t="s">
        <v>999</v>
      </c>
      <c r="F40" s="202" t="s">
        <v>992</v>
      </c>
      <c r="G40" s="4" t="s">
        <v>993</v>
      </c>
      <c r="H40" s="202" t="s">
        <v>994</v>
      </c>
      <c r="I40" s="202" t="s">
        <v>995</v>
      </c>
    </row>
    <row r="41" ht="14.25" customHeight="1">
      <c r="A41" s="204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04"/>
      <c r="E41" s="204"/>
      <c r="F41" s="206"/>
      <c r="G41" s="217">
        <f t="shared" ref="G41:G46" si="5">ROUNDUP(((D41*E41)*(1+F41)),0)</f>
        <v>0</v>
      </c>
      <c r="H41" s="143" t="str">
        <f>IF($A41=0,"",VLOOKUP($A41,'00_Eq'!$A$4:$D$100,4,FALSE))</f>
        <v/>
      </c>
      <c r="I41" s="143"/>
    </row>
    <row r="42" ht="14.25" customHeight="1">
      <c r="A42" s="204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04"/>
      <c r="E42" s="204"/>
      <c r="F42" s="206"/>
      <c r="G42" s="217">
        <f t="shared" si="5"/>
        <v>0</v>
      </c>
      <c r="H42" s="143" t="str">
        <f>IF($A42=0,"",VLOOKUP($A42,'00_Eq'!$A$4:$D$100,4,FALSE))</f>
        <v/>
      </c>
      <c r="I42" s="143"/>
    </row>
    <row r="43" ht="14.25" customHeight="1">
      <c r="A43" s="204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04"/>
      <c r="E43" s="204"/>
      <c r="F43" s="206"/>
      <c r="G43" s="217">
        <f t="shared" si="5"/>
        <v>0</v>
      </c>
      <c r="H43" s="143" t="str">
        <f>IF($A43=0,"",VLOOKUP($A43,'00_Eq'!$A$4:$D$100,4,FALSE))</f>
        <v/>
      </c>
      <c r="I43" s="143"/>
    </row>
    <row r="44" ht="14.25" customHeight="1">
      <c r="A44" s="204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04"/>
      <c r="E44" s="204"/>
      <c r="F44" s="206"/>
      <c r="G44" s="217">
        <f t="shared" si="5"/>
        <v>0</v>
      </c>
      <c r="H44" s="143" t="str">
        <f>IF($A44=0,"",VLOOKUP($A44,'00_Eq'!$A$4:$D$100,4,FALSE))</f>
        <v/>
      </c>
      <c r="I44" s="143"/>
    </row>
    <row r="45" ht="14.25" customHeight="1">
      <c r="A45" s="204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04"/>
      <c r="E45" s="204"/>
      <c r="F45" s="206"/>
      <c r="G45" s="217">
        <f t="shared" si="5"/>
        <v>0</v>
      </c>
      <c r="H45" s="143" t="str">
        <f>IF($A45=0,"",VLOOKUP($A45,'00_Eq'!$A$4:$D$100,4,FALSE))</f>
        <v/>
      </c>
      <c r="I45" s="143"/>
    </row>
    <row r="46" ht="14.25" customHeight="1">
      <c r="A46" s="204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04"/>
      <c r="E46" s="204"/>
      <c r="F46" s="206"/>
      <c r="G46" s="217">
        <f t="shared" si="5"/>
        <v>0</v>
      </c>
      <c r="H46" s="143" t="str">
        <f>IF($A46=0,"",VLOOKUP($A46,'00_Eq'!$A$4:$D$100,4,FALSE))</f>
        <v/>
      </c>
      <c r="I46" s="143"/>
    </row>
    <row r="47" ht="14.25" customHeight="1">
      <c r="F47" s="208"/>
      <c r="G47" s="3"/>
      <c r="H47" s="143"/>
      <c r="I47" s="143"/>
    </row>
    <row r="48" ht="14.25" customHeight="1">
      <c r="A48" s="222" t="s">
        <v>987</v>
      </c>
      <c r="B48" s="223"/>
      <c r="C48" s="223"/>
      <c r="D48" s="223"/>
      <c r="E48" s="223"/>
      <c r="F48" s="223"/>
      <c r="G48" s="211"/>
      <c r="H48" s="223"/>
      <c r="I48" s="224">
        <f>SUM(I41:I46)</f>
        <v>0</v>
      </c>
    </row>
    <row r="49" ht="14.25" customHeight="1">
      <c r="A49" s="232" t="str">
        <f>$I$3</f>
        <v>m²</v>
      </c>
      <c r="B49" s="233"/>
      <c r="C49" s="233"/>
      <c r="D49" s="233"/>
      <c r="E49" s="233"/>
      <c r="F49" s="233"/>
      <c r="G49" s="21"/>
      <c r="H49" s="233"/>
      <c r="I49" s="205">
        <f>$H$3</f>
        <v>284</v>
      </c>
      <c r="J49" s="92"/>
      <c r="K49" s="92"/>
      <c r="L49" s="92"/>
    </row>
    <row r="50" ht="14.25" customHeight="1">
      <c r="A50" s="234" t="s">
        <v>997</v>
      </c>
      <c r="B50" s="232" t="str">
        <f>A49</f>
        <v>m²</v>
      </c>
      <c r="C50" s="233"/>
      <c r="D50" s="233"/>
      <c r="E50" s="233"/>
      <c r="F50" s="233"/>
      <c r="G50" s="21"/>
      <c r="H50" s="233"/>
      <c r="I50" s="235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01" t="s">
        <v>1010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02" t="s">
        <v>988</v>
      </c>
      <c r="B54" s="202" t="s">
        <v>989</v>
      </c>
      <c r="C54" s="202" t="s">
        <v>990</v>
      </c>
      <c r="D54" s="202" t="s">
        <v>991</v>
      </c>
      <c r="E54" s="202"/>
      <c r="F54" s="202" t="s">
        <v>992</v>
      </c>
      <c r="G54" s="4" t="s">
        <v>993</v>
      </c>
      <c r="H54" s="202" t="s">
        <v>994</v>
      </c>
      <c r="I54" s="202" t="s">
        <v>995</v>
      </c>
    </row>
    <row r="55" ht="14.25" customHeight="1">
      <c r="A55" s="204"/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05"/>
      <c r="E55" s="204"/>
      <c r="F55" s="206"/>
      <c r="G55" s="221">
        <f t="shared" ref="G55:G60" si="6">ROUNDUP((D55+(D55*F55)),0)</f>
        <v>0</v>
      </c>
      <c r="H55" s="143" t="str">
        <f>IF($A55=0,"",VLOOKUP($A55,'00_Mat'!$A$4:$J$1135,5,FALSE))</f>
        <v/>
      </c>
      <c r="I55" s="143">
        <f>G55*H55</f>
        <v>0</v>
      </c>
    </row>
    <row r="56" ht="14.25" customHeight="1">
      <c r="A56" s="204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05"/>
      <c r="E56" s="204"/>
      <c r="F56" s="206"/>
      <c r="G56" s="221">
        <f t="shared" si="6"/>
        <v>0</v>
      </c>
      <c r="H56" s="143" t="str">
        <f>IF($A56=0,"",VLOOKUP($A56,'00_Mat'!$A$4:$J$1135,5,FALSE))</f>
        <v/>
      </c>
      <c r="I56" s="143"/>
    </row>
    <row r="57" ht="14.25" customHeight="1">
      <c r="A57" s="204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05"/>
      <c r="E57" s="204"/>
      <c r="F57" s="206"/>
      <c r="G57" s="221">
        <f t="shared" si="6"/>
        <v>0</v>
      </c>
      <c r="H57" s="143" t="str">
        <f>IF($A57=0,"",VLOOKUP($A57,'00_Mat'!$A$4:$J$1135,5,FALSE))</f>
        <v/>
      </c>
      <c r="I57" s="143"/>
    </row>
    <row r="58" ht="14.25" customHeight="1">
      <c r="A58" s="204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05"/>
      <c r="E58" s="204"/>
      <c r="F58" s="206"/>
      <c r="G58" s="221">
        <f t="shared" si="6"/>
        <v>0</v>
      </c>
      <c r="H58" s="143" t="str">
        <f>IF($A58=0,"",VLOOKUP($A58,'00_Mat'!$A$4:$J$1135,5,FALSE))</f>
        <v/>
      </c>
      <c r="I58" s="143"/>
    </row>
    <row r="59" ht="14.25" customHeight="1">
      <c r="A59" s="204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05"/>
      <c r="E59" s="204"/>
      <c r="F59" s="206"/>
      <c r="G59" s="221">
        <f t="shared" si="6"/>
        <v>0</v>
      </c>
      <c r="H59" s="143" t="str">
        <f>IF($A59=0,"",VLOOKUP($A59,'00_Mat'!$A$4:$J$1135,5,FALSE))</f>
        <v/>
      </c>
      <c r="I59" s="143"/>
    </row>
    <row r="60" ht="14.25" customHeight="1">
      <c r="A60" s="204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05"/>
      <c r="E60" s="204"/>
      <c r="F60" s="206"/>
      <c r="G60" s="221">
        <f t="shared" si="6"/>
        <v>0</v>
      </c>
      <c r="H60" s="143" t="str">
        <f>IF($A60=0,"",VLOOKUP($A60,'00_Mat'!$A$4:$J$1135,5,FALSE))</f>
        <v/>
      </c>
      <c r="I60" s="143"/>
    </row>
    <row r="61" ht="14.25" customHeight="1">
      <c r="F61" s="208"/>
      <c r="G61" s="3"/>
      <c r="H61" s="143"/>
      <c r="I61" s="143"/>
    </row>
    <row r="62" ht="14.25" customHeight="1">
      <c r="A62" s="222" t="s">
        <v>987</v>
      </c>
      <c r="B62" s="223"/>
      <c r="C62" s="223"/>
      <c r="D62" s="223"/>
      <c r="E62" s="223"/>
      <c r="F62" s="223"/>
      <c r="G62" s="211"/>
      <c r="H62" s="223"/>
      <c r="I62" s="224">
        <f>SUM(I55:I60)</f>
        <v>0</v>
      </c>
    </row>
    <row r="63" ht="14.25" customHeight="1">
      <c r="A63" s="232" t="str">
        <f>$I$3</f>
        <v>m²</v>
      </c>
      <c r="B63" s="233"/>
      <c r="C63" s="233"/>
      <c r="D63" s="233"/>
      <c r="E63" s="233"/>
      <c r="F63" s="233"/>
      <c r="G63" s="21"/>
      <c r="H63" s="233"/>
      <c r="I63" s="205">
        <f>$H$3</f>
        <v>284</v>
      </c>
      <c r="J63" s="92"/>
      <c r="K63" s="92"/>
      <c r="L63" s="92"/>
    </row>
    <row r="64" ht="14.25" customHeight="1">
      <c r="A64" s="234" t="s">
        <v>997</v>
      </c>
      <c r="B64" s="232" t="str">
        <f>A63</f>
        <v>m²</v>
      </c>
      <c r="C64" s="233"/>
      <c r="D64" s="233"/>
      <c r="E64" s="233"/>
      <c r="F64" s="233"/>
      <c r="G64" s="21"/>
      <c r="H64" s="233"/>
      <c r="I64" s="235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01" t="s">
        <v>1025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02" t="s">
        <v>988</v>
      </c>
      <c r="B68" s="202" t="s">
        <v>989</v>
      </c>
      <c r="C68" s="202" t="s">
        <v>990</v>
      </c>
      <c r="D68" s="202" t="s">
        <v>991</v>
      </c>
      <c r="E68" s="202" t="s">
        <v>999</v>
      </c>
      <c r="F68" s="202" t="s">
        <v>992</v>
      </c>
      <c r="G68" s="4" t="s">
        <v>993</v>
      </c>
      <c r="H68" s="202" t="s">
        <v>994</v>
      </c>
      <c r="I68" s="202" t="s">
        <v>995</v>
      </c>
    </row>
    <row r="69" ht="14.25" customHeight="1">
      <c r="A69" s="20" t="s">
        <v>814</v>
      </c>
      <c r="B69" s="92" t="str">
        <f>IF($A69=0,"",VLOOKUP($A69,'00_Sub'!$A$4:$D$1007,2,FALSE))</f>
        <v>REVOQUE EXTERIOR CON SILLETA. (con ceresita)</v>
      </c>
      <c r="C69" s="92" t="str">
        <f>IF($A69=0,"",VLOOKUP($A69,'00_Sub'!$A$4:$D$1007,3,FALSE))</f>
        <v>m2</v>
      </c>
      <c r="D69" s="205">
        <f>L6</f>
        <v>284</v>
      </c>
      <c r="E69" s="204"/>
      <c r="F69" s="236">
        <v>0.5</v>
      </c>
      <c r="G69" s="221">
        <f t="shared" ref="G69:G74" si="7">ROUNDUP((D69+(D69*F69)),0)</f>
        <v>426</v>
      </c>
      <c r="H69" s="143">
        <f>IF($A69=0,"",VLOOKUP($A69,'00_Sub'!$A$4:$D$1007,4,FALSE))</f>
        <v>25000</v>
      </c>
      <c r="I69" s="143">
        <f>G69*H69</f>
        <v>10650000</v>
      </c>
      <c r="J69" s="153" t="s">
        <v>1069</v>
      </c>
    </row>
    <row r="70" ht="14.25" customHeight="1">
      <c r="A70" s="204"/>
      <c r="B70" s="92" t="str">
        <f>IF($A70=0,"",VLOOKUP($A70,'00_Sub'!$A$4:$D$1007,2,FALSE))</f>
        <v/>
      </c>
      <c r="C70" s="92" t="str">
        <f>IF($A70=0,"",VLOOKUP($A70,'00_Sub'!$A$4:$D$1007,3,FALSE))</f>
        <v/>
      </c>
      <c r="D70" s="204"/>
      <c r="E70" s="204"/>
      <c r="F70" s="206"/>
      <c r="G70" s="221">
        <f t="shared" si="7"/>
        <v>0</v>
      </c>
      <c r="H70" s="143" t="str">
        <f>IF($A70=0,"",VLOOKUP($A70,'00_Sub'!$A$4:$D$1007,4,FALSE))</f>
        <v/>
      </c>
      <c r="I70" s="143"/>
    </row>
    <row r="71" ht="14.25" customHeight="1">
      <c r="A71" s="204"/>
      <c r="B71" s="92" t="str">
        <f>IF($A71=0,"",VLOOKUP($A71,'00_Sub'!$A$4:$D$1007,2,FALSE))</f>
        <v/>
      </c>
      <c r="C71" s="92" t="str">
        <f>IF($A71=0,"",VLOOKUP($A71,'00_Sub'!$A$4:$D$1007,3,FALSE))</f>
        <v/>
      </c>
      <c r="D71" s="204"/>
      <c r="E71" s="204"/>
      <c r="F71" s="206"/>
      <c r="G71" s="221">
        <f t="shared" si="7"/>
        <v>0</v>
      </c>
      <c r="H71" s="143" t="str">
        <f>IF($A71=0,"",VLOOKUP($A71,'00_Sub'!$A$4:$D$1007,4,FALSE))</f>
        <v/>
      </c>
      <c r="I71" s="143"/>
    </row>
    <row r="72" ht="14.25" customHeight="1">
      <c r="A72" s="204"/>
      <c r="B72" s="92" t="str">
        <f>IF($A72=0,"",VLOOKUP($A72,'00_Sub'!$A$4:$D$1007,2,FALSE))</f>
        <v/>
      </c>
      <c r="C72" s="92" t="str">
        <f>IF($A72=0,"",VLOOKUP($A72,'00_Sub'!$A$4:$D$1007,3,FALSE))</f>
        <v/>
      </c>
      <c r="D72" s="204"/>
      <c r="E72" s="204"/>
      <c r="F72" s="206"/>
      <c r="G72" s="221">
        <f t="shared" si="7"/>
        <v>0</v>
      </c>
      <c r="H72" s="143" t="str">
        <f>IF($A72=0,"",VLOOKUP($A72,'00_Sub'!$A$4:$D$1007,4,FALSE))</f>
        <v/>
      </c>
      <c r="I72" s="143"/>
    </row>
    <row r="73" ht="14.25" customHeight="1">
      <c r="A73" s="204"/>
      <c r="B73" s="92" t="str">
        <f>IF($A73=0,"",VLOOKUP($A73,'00_Sub'!$A$4:$D$1007,2,FALSE))</f>
        <v/>
      </c>
      <c r="C73" s="92" t="str">
        <f>IF($A73=0,"",VLOOKUP($A73,'00_Sub'!$A$4:$D$1007,3,FALSE))</f>
        <v/>
      </c>
      <c r="D73" s="204"/>
      <c r="E73" s="204"/>
      <c r="F73" s="206"/>
      <c r="G73" s="221">
        <f t="shared" si="7"/>
        <v>0</v>
      </c>
      <c r="H73" s="143" t="str">
        <f>IF($A73=0,"",VLOOKUP($A73,'00_Sub'!$A$4:$D$1007,4,FALSE))</f>
        <v/>
      </c>
      <c r="I73" s="143"/>
    </row>
    <row r="74" ht="14.25" customHeight="1">
      <c r="A74" s="204"/>
      <c r="B74" s="92" t="str">
        <f>IF($A74=0,"",VLOOKUP($A74,'00_Sub'!$A$4:$D$1007,2,FALSE))</f>
        <v/>
      </c>
      <c r="C74" s="92" t="str">
        <f>IF($A74=0,"",VLOOKUP($A74,'00_Sub'!$A$4:$D$1007,3,FALSE))</f>
        <v/>
      </c>
      <c r="D74" s="204"/>
      <c r="E74" s="204"/>
      <c r="F74" s="206"/>
      <c r="G74" s="221">
        <f t="shared" si="7"/>
        <v>0</v>
      </c>
      <c r="H74" s="143" t="str">
        <f>IF($A74=0,"",VLOOKUP($A74,'00_Sub'!$A$4:$D$1007,4,FALSE))</f>
        <v/>
      </c>
      <c r="I74" s="143"/>
    </row>
    <row r="75" ht="14.25" customHeight="1">
      <c r="F75" s="208"/>
      <c r="G75" s="3"/>
      <c r="H75" s="143"/>
      <c r="I75" s="143"/>
    </row>
    <row r="76" ht="14.25" customHeight="1">
      <c r="A76" s="222" t="s">
        <v>987</v>
      </c>
      <c r="B76" s="223"/>
      <c r="C76" s="223"/>
      <c r="D76" s="223"/>
      <c r="E76" s="223"/>
      <c r="F76" s="223"/>
      <c r="G76" s="211"/>
      <c r="H76" s="223"/>
      <c r="I76" s="224">
        <f>SUM(I69:I74)</f>
        <v>10650000</v>
      </c>
    </row>
    <row r="77" ht="14.25" customHeight="1">
      <c r="A77" s="232" t="str">
        <f>$I$3</f>
        <v>m²</v>
      </c>
      <c r="B77" s="233"/>
      <c r="C77" s="233"/>
      <c r="D77" s="233"/>
      <c r="E77" s="233"/>
      <c r="F77" s="233"/>
      <c r="G77" s="21"/>
      <c r="H77" s="233"/>
      <c r="I77" s="205">
        <f>$H$3</f>
        <v>284</v>
      </c>
      <c r="J77" s="92"/>
      <c r="K77" s="92"/>
      <c r="L77" s="92"/>
    </row>
    <row r="78" ht="14.25" customHeight="1">
      <c r="A78" s="234" t="s">
        <v>997</v>
      </c>
      <c r="B78" s="232" t="str">
        <f>A77</f>
        <v>m²</v>
      </c>
      <c r="C78" s="233"/>
      <c r="D78" s="233"/>
      <c r="E78" s="233"/>
      <c r="F78" s="233"/>
      <c r="G78" s="21"/>
      <c r="H78" s="233"/>
      <c r="I78" s="235">
        <f>I76/I77</f>
        <v>37500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1" width="8.71"/>
    <col customWidth="1" min="12" max="12" width="10.14"/>
    <col customWidth="1" min="13" max="13" width="30.29"/>
  </cols>
  <sheetData>
    <row r="1" ht="33.75" customHeight="1">
      <c r="A1" s="91" t="str">
        <f>'01_C&amp;P'!A1</f>
        <v>EDIFICIO LAS HERAS</v>
      </c>
      <c r="B1" s="91"/>
      <c r="C1" s="91"/>
      <c r="G1" s="3"/>
    </row>
    <row r="2" ht="14.25" customHeight="1">
      <c r="G2" s="3"/>
    </row>
    <row r="3" ht="23.25" customHeight="1">
      <c r="A3" s="195">
        <f>'01_C&amp;P'!A120</f>
        <v>46026</v>
      </c>
      <c r="B3" s="196" t="str">
        <f>IF($A3=0,"",VLOOKUP($A3,'01_C&amp;P'!$A$9:$D$192,2,FALSE))</f>
        <v>COLUMNAS Y TABIQUES</v>
      </c>
      <c r="C3" s="197"/>
      <c r="D3" s="197"/>
      <c r="E3" s="197"/>
      <c r="F3" s="197"/>
      <c r="G3" s="198"/>
      <c r="H3" s="199">
        <f>IF($A3=0,"",VLOOKUP($A3,'01_C&amp;P'!$A$9:$D$192,4,FALSE))</f>
        <v>7</v>
      </c>
      <c r="I3" s="200" t="str">
        <f>IF($A3=0,"",VLOOKUP($A3,'01_C&amp;P'!$A$9:$D$192,3,FALSE))</f>
        <v>m³</v>
      </c>
      <c r="M3" s="246" t="s">
        <v>1064</v>
      </c>
    </row>
    <row r="4" ht="14.25" customHeight="1">
      <c r="G4" s="3"/>
    </row>
    <row r="5" ht="14.25" customHeight="1">
      <c r="A5" s="201" t="s">
        <v>0</v>
      </c>
      <c r="B5" s="94"/>
      <c r="C5" s="94"/>
      <c r="D5" s="94"/>
      <c r="E5" s="94"/>
      <c r="F5" s="94"/>
      <c r="G5" s="2"/>
      <c r="H5" s="94"/>
      <c r="I5" s="94"/>
    </row>
    <row r="6" ht="14.25" customHeight="1">
      <c r="A6" s="202" t="s">
        <v>988</v>
      </c>
      <c r="B6" s="202" t="s">
        <v>989</v>
      </c>
      <c r="C6" s="202" t="s">
        <v>990</v>
      </c>
      <c r="D6" s="203" t="s">
        <v>991</v>
      </c>
      <c r="E6" s="197"/>
      <c r="F6" s="202" t="s">
        <v>992</v>
      </c>
      <c r="G6" s="4" t="s">
        <v>993</v>
      </c>
      <c r="H6" s="202" t="s">
        <v>994</v>
      </c>
      <c r="I6" s="202" t="s">
        <v>995</v>
      </c>
    </row>
    <row r="7" ht="14.25" customHeight="1">
      <c r="A7" s="229" t="s">
        <v>560</v>
      </c>
      <c r="B7" s="92" t="str">
        <f>IF($A7=0,"",VLOOKUP($A7,'00_Mat'!$A$4:$J$1135,2,FALSE))</f>
        <v>Hormigon H30</v>
      </c>
      <c r="C7" s="92" t="str">
        <f>IF($A7=0,"",VLOOKUP($A7,'00_Mat'!$A$4:$J$1135,3,FALSE))</f>
        <v>m3</v>
      </c>
      <c r="D7" s="230">
        <f>H3</f>
        <v>7</v>
      </c>
      <c r="E7" s="204"/>
      <c r="F7" s="206">
        <v>0.1</v>
      </c>
      <c r="G7" s="221">
        <f t="shared" ref="G7:G18" si="1">ROUNDUP((D7+(D7*F7)),0)</f>
        <v>8</v>
      </c>
      <c r="H7" s="143">
        <f>IF($A7=0,"",VLOOKUP($A7,'00_Mat'!$A$4:$J$1135,5,FALSE))</f>
        <v>158000</v>
      </c>
      <c r="I7" s="143">
        <f t="shared" ref="I7:I18" si="2">G7*H7</f>
        <v>1264000</v>
      </c>
      <c r="J7" s="231" t="s">
        <v>548</v>
      </c>
    </row>
    <row r="8" ht="14.25" customHeight="1">
      <c r="A8" s="3" t="s">
        <v>132</v>
      </c>
      <c r="B8" s="92" t="str">
        <f>IF($A8=0,"",VLOOKUP($A8,'00_Mat'!$A$4:$J$1135,2,FALSE))</f>
        <v>Hierros ADN 420 Φ 6 </v>
      </c>
      <c r="C8" s="92" t="str">
        <f>IF($A8=0,"",VLOOKUP($A8,'00_Mat'!$A$4:$J$1135,3,FALSE))</f>
        <v>u</v>
      </c>
      <c r="D8" s="230">
        <v>66.0</v>
      </c>
      <c r="E8" s="204"/>
      <c r="F8" s="206">
        <v>0.1</v>
      </c>
      <c r="G8" s="221">
        <f t="shared" si="1"/>
        <v>73</v>
      </c>
      <c r="H8" s="143">
        <f>IF($A8=0,"",VLOOKUP($A8,'00_Mat'!$A$4:$J$1135,5,FALSE))</f>
        <v>5250</v>
      </c>
      <c r="I8" s="143">
        <f t="shared" si="2"/>
        <v>383250</v>
      </c>
      <c r="J8" s="153" t="s">
        <v>1028</v>
      </c>
    </row>
    <row r="9" ht="14.25" customHeight="1">
      <c r="A9" s="3" t="s">
        <v>134</v>
      </c>
      <c r="B9" s="92" t="str">
        <f>IF($A9=0,"",VLOOKUP($A9,'00_Mat'!$A$4:$J$1135,2,FALSE))</f>
        <v>Hierros ADN 420 Φ 8</v>
      </c>
      <c r="C9" s="92" t="str">
        <f>IF($A9=0,"",VLOOKUP($A9,'00_Mat'!$A$4:$J$1135,3,FALSE))</f>
        <v>u</v>
      </c>
      <c r="D9" s="229">
        <v>9.0</v>
      </c>
      <c r="E9" s="204"/>
      <c r="F9" s="206">
        <v>0.1</v>
      </c>
      <c r="G9" s="221">
        <f t="shared" si="1"/>
        <v>10</v>
      </c>
      <c r="H9" s="143">
        <f>IF($A9=0,"",VLOOKUP($A9,'00_Mat'!$A$4:$J$1135,5,FALSE))</f>
        <v>9050</v>
      </c>
      <c r="I9" s="143">
        <f t="shared" si="2"/>
        <v>90500</v>
      </c>
    </row>
    <row r="10" ht="14.25" customHeight="1">
      <c r="A10" s="3" t="s">
        <v>136</v>
      </c>
      <c r="B10" s="92" t="str">
        <f>IF($A10=0,"",VLOOKUP($A10,'00_Mat'!$A$4:$J$1135,2,FALSE))</f>
        <v>Hierros ADN 420Φ 10</v>
      </c>
      <c r="C10" s="92" t="str">
        <f>IF($A10=0,"",VLOOKUP($A10,'00_Mat'!$A$4:$J$1135,3,FALSE))</f>
        <v>u</v>
      </c>
      <c r="D10" s="229">
        <v>6.0</v>
      </c>
      <c r="E10" s="204"/>
      <c r="F10" s="206">
        <v>0.1</v>
      </c>
      <c r="G10" s="221">
        <f t="shared" si="1"/>
        <v>7</v>
      </c>
      <c r="H10" s="143">
        <f>IF($A10=0,"",VLOOKUP($A10,'00_Mat'!$A$4:$J$1135,5,FALSE))</f>
        <v>11237</v>
      </c>
      <c r="I10" s="143">
        <f t="shared" si="2"/>
        <v>78659</v>
      </c>
    </row>
    <row r="11" ht="14.25" customHeight="1">
      <c r="A11" s="3" t="s">
        <v>138</v>
      </c>
      <c r="B11" s="92" t="str">
        <f>IF($A11=0,"",VLOOKUP($A11,'00_Mat'!$A$4:$J$1135,2,FALSE))</f>
        <v>Hierros ADN 420 Φ 12</v>
      </c>
      <c r="C11" s="92" t="str">
        <f>IF($A11=0,"",VLOOKUP($A11,'00_Mat'!$A$4:$J$1135,3,FALSE))</f>
        <v>u</v>
      </c>
      <c r="D11" s="229">
        <v>29.0</v>
      </c>
      <c r="E11" s="204"/>
      <c r="F11" s="206">
        <v>0.1</v>
      </c>
      <c r="G11" s="221">
        <f t="shared" si="1"/>
        <v>32</v>
      </c>
      <c r="H11" s="143">
        <f>IF($A11=0,"",VLOOKUP($A11,'00_Mat'!$A$4:$J$1135,5,FALSE))</f>
        <v>20442.5</v>
      </c>
      <c r="I11" s="143">
        <f t="shared" si="2"/>
        <v>654160</v>
      </c>
    </row>
    <row r="12" ht="14.25" customHeight="1">
      <c r="A12" s="3" t="s">
        <v>140</v>
      </c>
      <c r="B12" s="92" t="str">
        <f>IF($A12=0,"",VLOOKUP($A12,'00_Mat'!$A$4:$J$1135,2,FALSE))</f>
        <v>Hierros ADN 420 Φ 16</v>
      </c>
      <c r="C12" s="92" t="str">
        <f>IF($A12=0,"",VLOOKUP($A12,'00_Mat'!$A$4:$J$1135,3,FALSE))</f>
        <v>u</v>
      </c>
      <c r="D12" s="229">
        <v>0.0</v>
      </c>
      <c r="E12" s="204"/>
      <c r="F12" s="206">
        <v>0.1</v>
      </c>
      <c r="G12" s="221">
        <f t="shared" si="1"/>
        <v>0</v>
      </c>
      <c r="H12" s="143">
        <f>IF($A12=0,"",VLOOKUP($A12,'00_Mat'!$A$4:$J$1135,5,FALSE))</f>
        <v>36603.12</v>
      </c>
      <c r="I12" s="143">
        <f t="shared" si="2"/>
        <v>0</v>
      </c>
    </row>
    <row r="13" ht="14.25" customHeight="1">
      <c r="A13" s="20" t="s">
        <v>142</v>
      </c>
      <c r="B13" s="92" t="str">
        <f>IF($A13=0,"",VLOOKUP($A13,'00_Mat'!$A$4:$J$1135,2,FALSE))</f>
        <v>Hierros ADN 420 Φ 20</v>
      </c>
      <c r="C13" s="92" t="str">
        <f>IF($A13=0,"",VLOOKUP($A13,'00_Mat'!$A$4:$J$1135,3,FALSE))</f>
        <v>U</v>
      </c>
      <c r="D13" s="229">
        <v>0.0</v>
      </c>
      <c r="E13" s="204"/>
      <c r="F13" s="206">
        <v>0.1</v>
      </c>
      <c r="G13" s="221">
        <f t="shared" si="1"/>
        <v>0</v>
      </c>
      <c r="H13" s="143">
        <f>IF($A13=0,"",VLOOKUP($A13,'00_Mat'!$A$4:$J$1135,5,FALSE))</f>
        <v>55000</v>
      </c>
      <c r="I13" s="143">
        <f t="shared" si="2"/>
        <v>0</v>
      </c>
    </row>
    <row r="14" ht="14.25" customHeight="1">
      <c r="A14" s="3" t="s">
        <v>300</v>
      </c>
      <c r="B14" s="92" t="str">
        <f>IF($A14=0,"",VLOOKUP($A14,'00_Mat'!$A$4:$J$1135,2,FALSE))</f>
        <v>Fenolico 18mm Miraluz 125 GR con film</v>
      </c>
      <c r="C14" s="92" t="str">
        <f>IF($A14=0,"",VLOOKUP($A14,'00_Mat'!$A$4:$J$1135,3,FALSE))</f>
        <v>u</v>
      </c>
      <c r="D14" s="229">
        <v>0.0</v>
      </c>
      <c r="E14" s="204"/>
      <c r="F14" s="236">
        <v>0.25</v>
      </c>
      <c r="G14" s="221">
        <f t="shared" si="1"/>
        <v>0</v>
      </c>
      <c r="H14" s="143">
        <f>IF($A14=0,"",VLOOKUP($A14,'00_Mat'!$A$4:$J$1135,5,FALSE))</f>
        <v>55260</v>
      </c>
      <c r="I14" s="143">
        <f t="shared" si="2"/>
        <v>0</v>
      </c>
      <c r="J14" s="153" t="s">
        <v>1029</v>
      </c>
    </row>
    <row r="15" ht="14.25" customHeight="1">
      <c r="A15" s="3" t="s">
        <v>303</v>
      </c>
      <c r="B15" s="92" t="str">
        <f>IF($A15=0,"",VLOOKUP($A15,'00_Mat'!$A$4:$J$1135,2,FALSE))</f>
        <v>Fenolico 18mm Grandis 2 Buenas cal 3/3</v>
      </c>
      <c r="C15" s="92" t="str">
        <f>IF($A15=0,"",VLOOKUP($A15,'00_Mat'!$A$4:$J$1135,3,FALSE))</f>
        <v>u</v>
      </c>
      <c r="D15" s="229">
        <v>31.0</v>
      </c>
      <c r="E15" s="204"/>
      <c r="F15" s="236">
        <v>0.25</v>
      </c>
      <c r="G15" s="221">
        <f t="shared" si="1"/>
        <v>39</v>
      </c>
      <c r="H15" s="143">
        <f>IF($A15=0,"",VLOOKUP($A15,'00_Mat'!$A$4:$J$1135,5,FALSE))</f>
        <v>45454</v>
      </c>
      <c r="I15" s="143">
        <f t="shared" si="2"/>
        <v>1772706</v>
      </c>
      <c r="J15" s="153" t="s">
        <v>1030</v>
      </c>
    </row>
    <row r="16" ht="14.25" customHeight="1">
      <c r="A16" s="3" t="s">
        <v>602</v>
      </c>
      <c r="B16" s="92" t="str">
        <f>IF($A16=0,"",VLOOKUP($A16,'00_Mat'!$A$4:$J$1135,2,FALSE))</f>
        <v>Bomba Pluma Traslado e Instalacion</v>
      </c>
      <c r="C16" s="92" t="str">
        <f>IF($A16=0,"",VLOOKUP($A16,'00_Mat'!$A$4:$J$1135,3,FALSE))</f>
        <v>u</v>
      </c>
      <c r="D16" s="229">
        <v>1.0</v>
      </c>
      <c r="E16" s="204"/>
      <c r="F16" s="236">
        <v>0.0</v>
      </c>
      <c r="G16" s="221">
        <f t="shared" si="1"/>
        <v>1</v>
      </c>
      <c r="H16" s="143">
        <f>IF($A16=0,"",VLOOKUP($A16,'00_Mat'!$A$4:$J$1135,5,FALSE))</f>
        <v>600000</v>
      </c>
      <c r="I16" s="143">
        <f t="shared" si="2"/>
        <v>600000</v>
      </c>
      <c r="J16" s="153" t="s">
        <v>1031</v>
      </c>
    </row>
    <row r="17" ht="14.25" customHeight="1">
      <c r="A17" s="3" t="s">
        <v>604</v>
      </c>
      <c r="B17" s="92" t="str">
        <f>IF($A17=0,"",VLOOKUP($A17,'00_Mat'!$A$4:$J$1135,2,FALSE))</f>
        <v>Bomba Pluma m3 bombeable</v>
      </c>
      <c r="C17" s="92" t="str">
        <f>IF($A17=0,"",VLOOKUP($A17,'00_Mat'!$A$4:$J$1135,3,FALSE))</f>
        <v>m3</v>
      </c>
      <c r="D17" s="205">
        <f>H3</f>
        <v>7</v>
      </c>
      <c r="E17" s="204"/>
      <c r="F17" s="206">
        <v>0.1</v>
      </c>
      <c r="G17" s="221">
        <f t="shared" si="1"/>
        <v>8</v>
      </c>
      <c r="H17" s="143">
        <f>IF($A17=0,"",VLOOKUP($A17,'00_Mat'!$A$4:$J$1135,5,FALSE))</f>
        <v>6000</v>
      </c>
      <c r="I17" s="143">
        <f t="shared" si="2"/>
        <v>48000</v>
      </c>
      <c r="J17" s="153" t="s">
        <v>1032</v>
      </c>
    </row>
    <row r="18" ht="14.25" customHeight="1">
      <c r="A18" s="204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04"/>
      <c r="E18" s="204"/>
      <c r="F18" s="206">
        <v>0.1</v>
      </c>
      <c r="G18" s="221">
        <f t="shared" si="1"/>
        <v>0</v>
      </c>
      <c r="H18" s="143" t="str">
        <f>IF($A18=0,"",VLOOKUP($A18,'00_Mat'!$A$4:$J$1135,5,FALSE))</f>
        <v/>
      </c>
      <c r="I18" s="143">
        <f t="shared" si="2"/>
        <v>0</v>
      </c>
    </row>
    <row r="19" ht="14.25" customHeight="1">
      <c r="F19" s="208"/>
      <c r="G19" s="3"/>
      <c r="H19" s="143"/>
      <c r="I19" s="143"/>
    </row>
    <row r="20" ht="14.25" customHeight="1">
      <c r="A20" s="222" t="s">
        <v>996</v>
      </c>
      <c r="B20" s="223"/>
      <c r="C20" s="223"/>
      <c r="D20" s="223"/>
      <c r="E20" s="223"/>
      <c r="F20" s="223"/>
      <c r="G20" s="211"/>
      <c r="H20" s="223"/>
      <c r="I20" s="224">
        <f>SUM(I7:I18)</f>
        <v>4891275</v>
      </c>
      <c r="J20" s="92"/>
      <c r="K20" s="92"/>
      <c r="L20" s="92"/>
    </row>
    <row r="21" ht="14.25" customHeight="1">
      <c r="A21" s="232" t="str">
        <f>$I$3</f>
        <v>m³</v>
      </c>
      <c r="B21" s="233"/>
      <c r="C21" s="233"/>
      <c r="D21" s="233"/>
      <c r="E21" s="233"/>
      <c r="F21" s="233"/>
      <c r="G21" s="21"/>
      <c r="H21" s="233"/>
      <c r="I21" s="205">
        <f>$H$3</f>
        <v>7</v>
      </c>
      <c r="J21" s="92"/>
      <c r="K21" s="92"/>
      <c r="L21" s="92"/>
    </row>
    <row r="22" ht="14.25" customHeight="1">
      <c r="A22" s="234" t="s">
        <v>997</v>
      </c>
      <c r="B22" s="232" t="str">
        <f>A21</f>
        <v>m³</v>
      </c>
      <c r="C22" s="233"/>
      <c r="D22" s="233"/>
      <c r="E22" s="233"/>
      <c r="F22" s="233"/>
      <c r="G22" s="21"/>
      <c r="H22" s="233"/>
      <c r="I22" s="235">
        <f>I20/I21</f>
        <v>698753.5714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01" t="s">
        <v>998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02" t="s">
        <v>988</v>
      </c>
      <c r="B26" s="202" t="s">
        <v>989</v>
      </c>
      <c r="C26" s="202" t="s">
        <v>990</v>
      </c>
      <c r="D26" s="202" t="s">
        <v>991</v>
      </c>
      <c r="E26" s="202" t="s">
        <v>999</v>
      </c>
      <c r="F26" s="202" t="s">
        <v>992</v>
      </c>
      <c r="G26" s="4" t="s">
        <v>993</v>
      </c>
      <c r="H26" s="202" t="s">
        <v>994</v>
      </c>
      <c r="I26" s="202" t="s">
        <v>995</v>
      </c>
    </row>
    <row r="27" ht="14.25" customHeight="1">
      <c r="A27" s="61" t="s">
        <v>621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29">
        <v>1.0</v>
      </c>
      <c r="E27" s="229">
        <v>5.0</v>
      </c>
      <c r="F27" s="236">
        <v>0.25</v>
      </c>
      <c r="G27" s="217">
        <f t="shared" ref="G27:G32" si="3">ROUNDUP(((D27*E27)*(1+F27)),0)</f>
        <v>7</v>
      </c>
      <c r="H27" s="143">
        <f>IF($A27=0,"",VLOOKUP($A27,'00_MO'!$A$4:$D$7,4,FALSE))</f>
        <v>120000</v>
      </c>
      <c r="I27" s="143">
        <f t="shared" ref="I27:I32" si="4">G27*H27</f>
        <v>840000</v>
      </c>
      <c r="K27" s="153" t="s">
        <v>1065</v>
      </c>
    </row>
    <row r="28" ht="14.25" customHeight="1">
      <c r="A28" s="61" t="s">
        <v>623</v>
      </c>
      <c r="B28" s="92" t="str">
        <f>IF($A28=0,"",VLOOKUP($A28,'00_MO'!$A$4:$D$7,2,FALSE))</f>
        <v>Puntero</v>
      </c>
      <c r="C28" s="92" t="str">
        <f>IF($A28=0,"",VLOOKUP($A28,'00_MO'!$A$4:$D$7,3,FALSE))</f>
        <v>u</v>
      </c>
      <c r="D28" s="229">
        <v>2.0</v>
      </c>
      <c r="E28" s="229">
        <v>5.0</v>
      </c>
      <c r="F28" s="236">
        <v>0.25</v>
      </c>
      <c r="G28" s="217">
        <f t="shared" si="3"/>
        <v>13</v>
      </c>
      <c r="H28" s="143">
        <f>IF($A28=0,"",VLOOKUP($A28,'00_MO'!$A$4:$D$7,4,FALSE))</f>
        <v>105000</v>
      </c>
      <c r="I28" s="143">
        <f t="shared" si="4"/>
        <v>1365000</v>
      </c>
    </row>
    <row r="29" ht="14.25" customHeight="1">
      <c r="A29" s="61" t="s">
        <v>625</v>
      </c>
      <c r="B29" s="92" t="str">
        <f>IF($A29=0,"",VLOOKUP($A29,'00_MO'!$A$4:$D$7,2,FALSE))</f>
        <v>Oficial</v>
      </c>
      <c r="C29" s="92" t="str">
        <f>IF($A29=0,"",VLOOKUP($A29,'00_MO'!$A$4:$D$7,3,FALSE))</f>
        <v>u</v>
      </c>
      <c r="D29" s="229">
        <v>3.0</v>
      </c>
      <c r="E29" s="229">
        <v>5.0</v>
      </c>
      <c r="F29" s="236">
        <v>0.25</v>
      </c>
      <c r="G29" s="217">
        <f t="shared" si="3"/>
        <v>19</v>
      </c>
      <c r="H29" s="143">
        <f>IF($A29=0,"",VLOOKUP($A29,'00_MO'!$A$4:$D$7,4,FALSE))</f>
        <v>90000</v>
      </c>
      <c r="I29" s="143">
        <f t="shared" si="4"/>
        <v>1710000</v>
      </c>
    </row>
    <row r="30" ht="14.25" customHeight="1">
      <c r="A30" s="61" t="s">
        <v>627</v>
      </c>
      <c r="B30" s="92" t="str">
        <f>IF($A30=0,"",VLOOKUP($A30,'00_MO'!$A$4:$D$7,2,FALSE))</f>
        <v>Ayudante</v>
      </c>
      <c r="C30" s="92" t="str">
        <f>IF($A30=0,"",VLOOKUP($A30,'00_MO'!$A$4:$D$7,3,FALSE))</f>
        <v>u</v>
      </c>
      <c r="D30" s="229">
        <v>3.0</v>
      </c>
      <c r="E30" s="229">
        <v>5.0</v>
      </c>
      <c r="F30" s="236">
        <v>0.25</v>
      </c>
      <c r="G30" s="217">
        <f t="shared" si="3"/>
        <v>19</v>
      </c>
      <c r="H30" s="143">
        <f>IF($A30=0,"",VLOOKUP($A30,'00_MO'!$A$4:$D$7,4,FALSE))</f>
        <v>60000</v>
      </c>
      <c r="I30" s="143">
        <f t="shared" si="4"/>
        <v>1140000</v>
      </c>
    </row>
    <row r="31" ht="14.25" customHeight="1">
      <c r="A31" s="204"/>
      <c r="B31" s="92" t="str">
        <f>IF($A31=0,"",VLOOKUP($A31,'00_MO'!$A$4:$D$7,2,FALSE))</f>
        <v/>
      </c>
      <c r="C31" s="92" t="str">
        <f>IF($A31=0,"",VLOOKUP($A31,'00_MO'!$A$4:$D$7,3,FALSE))</f>
        <v/>
      </c>
      <c r="D31" s="204"/>
      <c r="E31" s="229"/>
      <c r="F31" s="206"/>
      <c r="G31" s="217">
        <f t="shared" si="3"/>
        <v>0</v>
      </c>
      <c r="H31" s="143" t="str">
        <f>IF($A31=0,"",VLOOKUP($A31,'00_MO'!$A$4:$D$7,4,FALSE))</f>
        <v/>
      </c>
      <c r="I31" s="143">
        <f t="shared" si="4"/>
        <v>0</v>
      </c>
    </row>
    <row r="32" ht="14.25" customHeight="1">
      <c r="A32" s="204"/>
      <c r="B32" s="92" t="str">
        <f>IF($A32=0,"",VLOOKUP($A32,'00_MO'!$A$4:$D$7,2,FALSE))</f>
        <v/>
      </c>
      <c r="C32" s="92" t="str">
        <f>IF($A32=0,"",VLOOKUP($A32,'00_MO'!$A$4:$D$7,3,FALSE))</f>
        <v/>
      </c>
      <c r="D32" s="204"/>
      <c r="E32" s="204"/>
      <c r="F32" s="206"/>
      <c r="G32" s="217">
        <f t="shared" si="3"/>
        <v>0</v>
      </c>
      <c r="H32" s="143" t="str">
        <f>IF($A32=0,"",VLOOKUP($A32,'00_MO'!$A$4:$D$7,4,FALSE))</f>
        <v/>
      </c>
      <c r="I32" s="143">
        <f t="shared" si="4"/>
        <v>0</v>
      </c>
    </row>
    <row r="33" ht="14.25" customHeight="1">
      <c r="F33" s="208"/>
      <c r="G33" s="3"/>
      <c r="H33" s="143"/>
      <c r="I33" s="143"/>
    </row>
    <row r="34" ht="14.25" customHeight="1">
      <c r="A34" s="222" t="s">
        <v>987</v>
      </c>
      <c r="B34" s="223"/>
      <c r="C34" s="223"/>
      <c r="D34" s="223"/>
      <c r="E34" s="223"/>
      <c r="F34" s="223"/>
      <c r="G34" s="211"/>
      <c r="H34" s="223"/>
      <c r="I34" s="224">
        <f>SUM(I27:I32)</f>
        <v>5055000</v>
      </c>
    </row>
    <row r="35" ht="14.25" customHeight="1">
      <c r="A35" s="232" t="str">
        <f>$I$3</f>
        <v>m³</v>
      </c>
      <c r="B35" s="233"/>
      <c r="C35" s="233"/>
      <c r="D35" s="233"/>
      <c r="E35" s="233"/>
      <c r="F35" s="233"/>
      <c r="G35" s="21"/>
      <c r="H35" s="233"/>
      <c r="I35" s="205">
        <f>$H$3</f>
        <v>7</v>
      </c>
      <c r="J35" s="92"/>
      <c r="K35" s="92"/>
      <c r="L35" s="92"/>
    </row>
    <row r="36" ht="14.25" customHeight="1">
      <c r="A36" s="234" t="s">
        <v>997</v>
      </c>
      <c r="B36" s="232" t="str">
        <f>A35</f>
        <v>m³</v>
      </c>
      <c r="C36" s="233"/>
      <c r="D36" s="233"/>
      <c r="E36" s="233"/>
      <c r="F36" s="233"/>
      <c r="G36" s="21"/>
      <c r="H36" s="233"/>
      <c r="I36" s="235">
        <f>I34/I35</f>
        <v>722142.8571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01" t="s">
        <v>1000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02" t="s">
        <v>988</v>
      </c>
      <c r="B40" s="202" t="s">
        <v>989</v>
      </c>
      <c r="C40" s="202" t="s">
        <v>990</v>
      </c>
      <c r="D40" s="202" t="s">
        <v>991</v>
      </c>
      <c r="E40" s="202" t="s">
        <v>999</v>
      </c>
      <c r="F40" s="202" t="s">
        <v>992</v>
      </c>
      <c r="G40" s="4" t="s">
        <v>993</v>
      </c>
      <c r="H40" s="202" t="s">
        <v>994</v>
      </c>
      <c r="I40" s="202" t="s">
        <v>995</v>
      </c>
    </row>
    <row r="41" ht="14.25" customHeight="1">
      <c r="A41" s="204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04"/>
      <c r="E41" s="204"/>
      <c r="F41" s="206"/>
      <c r="G41" s="217">
        <f t="shared" ref="G41:G46" si="5">ROUNDUP(((D41*E41)*(1+F41)),0)</f>
        <v>0</v>
      </c>
      <c r="H41" s="143" t="str">
        <f>IF($A41=0,"",VLOOKUP($A41,'00_Eq'!$A$4:$D$100,4,FALSE))</f>
        <v/>
      </c>
      <c r="I41" s="143">
        <f t="shared" ref="I41:I44" si="6">G41*H41</f>
        <v>0</v>
      </c>
    </row>
    <row r="42" ht="14.25" customHeight="1">
      <c r="A42" s="204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04"/>
      <c r="E42" s="204"/>
      <c r="F42" s="206"/>
      <c r="G42" s="217">
        <f t="shared" si="5"/>
        <v>0</v>
      </c>
      <c r="H42" s="143" t="str">
        <f>IF($A42=0,"",VLOOKUP($A42,'00_Eq'!$A$4:$D$100,4,FALSE))</f>
        <v/>
      </c>
      <c r="I42" s="143">
        <f t="shared" si="6"/>
        <v>0</v>
      </c>
    </row>
    <row r="43" ht="14.25" customHeight="1">
      <c r="A43" s="204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04"/>
      <c r="E43" s="204"/>
      <c r="F43" s="206"/>
      <c r="G43" s="217">
        <f t="shared" si="5"/>
        <v>0</v>
      </c>
      <c r="H43" s="143" t="str">
        <f>IF($A43=0,"",VLOOKUP($A43,'00_Eq'!$A$4:$D$100,4,FALSE))</f>
        <v/>
      </c>
      <c r="I43" s="143">
        <f t="shared" si="6"/>
        <v>0</v>
      </c>
    </row>
    <row r="44" ht="14.25" customHeight="1">
      <c r="A44" s="204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04"/>
      <c r="E44" s="204"/>
      <c r="F44" s="206"/>
      <c r="G44" s="217">
        <f t="shared" si="5"/>
        <v>0</v>
      </c>
      <c r="H44" s="143" t="str">
        <f>IF($A44=0,"",VLOOKUP($A44,'00_Eq'!$A$4:$D$100,4,FALSE))</f>
        <v/>
      </c>
      <c r="I44" s="143">
        <f t="shared" si="6"/>
        <v>0</v>
      </c>
    </row>
    <row r="45" ht="14.25" customHeight="1">
      <c r="A45" s="204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04"/>
      <c r="E45" s="204"/>
      <c r="F45" s="206"/>
      <c r="G45" s="217">
        <f t="shared" si="5"/>
        <v>0</v>
      </c>
      <c r="H45" s="143" t="str">
        <f>IF($A45=0,"",VLOOKUP($A45,'00_Eq'!$A$4:$D$100,4,FALSE))</f>
        <v/>
      </c>
      <c r="I45" s="143"/>
    </row>
    <row r="46" ht="14.25" customHeight="1">
      <c r="A46" s="204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04"/>
      <c r="E46" s="204"/>
      <c r="F46" s="206"/>
      <c r="G46" s="217">
        <f t="shared" si="5"/>
        <v>0</v>
      </c>
      <c r="H46" s="143" t="str">
        <f>IF($A46=0,"",VLOOKUP($A46,'00_Eq'!$A$4:$D$100,4,FALSE))</f>
        <v/>
      </c>
      <c r="I46" s="143"/>
    </row>
    <row r="47" ht="14.25" customHeight="1">
      <c r="F47" s="208"/>
      <c r="G47" s="3"/>
      <c r="H47" s="143"/>
      <c r="I47" s="143"/>
    </row>
    <row r="48" ht="14.25" customHeight="1">
      <c r="A48" s="222" t="s">
        <v>987</v>
      </c>
      <c r="B48" s="223"/>
      <c r="C48" s="223"/>
      <c r="D48" s="223"/>
      <c r="E48" s="223"/>
      <c r="F48" s="223"/>
      <c r="G48" s="211"/>
      <c r="H48" s="223"/>
      <c r="I48" s="224">
        <f>SUM(I41:I46)</f>
        <v>0</v>
      </c>
    </row>
    <row r="49" ht="14.25" customHeight="1">
      <c r="A49" s="232" t="str">
        <f>$I$3</f>
        <v>m³</v>
      </c>
      <c r="B49" s="233"/>
      <c r="C49" s="233"/>
      <c r="D49" s="233"/>
      <c r="E49" s="233"/>
      <c r="F49" s="233"/>
      <c r="G49" s="21"/>
      <c r="H49" s="233"/>
      <c r="I49" s="205">
        <f>$H$3</f>
        <v>7</v>
      </c>
      <c r="J49" s="92"/>
      <c r="K49" s="92"/>
      <c r="L49" s="92"/>
    </row>
    <row r="50" ht="14.25" customHeight="1">
      <c r="A50" s="234" t="s">
        <v>997</v>
      </c>
      <c r="B50" s="232" t="str">
        <f>A49</f>
        <v>m³</v>
      </c>
      <c r="C50" s="233"/>
      <c r="D50" s="233"/>
      <c r="E50" s="233"/>
      <c r="F50" s="233"/>
      <c r="G50" s="21"/>
      <c r="H50" s="233"/>
      <c r="I50" s="235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01" t="s">
        <v>1010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02" t="s">
        <v>988</v>
      </c>
      <c r="B54" s="202" t="s">
        <v>989</v>
      </c>
      <c r="C54" s="202" t="s">
        <v>990</v>
      </c>
      <c r="D54" s="202" t="s">
        <v>991</v>
      </c>
      <c r="E54" s="202"/>
      <c r="F54" s="202" t="s">
        <v>992</v>
      </c>
      <c r="G54" s="4" t="s">
        <v>993</v>
      </c>
      <c r="H54" s="202" t="s">
        <v>994</v>
      </c>
      <c r="I54" s="202" t="s">
        <v>995</v>
      </c>
    </row>
    <row r="55" ht="14.25" customHeight="1">
      <c r="A55" s="3"/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30"/>
      <c r="E55" s="204"/>
      <c r="F55" s="236">
        <v>0.1</v>
      </c>
      <c r="G55" s="221">
        <f t="shared" ref="G55:G60" si="7">ROUNDUP((D55+(D55*F55)),0)</f>
        <v>0</v>
      </c>
      <c r="H55" s="143" t="str">
        <f>IF($A55=0,"",VLOOKUP($A55,'00_Mat'!$A$4:$J$1135,5,FALSE))</f>
        <v/>
      </c>
      <c r="I55" s="143">
        <f t="shared" ref="I55:I60" si="8">G55*H55</f>
        <v>0</v>
      </c>
      <c r="J55" s="237"/>
    </row>
    <row r="56" ht="14.25" customHeight="1">
      <c r="A56" s="3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0"/>
      <c r="E56" s="204"/>
      <c r="F56" s="236">
        <v>0.1</v>
      </c>
      <c r="G56" s="221">
        <f t="shared" si="7"/>
        <v>0</v>
      </c>
      <c r="H56" s="143" t="str">
        <f>IF($A56=0,"",VLOOKUP($A56,'00_Mat'!$A$4:$J$1135,5,FALSE))</f>
        <v/>
      </c>
      <c r="I56" s="143">
        <f t="shared" si="8"/>
        <v>0</v>
      </c>
      <c r="J56" s="237"/>
    </row>
    <row r="57" ht="14.25" customHeight="1">
      <c r="A57" s="3" t="s">
        <v>75</v>
      </c>
      <c r="B57" s="92" t="str">
        <f>IF($A57=0,"",VLOOKUP($A57,'00_Mat'!$A$4:$J$1135,2,FALSE))</f>
        <v>Clavos 2" punta paris (k)</v>
      </c>
      <c r="C57" s="92" t="str">
        <f>IF($A57=0,"",VLOOKUP($A57,'00_Mat'!$A$4:$J$1135,3,FALSE))</f>
        <v>k</v>
      </c>
      <c r="D57" s="230">
        <v>2.0</v>
      </c>
      <c r="E57" s="204"/>
      <c r="F57" s="236">
        <v>0.1</v>
      </c>
      <c r="G57" s="221">
        <f t="shared" si="7"/>
        <v>3</v>
      </c>
      <c r="H57" s="143">
        <f>IF($A57=0,"",VLOOKUP($A57,'00_Mat'!$A$4:$J$1135,5,FALSE))</f>
        <v>4500</v>
      </c>
      <c r="I57" s="143">
        <f t="shared" si="8"/>
        <v>13500</v>
      </c>
      <c r="J57" s="153" t="s">
        <v>1013</v>
      </c>
      <c r="L57" s="153" t="s">
        <v>1011</v>
      </c>
      <c r="M57" s="153" t="s">
        <v>1074</v>
      </c>
    </row>
    <row r="58" ht="14.25" customHeight="1">
      <c r="A58" s="20" t="s">
        <v>81</v>
      </c>
      <c r="B58" s="92" t="str">
        <f>IF($A58=0,"",VLOOKUP($A58,'00_Mat'!$A$4:$J$1135,2,FALSE))</f>
        <v>Alambre Fardo (50 k)</v>
      </c>
      <c r="C58" s="92" t="str">
        <f>IF($A58=0,"",VLOOKUP($A58,'00_Mat'!$A$4:$J$1135,3,FALSE))</f>
        <v>k</v>
      </c>
      <c r="D58" s="230">
        <v>1.0</v>
      </c>
      <c r="E58" s="204"/>
      <c r="F58" s="236">
        <v>0.0</v>
      </c>
      <c r="G58" s="221">
        <f t="shared" si="7"/>
        <v>1</v>
      </c>
      <c r="H58" s="143">
        <f>IF($A58=0,"",VLOOKUP($A58,'00_Mat'!$A$4:$J$1135,5,FALSE))</f>
        <v>220000</v>
      </c>
      <c r="I58" s="143">
        <f t="shared" si="8"/>
        <v>220000</v>
      </c>
      <c r="J58" s="153" t="s">
        <v>1033</v>
      </c>
    </row>
    <row r="59" ht="14.25" customHeight="1">
      <c r="C59" s="92" t="str">
        <f>IF($A58=0,"",VLOOKUP($A58,'00_Mat'!$A$4:$J$1135,3,FALSE))</f>
        <v>k</v>
      </c>
      <c r="D59" s="230"/>
      <c r="E59" s="204"/>
      <c r="F59" s="236">
        <v>0.1</v>
      </c>
      <c r="G59" s="221">
        <f t="shared" si="7"/>
        <v>0</v>
      </c>
      <c r="H59" s="143" t="str">
        <f>IF($A59=0,"",VLOOKUP($A59,'00_Mat'!$A$4:$J$1135,5,FALSE))</f>
        <v/>
      </c>
      <c r="I59" s="143">
        <f t="shared" si="8"/>
        <v>0</v>
      </c>
    </row>
    <row r="60" ht="14.25" customHeight="1">
      <c r="A60" s="204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05"/>
      <c r="E60" s="204"/>
      <c r="F60" s="206"/>
      <c r="G60" s="221">
        <f t="shared" si="7"/>
        <v>0</v>
      </c>
      <c r="H60" s="143" t="str">
        <f>IF($A60=0,"",VLOOKUP($A60,'00_Mat'!$A$4:$J$1135,5,FALSE))</f>
        <v/>
      </c>
      <c r="I60" s="143">
        <f t="shared" si="8"/>
        <v>0</v>
      </c>
    </row>
    <row r="61" ht="14.25" customHeight="1">
      <c r="F61" s="208"/>
      <c r="G61" s="3"/>
      <c r="H61" s="143"/>
      <c r="I61" s="143"/>
    </row>
    <row r="62" ht="14.25" customHeight="1">
      <c r="A62" s="222" t="s">
        <v>987</v>
      </c>
      <c r="B62" s="223"/>
      <c r="C62" s="223"/>
      <c r="D62" s="223"/>
      <c r="E62" s="223"/>
      <c r="F62" s="223"/>
      <c r="G62" s="211"/>
      <c r="H62" s="223"/>
      <c r="I62" s="224">
        <f>SUM(I55:I60)</f>
        <v>233500</v>
      </c>
    </row>
    <row r="63" ht="14.25" customHeight="1">
      <c r="A63" s="232" t="str">
        <f>$I$3</f>
        <v>m³</v>
      </c>
      <c r="B63" s="233"/>
      <c r="C63" s="233"/>
      <c r="D63" s="233"/>
      <c r="E63" s="233"/>
      <c r="F63" s="233"/>
      <c r="G63" s="21"/>
      <c r="H63" s="233"/>
      <c r="I63" s="205">
        <f>$H$3</f>
        <v>7</v>
      </c>
      <c r="J63" s="92"/>
      <c r="K63" s="92"/>
      <c r="L63" s="92"/>
    </row>
    <row r="64" ht="14.25" customHeight="1">
      <c r="A64" s="234" t="s">
        <v>997</v>
      </c>
      <c r="B64" s="232" t="str">
        <f>A63</f>
        <v>m³</v>
      </c>
      <c r="C64" s="233"/>
      <c r="D64" s="233"/>
      <c r="E64" s="233"/>
      <c r="F64" s="233"/>
      <c r="G64" s="21"/>
      <c r="H64" s="233"/>
      <c r="I64" s="235">
        <f>I62/I63</f>
        <v>33357.14286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01" t="s">
        <v>1025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02" t="s">
        <v>988</v>
      </c>
      <c r="B68" s="202" t="s">
        <v>989</v>
      </c>
      <c r="C68" s="202" t="s">
        <v>990</v>
      </c>
      <c r="D68" s="202" t="s">
        <v>991</v>
      </c>
      <c r="E68" s="202" t="s">
        <v>999</v>
      </c>
      <c r="F68" s="202" t="s">
        <v>992</v>
      </c>
      <c r="G68" s="4" t="s">
        <v>993</v>
      </c>
      <c r="H68" s="202" t="s">
        <v>994</v>
      </c>
      <c r="I68" s="202" t="s">
        <v>995</v>
      </c>
    </row>
    <row r="69" ht="14.25" customHeight="1">
      <c r="A69" s="204"/>
      <c r="B69" s="92" t="str">
        <f>IF($A69=0,"",VLOOKUP($A69,'00_Sub'!$A$4:$D$1007,2,FALSE))</f>
        <v/>
      </c>
      <c r="C69" s="92" t="str">
        <f>IF($A69=0,"",VLOOKUP($A69,'00_Sub'!$A$4:$D$1007,3,FALSE))</f>
        <v/>
      </c>
      <c r="D69" s="204"/>
      <c r="E69" s="204"/>
      <c r="F69" s="206"/>
      <c r="G69" s="221">
        <f t="shared" ref="G69:G74" si="9">ROUNDUP((D69+(D69*F69)),0)</f>
        <v>0</v>
      </c>
      <c r="H69" s="143" t="str">
        <f>IF($A69=0,"",VLOOKUP($A69,'00_Sub'!$A$4:$D$1007,4,FALSE))</f>
        <v/>
      </c>
      <c r="I69" s="143"/>
    </row>
    <row r="70" ht="14.25" customHeight="1">
      <c r="A70" s="204"/>
      <c r="B70" s="92" t="str">
        <f>IF($A70=0,"",VLOOKUP($A70,'00_Sub'!$A$4:$D$1007,2,FALSE))</f>
        <v/>
      </c>
      <c r="C70" s="92" t="str">
        <f>IF($A70=0,"",VLOOKUP($A70,'00_Sub'!$A$4:$D$1007,3,FALSE))</f>
        <v/>
      </c>
      <c r="D70" s="204"/>
      <c r="E70" s="204"/>
      <c r="F70" s="206"/>
      <c r="G70" s="221">
        <f t="shared" si="9"/>
        <v>0</v>
      </c>
      <c r="H70" s="143" t="str">
        <f>IF($A70=0,"",VLOOKUP($A70,'00_Sub'!$A$4:$D$1007,4,FALSE))</f>
        <v/>
      </c>
      <c r="I70" s="143"/>
    </row>
    <row r="71" ht="14.25" customHeight="1">
      <c r="A71" s="204"/>
      <c r="B71" s="92" t="str">
        <f>IF($A71=0,"",VLOOKUP($A71,'00_Sub'!$A$4:$D$1007,2,FALSE))</f>
        <v/>
      </c>
      <c r="C71" s="92" t="str">
        <f>IF($A71=0,"",VLOOKUP($A71,'00_Sub'!$A$4:$D$1007,3,FALSE))</f>
        <v/>
      </c>
      <c r="D71" s="204"/>
      <c r="E71" s="204"/>
      <c r="F71" s="206"/>
      <c r="G71" s="221">
        <f t="shared" si="9"/>
        <v>0</v>
      </c>
      <c r="H71" s="143" t="str">
        <f>IF($A71=0,"",VLOOKUP($A71,'00_Sub'!$A$4:$D$1007,4,FALSE))</f>
        <v/>
      </c>
      <c r="I71" s="143"/>
    </row>
    <row r="72" ht="14.25" customHeight="1">
      <c r="A72" s="204"/>
      <c r="B72" s="92" t="str">
        <f>IF($A72=0,"",VLOOKUP($A72,'00_Sub'!$A$4:$D$1007,2,FALSE))</f>
        <v/>
      </c>
      <c r="C72" s="92" t="str">
        <f>IF($A72=0,"",VLOOKUP($A72,'00_Sub'!$A$4:$D$1007,3,FALSE))</f>
        <v/>
      </c>
      <c r="D72" s="204"/>
      <c r="E72" s="204"/>
      <c r="F72" s="206"/>
      <c r="G72" s="221">
        <f t="shared" si="9"/>
        <v>0</v>
      </c>
      <c r="H72" s="143" t="str">
        <f>IF($A72=0,"",VLOOKUP($A72,'00_Sub'!$A$4:$D$1007,4,FALSE))</f>
        <v/>
      </c>
      <c r="I72" s="143"/>
    </row>
    <row r="73" ht="14.25" customHeight="1">
      <c r="A73" s="204"/>
      <c r="B73" s="92" t="str">
        <f>IF($A73=0,"",VLOOKUP($A73,'00_Sub'!$A$4:$D$1007,2,FALSE))</f>
        <v/>
      </c>
      <c r="C73" s="92" t="str">
        <f>IF($A73=0,"",VLOOKUP($A73,'00_Sub'!$A$4:$D$1007,3,FALSE))</f>
        <v/>
      </c>
      <c r="D73" s="204"/>
      <c r="E73" s="204"/>
      <c r="F73" s="206"/>
      <c r="G73" s="221">
        <f t="shared" si="9"/>
        <v>0</v>
      </c>
      <c r="H73" s="143" t="str">
        <f>IF($A73=0,"",VLOOKUP($A73,'00_Sub'!$A$4:$D$1007,4,FALSE))</f>
        <v/>
      </c>
      <c r="I73" s="143"/>
    </row>
    <row r="74" ht="14.25" customHeight="1">
      <c r="A74" s="204"/>
      <c r="B74" s="92" t="str">
        <f>IF($A74=0,"",VLOOKUP($A74,'00_Sub'!$A$4:$D$1007,2,FALSE))</f>
        <v/>
      </c>
      <c r="C74" s="92" t="str">
        <f>IF($A74=0,"",VLOOKUP($A74,'00_Sub'!$A$4:$D$1007,3,FALSE))</f>
        <v/>
      </c>
      <c r="D74" s="204"/>
      <c r="E74" s="204"/>
      <c r="F74" s="206"/>
      <c r="G74" s="221">
        <f t="shared" si="9"/>
        <v>0</v>
      </c>
      <c r="H74" s="143" t="str">
        <f>IF($A74=0,"",VLOOKUP($A74,'00_Sub'!$A$4:$D$1007,4,FALSE))</f>
        <v/>
      </c>
      <c r="I74" s="143"/>
    </row>
    <row r="75" ht="14.25" customHeight="1">
      <c r="F75" s="208"/>
      <c r="G75" s="3"/>
      <c r="H75" s="143"/>
      <c r="I75" s="143"/>
    </row>
    <row r="76" ht="14.25" customHeight="1">
      <c r="A76" s="222" t="s">
        <v>987</v>
      </c>
      <c r="B76" s="223"/>
      <c r="C76" s="223"/>
      <c r="D76" s="223"/>
      <c r="E76" s="223"/>
      <c r="F76" s="223"/>
      <c r="G76" s="211"/>
      <c r="H76" s="223"/>
      <c r="I76" s="224">
        <f>SUM(I69:I74)</f>
        <v>0</v>
      </c>
    </row>
    <row r="77" ht="14.25" customHeight="1">
      <c r="A77" s="232" t="str">
        <f>$I$3</f>
        <v>m³</v>
      </c>
      <c r="B77" s="233"/>
      <c r="C77" s="233"/>
      <c r="D77" s="233"/>
      <c r="E77" s="233"/>
      <c r="F77" s="233"/>
      <c r="G77" s="21"/>
      <c r="H77" s="233"/>
      <c r="I77" s="205">
        <f>$H$3</f>
        <v>7</v>
      </c>
      <c r="J77" s="92"/>
      <c r="K77" s="92"/>
      <c r="L77" s="92"/>
    </row>
    <row r="78" ht="14.25" customHeight="1">
      <c r="A78" s="234" t="s">
        <v>997</v>
      </c>
      <c r="B78" s="232" t="str">
        <f>A77</f>
        <v>m³</v>
      </c>
      <c r="C78" s="233"/>
      <c r="D78" s="233"/>
      <c r="E78" s="233"/>
      <c r="F78" s="233"/>
      <c r="G78" s="21"/>
      <c r="H78" s="233"/>
      <c r="I78" s="235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18"/>
      <c r="B82" s="219"/>
      <c r="C82" s="219"/>
      <c r="D82" s="219"/>
      <c r="E82" s="219"/>
      <c r="F82" s="219"/>
      <c r="G82" s="3"/>
      <c r="H82" s="219"/>
      <c r="I82" s="219"/>
    </row>
    <row r="83" ht="14.25" customHeight="1">
      <c r="A83" s="218"/>
      <c r="B83" s="219"/>
      <c r="C83" s="219"/>
      <c r="D83" s="219"/>
      <c r="E83" s="219"/>
      <c r="F83" s="219"/>
      <c r="G83" s="3"/>
      <c r="H83" s="219"/>
      <c r="I83" s="219"/>
    </row>
    <row r="84" ht="14.25" customHeight="1">
      <c r="G84" s="3"/>
      <c r="H84" s="208"/>
      <c r="I84" s="143"/>
    </row>
    <row r="85" ht="14.25" customHeight="1">
      <c r="G85" s="3"/>
      <c r="H85" s="208"/>
      <c r="I85" s="143"/>
    </row>
    <row r="86" ht="14.25" customHeight="1">
      <c r="A86" s="218"/>
      <c r="B86" s="219"/>
      <c r="C86" s="219"/>
      <c r="D86" s="219"/>
      <c r="E86" s="219"/>
      <c r="F86" s="219"/>
      <c r="G86" s="3"/>
      <c r="H86" s="219"/>
      <c r="I86" s="225"/>
    </row>
    <row r="87" ht="14.25" customHeight="1">
      <c r="G87" s="3"/>
      <c r="H87" s="208"/>
      <c r="I87" s="143"/>
    </row>
    <row r="88" ht="14.25" customHeight="1">
      <c r="G88" s="3"/>
      <c r="H88" s="208"/>
      <c r="I88" s="143"/>
    </row>
    <row r="89" ht="14.25" customHeight="1">
      <c r="G89" s="3"/>
      <c r="H89" s="208"/>
      <c r="I89" s="143"/>
    </row>
    <row r="90" ht="14.25" customHeight="1">
      <c r="A90" s="218"/>
      <c r="B90" s="219"/>
      <c r="C90" s="219"/>
      <c r="D90" s="219"/>
      <c r="E90" s="219"/>
      <c r="F90" s="219"/>
      <c r="G90" s="3"/>
      <c r="H90" s="219"/>
      <c r="I90" s="225"/>
    </row>
    <row r="91" ht="14.25" customHeight="1">
      <c r="G91" s="3"/>
      <c r="H91" s="208"/>
      <c r="I91" s="143"/>
    </row>
    <row r="92" ht="14.25" customHeight="1">
      <c r="G92" s="3"/>
      <c r="H92" s="208"/>
      <c r="I92" s="143"/>
    </row>
    <row r="93" ht="14.25" customHeight="1">
      <c r="A93" s="218"/>
      <c r="B93" s="219"/>
      <c r="C93" s="219"/>
      <c r="D93" s="219"/>
      <c r="E93" s="219"/>
      <c r="F93" s="219"/>
      <c r="G93" s="3"/>
      <c r="H93" s="219"/>
      <c r="I93" s="225"/>
    </row>
    <row r="94" ht="14.25" customHeight="1">
      <c r="G94" s="3"/>
      <c r="H94" s="208"/>
      <c r="I94" s="143"/>
    </row>
    <row r="95" ht="14.25" customHeight="1">
      <c r="G95" s="3"/>
      <c r="H95" s="208"/>
      <c r="I95" s="143"/>
    </row>
    <row r="96" ht="14.25" customHeight="1">
      <c r="A96" s="218"/>
      <c r="B96" s="219"/>
      <c r="C96" s="219"/>
      <c r="D96" s="219"/>
      <c r="E96" s="219"/>
      <c r="F96" s="219"/>
      <c r="G96" s="3"/>
      <c r="H96" s="219"/>
      <c r="I96" s="225"/>
    </row>
    <row r="97" ht="14.25" customHeight="1">
      <c r="A97" s="218"/>
      <c r="B97" s="219"/>
      <c r="C97" s="219"/>
      <c r="D97" s="219"/>
      <c r="E97" s="219"/>
      <c r="F97" s="219"/>
      <c r="G97" s="3"/>
      <c r="H97" s="247"/>
      <c r="I97" s="225"/>
    </row>
    <row r="98" ht="14.25" customHeight="1">
      <c r="A98" s="218"/>
      <c r="B98" s="219"/>
      <c r="C98" s="219"/>
      <c r="D98" s="219"/>
      <c r="E98" s="219"/>
      <c r="F98" s="219"/>
      <c r="G98" s="3"/>
      <c r="H98" s="219"/>
      <c r="I98" s="22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1" width="8.71"/>
    <col customWidth="1" min="12" max="12" width="10.14"/>
    <col customWidth="1" min="13" max="13" width="19.29"/>
  </cols>
  <sheetData>
    <row r="1" ht="33.75" customHeight="1">
      <c r="A1" s="91" t="str">
        <f>'01_C&amp;P'!A1</f>
        <v>EDIFICIO LAS HERAS</v>
      </c>
      <c r="B1" s="91"/>
      <c r="C1" s="91"/>
      <c r="G1" s="3"/>
    </row>
    <row r="2" ht="14.25" customHeight="1">
      <c r="G2" s="3"/>
    </row>
    <row r="3" ht="23.25" customHeight="1">
      <c r="A3" s="195">
        <f>'01_C&amp;P'!A121</f>
        <v>46057</v>
      </c>
      <c r="B3" s="196" t="str">
        <f>IF($A3=0,"",VLOOKUP($A3,'01_C&amp;P'!$A$9:$D$192,2,FALSE))</f>
        <v>VIGAS </v>
      </c>
      <c r="C3" s="197"/>
      <c r="D3" s="197"/>
      <c r="E3" s="197"/>
      <c r="F3" s="197"/>
      <c r="G3" s="198"/>
      <c r="H3" s="199">
        <f>IF($A3=0,"",VLOOKUP($A3,'01_C&amp;P'!$A$9:$D$192,4,FALSE))</f>
        <v>11</v>
      </c>
      <c r="I3" s="200" t="str">
        <f>IF($A3=0,"",VLOOKUP($A3,'01_C&amp;P'!$A$9:$D$192,3,FALSE))</f>
        <v>m³</v>
      </c>
      <c r="M3" s="153"/>
    </row>
    <row r="4" ht="14.25" customHeight="1">
      <c r="G4" s="3"/>
    </row>
    <row r="5" ht="14.25" customHeight="1">
      <c r="A5" s="201" t="s">
        <v>0</v>
      </c>
      <c r="B5" s="94"/>
      <c r="C5" s="94"/>
      <c r="D5" s="94"/>
      <c r="E5" s="94"/>
      <c r="F5" s="94"/>
      <c r="G5" s="2"/>
      <c r="H5" s="94"/>
      <c r="I5" s="94"/>
    </row>
    <row r="6" ht="14.25" customHeight="1">
      <c r="A6" s="202" t="s">
        <v>988</v>
      </c>
      <c r="B6" s="202" t="s">
        <v>989</v>
      </c>
      <c r="C6" s="202" t="s">
        <v>990</v>
      </c>
      <c r="D6" s="203" t="s">
        <v>991</v>
      </c>
      <c r="E6" s="197"/>
      <c r="F6" s="202" t="s">
        <v>992</v>
      </c>
      <c r="G6" s="4" t="s">
        <v>993</v>
      </c>
      <c r="H6" s="202" t="s">
        <v>994</v>
      </c>
      <c r="I6" s="202" t="s">
        <v>995</v>
      </c>
    </row>
    <row r="7" ht="14.25" customHeight="1">
      <c r="A7" s="229" t="s">
        <v>560</v>
      </c>
      <c r="B7" s="92" t="str">
        <f>IF($A7=0,"",VLOOKUP($A7,'00_Mat'!$A$4:$J$1135,2,FALSE))</f>
        <v>Hormigon H30</v>
      </c>
      <c r="C7" s="92" t="str">
        <f>IF($A7=0,"",VLOOKUP($A7,'00_Mat'!$A$4:$J$1135,3,FALSE))</f>
        <v>m3</v>
      </c>
      <c r="D7" s="230">
        <f>H3</f>
        <v>11</v>
      </c>
      <c r="E7" s="204"/>
      <c r="F7" s="206">
        <v>0.1</v>
      </c>
      <c r="G7" s="221">
        <f t="shared" ref="G7:G18" si="1">ROUNDUP((D7+(D7*F7)),0)</f>
        <v>13</v>
      </c>
      <c r="H7" s="143">
        <f>IF($A7=0,"",VLOOKUP($A7,'00_Mat'!$A$4:$J$1135,5,FALSE))</f>
        <v>158000</v>
      </c>
      <c r="I7" s="143">
        <f t="shared" ref="I7:I15" si="2">G7*H7</f>
        <v>2054000</v>
      </c>
      <c r="J7" s="231" t="s">
        <v>548</v>
      </c>
    </row>
    <row r="8" ht="14.25" customHeight="1">
      <c r="A8" s="3" t="s">
        <v>132</v>
      </c>
      <c r="B8" s="92" t="str">
        <f>IF($A8=0,"",VLOOKUP($A8,'00_Mat'!$A$4:$J$1135,2,FALSE))</f>
        <v>Hierros ADN 420 Φ 6 </v>
      </c>
      <c r="C8" s="92" t="str">
        <f>IF($A8=0,"",VLOOKUP($A8,'00_Mat'!$A$4:$J$1135,3,FALSE))</f>
        <v>u</v>
      </c>
      <c r="D8" s="230">
        <v>37.0</v>
      </c>
      <c r="E8" s="204"/>
      <c r="F8" s="206">
        <v>0.1</v>
      </c>
      <c r="G8" s="221">
        <f t="shared" si="1"/>
        <v>41</v>
      </c>
      <c r="H8" s="143">
        <f>IF($A8=0,"",VLOOKUP($A8,'00_Mat'!$A$4:$J$1135,5,FALSE))</f>
        <v>5250</v>
      </c>
      <c r="I8" s="143">
        <f t="shared" si="2"/>
        <v>215250</v>
      </c>
      <c r="J8" s="153" t="s">
        <v>1028</v>
      </c>
    </row>
    <row r="9" ht="14.25" customHeight="1">
      <c r="A9" s="3" t="s">
        <v>134</v>
      </c>
      <c r="B9" s="92" t="str">
        <f>IF($A9=0,"",VLOOKUP($A9,'00_Mat'!$A$4:$J$1135,2,FALSE))</f>
        <v>Hierros ADN 420 Φ 8</v>
      </c>
      <c r="C9" s="92" t="str">
        <f>IF($A9=0,"",VLOOKUP($A9,'00_Mat'!$A$4:$J$1135,3,FALSE))</f>
        <v>u</v>
      </c>
      <c r="D9" s="229">
        <v>37.0</v>
      </c>
      <c r="E9" s="204"/>
      <c r="F9" s="206">
        <v>0.1</v>
      </c>
      <c r="G9" s="221">
        <f t="shared" si="1"/>
        <v>41</v>
      </c>
      <c r="H9" s="143">
        <f>IF($A9=0,"",VLOOKUP($A9,'00_Mat'!$A$4:$J$1135,5,FALSE))</f>
        <v>9050</v>
      </c>
      <c r="I9" s="143">
        <f t="shared" si="2"/>
        <v>371050</v>
      </c>
    </row>
    <row r="10" ht="14.25" customHeight="1">
      <c r="A10" s="3" t="s">
        <v>136</v>
      </c>
      <c r="B10" s="92" t="str">
        <f>IF($A10=0,"",VLOOKUP($A10,'00_Mat'!$A$4:$J$1135,2,FALSE))</f>
        <v>Hierros ADN 420Φ 10</v>
      </c>
      <c r="C10" s="92" t="str">
        <f>IF($A10=0,"",VLOOKUP($A10,'00_Mat'!$A$4:$J$1135,3,FALSE))</f>
        <v>u</v>
      </c>
      <c r="D10" s="229">
        <v>34.0</v>
      </c>
      <c r="E10" s="204"/>
      <c r="F10" s="206">
        <v>0.1</v>
      </c>
      <c r="G10" s="221">
        <f t="shared" si="1"/>
        <v>38</v>
      </c>
      <c r="H10" s="143">
        <f>IF($A10=0,"",VLOOKUP($A10,'00_Mat'!$A$4:$J$1135,5,FALSE))</f>
        <v>11237</v>
      </c>
      <c r="I10" s="143">
        <f t="shared" si="2"/>
        <v>427006</v>
      </c>
    </row>
    <row r="11" ht="14.25" customHeight="1">
      <c r="A11" s="3" t="s">
        <v>138</v>
      </c>
      <c r="B11" s="92" t="str">
        <f>IF($A11=0,"",VLOOKUP($A11,'00_Mat'!$A$4:$J$1135,2,FALSE))</f>
        <v>Hierros ADN 420 Φ 12</v>
      </c>
      <c r="C11" s="92" t="str">
        <f>IF($A11=0,"",VLOOKUP($A11,'00_Mat'!$A$4:$J$1135,3,FALSE))</f>
        <v>u</v>
      </c>
      <c r="D11" s="229">
        <v>29.0</v>
      </c>
      <c r="E11" s="204"/>
      <c r="F11" s="206">
        <v>0.1</v>
      </c>
      <c r="G11" s="221">
        <f t="shared" si="1"/>
        <v>32</v>
      </c>
      <c r="H11" s="143">
        <f>IF($A11=0,"",VLOOKUP($A11,'00_Mat'!$A$4:$J$1135,5,FALSE))</f>
        <v>20442.5</v>
      </c>
      <c r="I11" s="143">
        <f t="shared" si="2"/>
        <v>654160</v>
      </c>
    </row>
    <row r="12" ht="14.25" customHeight="1">
      <c r="A12" s="3" t="s">
        <v>140</v>
      </c>
      <c r="B12" s="92" t="str">
        <f>IF($A12=0,"",VLOOKUP($A12,'00_Mat'!$A$4:$J$1135,2,FALSE))</f>
        <v>Hierros ADN 420 Φ 16</v>
      </c>
      <c r="C12" s="92" t="str">
        <f>IF($A12=0,"",VLOOKUP($A12,'00_Mat'!$A$4:$J$1135,3,FALSE))</f>
        <v>u</v>
      </c>
      <c r="D12" s="229">
        <v>7.0</v>
      </c>
      <c r="E12" s="204"/>
      <c r="F12" s="206">
        <v>0.1</v>
      </c>
      <c r="G12" s="221">
        <f t="shared" si="1"/>
        <v>8</v>
      </c>
      <c r="H12" s="143">
        <f>IF($A12=0,"",VLOOKUP($A12,'00_Mat'!$A$4:$J$1135,5,FALSE))</f>
        <v>36603.12</v>
      </c>
      <c r="I12" s="143">
        <f t="shared" si="2"/>
        <v>292824.96</v>
      </c>
    </row>
    <row r="13" ht="14.25" customHeight="1">
      <c r="A13" s="20" t="s">
        <v>142</v>
      </c>
      <c r="B13" s="92" t="str">
        <f>IF($A13=0,"",VLOOKUP($A13,'00_Mat'!$A$4:$J$1135,2,FALSE))</f>
        <v>Hierros ADN 420 Φ 20</v>
      </c>
      <c r="C13" s="92" t="str">
        <f>IF($A13=0,"",VLOOKUP($A13,'00_Mat'!$A$4:$J$1135,3,FALSE))</f>
        <v>U</v>
      </c>
      <c r="D13" s="229">
        <v>1.0</v>
      </c>
      <c r="E13" s="204"/>
      <c r="F13" s="206">
        <v>0.1</v>
      </c>
      <c r="G13" s="221">
        <f t="shared" si="1"/>
        <v>2</v>
      </c>
      <c r="H13" s="143">
        <f>IF($A13=0,"",VLOOKUP($A13,'00_Mat'!$A$4:$J$1135,5,FALSE))</f>
        <v>55000</v>
      </c>
      <c r="I13" s="143">
        <f t="shared" si="2"/>
        <v>110000</v>
      </c>
    </row>
    <row r="14" ht="14.25" customHeight="1">
      <c r="A14" s="3" t="s">
        <v>300</v>
      </c>
      <c r="B14" s="92" t="str">
        <f>IF($A14=0,"",VLOOKUP($A14,'00_Mat'!$A$4:$J$1135,2,FALSE))</f>
        <v>Fenolico 18mm Miraluz 125 GR con film</v>
      </c>
      <c r="C14" s="92" t="str">
        <f>IF($A14=0,"",VLOOKUP($A14,'00_Mat'!$A$4:$J$1135,3,FALSE))</f>
        <v>u</v>
      </c>
      <c r="D14" s="229">
        <v>0.0</v>
      </c>
      <c r="E14" s="204"/>
      <c r="F14" s="236">
        <v>0.25</v>
      </c>
      <c r="G14" s="221">
        <f t="shared" si="1"/>
        <v>0</v>
      </c>
      <c r="H14" s="143">
        <f>IF($A14=0,"",VLOOKUP($A14,'00_Mat'!$A$4:$J$1135,5,FALSE))</f>
        <v>55260</v>
      </c>
      <c r="I14" s="143">
        <f t="shared" si="2"/>
        <v>0</v>
      </c>
      <c r="J14" s="153" t="s">
        <v>1029</v>
      </c>
    </row>
    <row r="15" ht="14.25" customHeight="1">
      <c r="A15" s="3" t="s">
        <v>303</v>
      </c>
      <c r="B15" s="92" t="str">
        <f>IF($A15=0,"",VLOOKUP($A15,'00_Mat'!$A$4:$J$1135,2,FALSE))</f>
        <v>Fenolico 18mm Grandis 2 Buenas cal 3/3</v>
      </c>
      <c r="C15" s="92" t="str">
        <f>IF($A15=0,"",VLOOKUP($A15,'00_Mat'!$A$4:$J$1135,3,FALSE))</f>
        <v>u</v>
      </c>
      <c r="D15" s="229">
        <v>36.0</v>
      </c>
      <c r="E15" s="204"/>
      <c r="F15" s="236">
        <v>0.25</v>
      </c>
      <c r="G15" s="221">
        <f t="shared" si="1"/>
        <v>45</v>
      </c>
      <c r="H15" s="143">
        <f>IF($A15=0,"",VLOOKUP($A15,'00_Mat'!$A$4:$J$1135,5,FALSE))</f>
        <v>45454</v>
      </c>
      <c r="I15" s="143">
        <f t="shared" si="2"/>
        <v>2045430</v>
      </c>
      <c r="J15" s="153" t="s">
        <v>1030</v>
      </c>
    </row>
    <row r="16" ht="14.25" customHeight="1">
      <c r="A16" s="204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04"/>
      <c r="E16" s="204"/>
      <c r="F16" s="206"/>
      <c r="G16" s="221">
        <f t="shared" si="1"/>
        <v>0</v>
      </c>
      <c r="H16" s="143" t="str">
        <f>IF($A16=0,"",VLOOKUP($A16,'00_Mat'!$A$4:$J$1135,5,FALSE))</f>
        <v/>
      </c>
      <c r="I16" s="143"/>
    </row>
    <row r="17" ht="14.25" customHeight="1">
      <c r="A17" s="204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04"/>
      <c r="E17" s="204"/>
      <c r="F17" s="206"/>
      <c r="G17" s="221">
        <f t="shared" si="1"/>
        <v>0</v>
      </c>
      <c r="H17" s="143" t="str">
        <f>IF($A17=0,"",VLOOKUP($A17,'00_Mat'!$A$4:$J$1135,5,FALSE))</f>
        <v/>
      </c>
      <c r="I17" s="143"/>
    </row>
    <row r="18" ht="14.25" customHeight="1">
      <c r="A18" s="204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04"/>
      <c r="E18" s="204"/>
      <c r="F18" s="206"/>
      <c r="G18" s="221">
        <f t="shared" si="1"/>
        <v>0</v>
      </c>
      <c r="H18" s="143" t="str">
        <f>IF($A18=0,"",VLOOKUP($A18,'00_Mat'!$A$4:$J$1135,5,FALSE))</f>
        <v/>
      </c>
      <c r="I18" s="143"/>
    </row>
    <row r="19" ht="14.25" customHeight="1">
      <c r="F19" s="208"/>
      <c r="G19" s="3"/>
      <c r="H19" s="143"/>
      <c r="I19" s="143"/>
    </row>
    <row r="20" ht="14.25" customHeight="1">
      <c r="A20" s="222" t="s">
        <v>996</v>
      </c>
      <c r="B20" s="223"/>
      <c r="C20" s="223"/>
      <c r="D20" s="223"/>
      <c r="E20" s="223"/>
      <c r="F20" s="223"/>
      <c r="G20" s="211"/>
      <c r="H20" s="223"/>
      <c r="I20" s="224">
        <f>SUM(I7:I18)</f>
        <v>6169720.96</v>
      </c>
      <c r="J20" s="92"/>
      <c r="K20" s="92"/>
      <c r="L20" s="92"/>
    </row>
    <row r="21" ht="14.25" customHeight="1">
      <c r="A21" s="232" t="str">
        <f>$I$3</f>
        <v>m³</v>
      </c>
      <c r="B21" s="233"/>
      <c r="C21" s="233"/>
      <c r="D21" s="233"/>
      <c r="E21" s="233"/>
      <c r="F21" s="233"/>
      <c r="G21" s="21"/>
      <c r="H21" s="233"/>
      <c r="I21" s="205">
        <f>$H$3</f>
        <v>11</v>
      </c>
      <c r="J21" s="92"/>
      <c r="K21" s="92"/>
      <c r="L21" s="92"/>
    </row>
    <row r="22" ht="14.25" customHeight="1">
      <c r="A22" s="234" t="s">
        <v>997</v>
      </c>
      <c r="B22" s="232" t="str">
        <f>A21</f>
        <v>m³</v>
      </c>
      <c r="C22" s="233"/>
      <c r="D22" s="233"/>
      <c r="E22" s="233"/>
      <c r="F22" s="233"/>
      <c r="G22" s="21"/>
      <c r="H22" s="233"/>
      <c r="I22" s="235">
        <f>I20/I21</f>
        <v>560883.7236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01" t="s">
        <v>998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02" t="s">
        <v>988</v>
      </c>
      <c r="B26" s="202" t="s">
        <v>989</v>
      </c>
      <c r="C26" s="202" t="s">
        <v>990</v>
      </c>
      <c r="D26" s="202" t="s">
        <v>991</v>
      </c>
      <c r="E26" s="202" t="s">
        <v>999</v>
      </c>
      <c r="F26" s="202" t="s">
        <v>992</v>
      </c>
      <c r="G26" s="4" t="s">
        <v>993</v>
      </c>
      <c r="H26" s="202" t="s">
        <v>994</v>
      </c>
      <c r="I26" s="202" t="s">
        <v>995</v>
      </c>
    </row>
    <row r="27" ht="14.25" customHeight="1">
      <c r="A27" s="61" t="s">
        <v>621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29">
        <v>1.0</v>
      </c>
      <c r="E27" s="229">
        <v>5.0</v>
      </c>
      <c r="F27" s="236">
        <v>0.25</v>
      </c>
      <c r="G27" s="217">
        <f t="shared" ref="G27:G32" si="3">ROUNDUP(((D27*E27)*(1+F27)),0)</f>
        <v>7</v>
      </c>
      <c r="H27" s="143">
        <f>IF($A27=0,"",VLOOKUP($A27,'00_MO'!$A$4:$D$7,4,FALSE))</f>
        <v>120000</v>
      </c>
      <c r="I27" s="143">
        <f t="shared" ref="I27:I30" si="4">G27*H27</f>
        <v>840000</v>
      </c>
    </row>
    <row r="28" ht="14.25" customHeight="1">
      <c r="A28" s="61" t="s">
        <v>623</v>
      </c>
      <c r="B28" s="92" t="str">
        <f>IF($A28=0,"",VLOOKUP($A28,'00_MO'!$A$4:$D$7,2,FALSE))</f>
        <v>Puntero</v>
      </c>
      <c r="C28" s="92" t="str">
        <f>IF($A28=0,"",VLOOKUP($A28,'00_MO'!$A$4:$D$7,3,FALSE))</f>
        <v>u</v>
      </c>
      <c r="D28" s="229">
        <v>2.0</v>
      </c>
      <c r="E28" s="229">
        <v>5.0</v>
      </c>
      <c r="F28" s="236">
        <v>0.25</v>
      </c>
      <c r="G28" s="217">
        <f t="shared" si="3"/>
        <v>13</v>
      </c>
      <c r="H28" s="143">
        <f>IF($A28=0,"",VLOOKUP($A28,'00_MO'!$A$4:$D$7,4,FALSE))</f>
        <v>105000</v>
      </c>
      <c r="I28" s="143">
        <f t="shared" si="4"/>
        <v>1365000</v>
      </c>
    </row>
    <row r="29" ht="14.25" customHeight="1">
      <c r="A29" s="61" t="s">
        <v>625</v>
      </c>
      <c r="B29" s="92" t="str">
        <f>IF($A29=0,"",VLOOKUP($A29,'00_MO'!$A$4:$D$7,2,FALSE))</f>
        <v>Oficial</v>
      </c>
      <c r="C29" s="92" t="str">
        <f>IF($A29=0,"",VLOOKUP($A29,'00_MO'!$A$4:$D$7,3,FALSE))</f>
        <v>u</v>
      </c>
      <c r="D29" s="229">
        <v>3.0</v>
      </c>
      <c r="E29" s="229">
        <v>5.0</v>
      </c>
      <c r="F29" s="236">
        <v>0.25</v>
      </c>
      <c r="G29" s="217">
        <f t="shared" si="3"/>
        <v>19</v>
      </c>
      <c r="H29" s="143">
        <f>IF($A29=0,"",VLOOKUP($A29,'00_MO'!$A$4:$D$7,4,FALSE))</f>
        <v>90000</v>
      </c>
      <c r="I29" s="143">
        <f t="shared" si="4"/>
        <v>1710000</v>
      </c>
    </row>
    <row r="30" ht="14.25" customHeight="1">
      <c r="A30" s="61" t="s">
        <v>627</v>
      </c>
      <c r="B30" s="92" t="str">
        <f>IF($A30=0,"",VLOOKUP($A30,'00_MO'!$A$4:$D$7,2,FALSE))</f>
        <v>Ayudante</v>
      </c>
      <c r="C30" s="92" t="str">
        <f>IF($A30=0,"",VLOOKUP($A30,'00_MO'!$A$4:$D$7,3,FALSE))</f>
        <v>u</v>
      </c>
      <c r="D30" s="229">
        <v>3.0</v>
      </c>
      <c r="E30" s="229">
        <v>5.0</v>
      </c>
      <c r="F30" s="236">
        <v>0.25</v>
      </c>
      <c r="G30" s="217">
        <f t="shared" si="3"/>
        <v>19</v>
      </c>
      <c r="H30" s="143">
        <f>IF($A30=0,"",VLOOKUP($A30,'00_MO'!$A$4:$D$7,4,FALSE))</f>
        <v>60000</v>
      </c>
      <c r="I30" s="143">
        <f t="shared" si="4"/>
        <v>1140000</v>
      </c>
    </row>
    <row r="31" ht="14.25" customHeight="1">
      <c r="A31" s="204"/>
      <c r="B31" s="92" t="str">
        <f>IF($A31=0,"",VLOOKUP($A31,'00_MO'!$A$4:$D$7,2,FALSE))</f>
        <v/>
      </c>
      <c r="C31" s="92" t="str">
        <f>IF($A31=0,"",VLOOKUP($A31,'00_MO'!$A$4:$D$7,3,FALSE))</f>
        <v/>
      </c>
      <c r="D31" s="204"/>
      <c r="E31" s="204"/>
      <c r="F31" s="206"/>
      <c r="G31" s="217">
        <f t="shared" si="3"/>
        <v>0</v>
      </c>
      <c r="H31" s="143" t="str">
        <f>IF($A31=0,"",VLOOKUP($A31,'00_MO'!$A$4:$D$7,4,FALSE))</f>
        <v/>
      </c>
      <c r="I31" s="143"/>
    </row>
    <row r="32" ht="14.25" customHeight="1">
      <c r="A32" s="204"/>
      <c r="B32" s="92" t="str">
        <f>IF($A32=0,"",VLOOKUP($A32,'00_MO'!$A$4:$D$7,2,FALSE))</f>
        <v/>
      </c>
      <c r="C32" s="92" t="str">
        <f>IF($A32=0,"",VLOOKUP($A32,'00_MO'!$A$4:$D$7,3,FALSE))</f>
        <v/>
      </c>
      <c r="D32" s="204"/>
      <c r="E32" s="204"/>
      <c r="F32" s="206"/>
      <c r="G32" s="217">
        <f t="shared" si="3"/>
        <v>0</v>
      </c>
      <c r="H32" s="143" t="str">
        <f>IF($A32=0,"",VLOOKUP($A32,'00_MO'!$A$4:$D$7,4,FALSE))</f>
        <v/>
      </c>
      <c r="I32" s="143"/>
    </row>
    <row r="33" ht="14.25" customHeight="1">
      <c r="F33" s="208"/>
      <c r="G33" s="3"/>
      <c r="H33" s="143"/>
      <c r="I33" s="143"/>
    </row>
    <row r="34" ht="14.25" customHeight="1">
      <c r="A34" s="222" t="s">
        <v>987</v>
      </c>
      <c r="B34" s="223"/>
      <c r="C34" s="223"/>
      <c r="D34" s="223"/>
      <c r="E34" s="223"/>
      <c r="F34" s="223"/>
      <c r="G34" s="211"/>
      <c r="H34" s="223"/>
      <c r="I34" s="224">
        <f>SUM(I27:I32)</f>
        <v>5055000</v>
      </c>
    </row>
    <row r="35" ht="14.25" customHeight="1">
      <c r="A35" s="232" t="str">
        <f>$I$3</f>
        <v>m³</v>
      </c>
      <c r="B35" s="233"/>
      <c r="C35" s="233"/>
      <c r="D35" s="233"/>
      <c r="E35" s="233"/>
      <c r="F35" s="233"/>
      <c r="G35" s="21"/>
      <c r="H35" s="233"/>
      <c r="I35" s="205">
        <f>$H$3</f>
        <v>11</v>
      </c>
      <c r="J35" s="92"/>
      <c r="K35" s="92"/>
      <c r="L35" s="92"/>
    </row>
    <row r="36" ht="14.25" customHeight="1">
      <c r="A36" s="234" t="s">
        <v>997</v>
      </c>
      <c r="B36" s="232" t="str">
        <f>A35</f>
        <v>m³</v>
      </c>
      <c r="C36" s="233"/>
      <c r="D36" s="233"/>
      <c r="E36" s="233"/>
      <c r="F36" s="233"/>
      <c r="G36" s="21"/>
      <c r="H36" s="233"/>
      <c r="I36" s="235">
        <f>I34/I35</f>
        <v>459545.4545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01" t="s">
        <v>1000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02" t="s">
        <v>988</v>
      </c>
      <c r="B40" s="202" t="s">
        <v>989</v>
      </c>
      <c r="C40" s="202" t="s">
        <v>990</v>
      </c>
      <c r="D40" s="202" t="s">
        <v>991</v>
      </c>
      <c r="E40" s="202" t="s">
        <v>999</v>
      </c>
      <c r="F40" s="202" t="s">
        <v>992</v>
      </c>
      <c r="G40" s="4" t="s">
        <v>993</v>
      </c>
      <c r="H40" s="202" t="s">
        <v>994</v>
      </c>
      <c r="I40" s="202" t="s">
        <v>995</v>
      </c>
    </row>
    <row r="41" ht="14.25" customHeight="1">
      <c r="A41" s="3"/>
      <c r="B41" s="92" t="str">
        <f>IF($A41=0,"",VLOOKUP($A41,'00_Mat'!$A$4:$J$1135,2,FALSE))</f>
        <v/>
      </c>
      <c r="C41" s="92" t="str">
        <f>IF($A41=0,"",VLOOKUP($A41,'00_Mat'!$A$4:$J$1135,3,FALSE))</f>
        <v/>
      </c>
      <c r="D41" s="230"/>
      <c r="E41" s="204"/>
      <c r="F41" s="236"/>
      <c r="G41" s="221">
        <f t="shared" ref="G41:G45" si="5">ROUNDUP((D41+(D41*F41)),0)</f>
        <v>0</v>
      </c>
      <c r="H41" s="143" t="str">
        <f>IF($A41=0,"",VLOOKUP($A41,'00_Mat'!$A$4:$J$1135,5,FALSE))</f>
        <v/>
      </c>
      <c r="I41" s="143">
        <f t="shared" ref="I41:I46" si="6">G41*H41</f>
        <v>0</v>
      </c>
      <c r="J41" s="237"/>
    </row>
    <row r="42" ht="14.25" customHeight="1">
      <c r="A42" s="3"/>
      <c r="B42" s="92" t="str">
        <f>IF($A42=0,"",VLOOKUP($A42,'00_Mat'!$A$4:$J$1135,2,FALSE))</f>
        <v/>
      </c>
      <c r="C42" s="92" t="str">
        <f>IF($A42=0,"",VLOOKUP($A42,'00_Mat'!$A$4:$J$1135,3,FALSE))</f>
        <v/>
      </c>
      <c r="D42" s="230"/>
      <c r="E42" s="204"/>
      <c r="F42" s="236"/>
      <c r="G42" s="221">
        <f t="shared" si="5"/>
        <v>0</v>
      </c>
      <c r="H42" s="143" t="str">
        <f>IF($A42=0,"",VLOOKUP($A42,'00_Mat'!$A$4:$J$1135,5,FALSE))</f>
        <v/>
      </c>
      <c r="I42" s="143">
        <f t="shared" si="6"/>
        <v>0</v>
      </c>
      <c r="J42" s="237"/>
    </row>
    <row r="43" ht="14.25" customHeight="1">
      <c r="A43" s="3"/>
      <c r="B43" s="92" t="str">
        <f>IF($A43=0,"",VLOOKUP($A43,'00_Mat'!$A$4:$J$1135,2,FALSE))</f>
        <v/>
      </c>
      <c r="C43" s="92" t="str">
        <f>IF($A43=0,"",VLOOKUP($A43,'00_Mat'!$A$4:$J$1135,3,FALSE))</f>
        <v/>
      </c>
      <c r="D43" s="230"/>
      <c r="E43" s="204"/>
      <c r="F43" s="236"/>
      <c r="G43" s="221">
        <f t="shared" si="5"/>
        <v>0</v>
      </c>
      <c r="H43" s="143" t="str">
        <f>IF($A43=0,"",VLOOKUP($A43,'00_Mat'!$A$4:$J$1135,5,FALSE))</f>
        <v/>
      </c>
      <c r="I43" s="143">
        <f t="shared" si="6"/>
        <v>0</v>
      </c>
    </row>
    <row r="44" ht="14.25" customHeight="1">
      <c r="A44" s="20"/>
      <c r="B44" s="92" t="str">
        <f>IF($A44=0,"",VLOOKUP($A44,'00_Mat'!$A$4:$J$1135,2,FALSE))</f>
        <v/>
      </c>
      <c r="C44" s="92" t="str">
        <f>IF($A44=0,"",VLOOKUP($A44,'00_Mat'!$A$4:$J$1135,3,FALSE))</f>
        <v/>
      </c>
      <c r="D44" s="230"/>
      <c r="E44" s="204"/>
      <c r="F44" s="236"/>
      <c r="G44" s="221">
        <f t="shared" si="5"/>
        <v>0</v>
      </c>
      <c r="H44" s="143" t="str">
        <f>IF($A44=0,"",VLOOKUP($A44,'00_Mat'!$A$4:$J$1135,5,FALSE))</f>
        <v/>
      </c>
      <c r="I44" s="143">
        <f t="shared" si="6"/>
        <v>0</v>
      </c>
    </row>
    <row r="45" ht="14.25" customHeight="1">
      <c r="B45" s="194" t="str">
        <f>IF($A45=0,"",VLOOKUP($A45,'00_Mat'!$A$4:$J$1135,2,FALSE))</f>
        <v/>
      </c>
      <c r="C45" s="92" t="str">
        <f>IF($A45=0,"",VLOOKUP($A45,'00_Mat'!$A$4:$J$1135,3,FALSE))</f>
        <v/>
      </c>
      <c r="D45" s="230"/>
      <c r="E45" s="204"/>
      <c r="F45" s="236"/>
      <c r="G45" s="221">
        <f t="shared" si="5"/>
        <v>0</v>
      </c>
      <c r="H45" s="231"/>
      <c r="I45" s="143">
        <f t="shared" si="6"/>
        <v>0</v>
      </c>
      <c r="M45" s="153"/>
    </row>
    <row r="46" ht="14.25" customHeight="1">
      <c r="A46" s="204"/>
      <c r="B46" s="92" t="str">
        <f>IF($A46=0,"",VLOOKUP($A46,'00_Mat'!$A$4:$J$1135,2,FALSE))</f>
        <v/>
      </c>
      <c r="C46" s="92" t="str">
        <f>IF($A46=0,"",VLOOKUP($A46,'00_Mat'!$A$4:$J$1135,3,FALSE))</f>
        <v/>
      </c>
      <c r="D46" s="204"/>
      <c r="E46" s="204"/>
      <c r="F46" s="236"/>
      <c r="G46" s="217">
        <f>ROUNDUP(((D46*E46)*(1+F46)),0)</f>
        <v>0</v>
      </c>
      <c r="H46" s="143" t="str">
        <f>IF($A46=0,"",VLOOKUP($A46,'00_Mat'!$A$4:$J$1135,5,FALSE))</f>
        <v/>
      </c>
      <c r="I46" s="143">
        <f t="shared" si="6"/>
        <v>0</v>
      </c>
    </row>
    <row r="47" ht="14.25" customHeight="1">
      <c r="F47" s="208"/>
      <c r="G47" s="3"/>
      <c r="H47" s="143"/>
      <c r="I47" s="143"/>
    </row>
    <row r="48" ht="14.25" customHeight="1">
      <c r="A48" s="222" t="s">
        <v>987</v>
      </c>
      <c r="B48" s="223"/>
      <c r="C48" s="223"/>
      <c r="D48" s="223"/>
      <c r="E48" s="223"/>
      <c r="F48" s="223"/>
      <c r="G48" s="211"/>
      <c r="H48" s="223"/>
      <c r="I48" s="224">
        <f>SUM(I41:I46)</f>
        <v>0</v>
      </c>
    </row>
    <row r="49" ht="14.25" customHeight="1">
      <c r="A49" s="232" t="str">
        <f>$I$3</f>
        <v>m³</v>
      </c>
      <c r="B49" s="233"/>
      <c r="C49" s="233"/>
      <c r="D49" s="233"/>
      <c r="E49" s="233"/>
      <c r="F49" s="233"/>
      <c r="G49" s="21"/>
      <c r="H49" s="233"/>
      <c r="I49" s="205">
        <f>$H$3</f>
        <v>11</v>
      </c>
      <c r="J49" s="92"/>
      <c r="K49" s="92"/>
      <c r="L49" s="92"/>
    </row>
    <row r="50" ht="14.25" customHeight="1">
      <c r="A50" s="234" t="s">
        <v>997</v>
      </c>
      <c r="B50" s="232" t="str">
        <f>A49</f>
        <v>m³</v>
      </c>
      <c r="C50" s="233"/>
      <c r="D50" s="233"/>
      <c r="E50" s="233"/>
      <c r="F50" s="233"/>
      <c r="G50" s="21"/>
      <c r="H50" s="233"/>
      <c r="I50" s="235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01" t="s">
        <v>1010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02" t="s">
        <v>988</v>
      </c>
      <c r="B54" s="202" t="s">
        <v>989</v>
      </c>
      <c r="C54" s="202" t="s">
        <v>990</v>
      </c>
      <c r="D54" s="203" t="s">
        <v>991</v>
      </c>
      <c r="E54" s="197"/>
      <c r="F54" s="202" t="s">
        <v>992</v>
      </c>
      <c r="G54" s="4" t="s">
        <v>993</v>
      </c>
      <c r="H54" s="202" t="s">
        <v>994</v>
      </c>
      <c r="I54" s="202" t="s">
        <v>995</v>
      </c>
    </row>
    <row r="55" ht="14.25" customHeight="1">
      <c r="A55" s="3"/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30"/>
      <c r="E55" s="204"/>
      <c r="F55" s="236">
        <v>0.1</v>
      </c>
      <c r="G55" s="221">
        <f t="shared" ref="G55:G59" si="7">ROUNDUP((D55+(D55*F55)),0)</f>
        <v>0</v>
      </c>
      <c r="H55" s="143" t="str">
        <f>IF($A55=0,"",VLOOKUP($A55,'00_Mat'!$A$4:$J$1135,5,FALSE))</f>
        <v/>
      </c>
      <c r="I55" s="143">
        <f t="shared" ref="I55:I60" si="8">G55*H55</f>
        <v>0</v>
      </c>
      <c r="J55" s="237"/>
    </row>
    <row r="56" ht="14.25" customHeight="1">
      <c r="A56" s="3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0"/>
      <c r="E56" s="204"/>
      <c r="F56" s="236">
        <v>0.1</v>
      </c>
      <c r="G56" s="221">
        <f t="shared" si="7"/>
        <v>0</v>
      </c>
      <c r="H56" s="143" t="str">
        <f>IF($A56=0,"",VLOOKUP($A56,'00_Mat'!$A$4:$J$1135,5,FALSE))</f>
        <v/>
      </c>
      <c r="I56" s="143">
        <f t="shared" si="8"/>
        <v>0</v>
      </c>
      <c r="J56" s="237"/>
    </row>
    <row r="57" ht="14.25" customHeight="1">
      <c r="A57" s="3" t="s">
        <v>75</v>
      </c>
      <c r="B57" s="92" t="str">
        <f>IF($A57=0,"",VLOOKUP($A57,'00_Mat'!$A$4:$J$1135,2,FALSE))</f>
        <v>Clavos 2" punta paris (k)</v>
      </c>
      <c r="C57" s="92" t="str">
        <f>IF($A57=0,"",VLOOKUP($A57,'00_Mat'!$A$4:$J$1135,3,FALSE))</f>
        <v>k</v>
      </c>
      <c r="D57" s="230">
        <v>5.0</v>
      </c>
      <c r="E57" s="204"/>
      <c r="F57" s="236">
        <v>0.1</v>
      </c>
      <c r="G57" s="221">
        <f t="shared" si="7"/>
        <v>6</v>
      </c>
      <c r="H57" s="143">
        <f>IF($A57=0,"",VLOOKUP($A57,'00_Mat'!$A$4:$J$1135,5,FALSE))</f>
        <v>4500</v>
      </c>
      <c r="I57" s="143">
        <f t="shared" si="8"/>
        <v>27000</v>
      </c>
      <c r="J57" s="153" t="s">
        <v>1013</v>
      </c>
    </row>
    <row r="58" ht="14.25" customHeight="1">
      <c r="A58" s="20" t="s">
        <v>81</v>
      </c>
      <c r="B58" s="92" t="str">
        <f>IF($A58=0,"",VLOOKUP($A58,'00_Mat'!$A$4:$J$1135,2,FALSE))</f>
        <v>Alambre Fardo (50 k)</v>
      </c>
      <c r="C58" s="92" t="str">
        <f>IF($A58=0,"",VLOOKUP($A58,'00_Mat'!$A$4:$J$1135,3,FALSE))</f>
        <v>k</v>
      </c>
      <c r="D58" s="230">
        <v>1.0</v>
      </c>
      <c r="E58" s="204"/>
      <c r="F58" s="236">
        <v>0.0</v>
      </c>
      <c r="G58" s="221">
        <f t="shared" si="7"/>
        <v>1</v>
      </c>
      <c r="H58" s="143">
        <f>IF($A58=0,"",VLOOKUP($A58,'00_Mat'!$A$4:$J$1135,5,FALSE))</f>
        <v>220000</v>
      </c>
      <c r="I58" s="143">
        <f t="shared" si="8"/>
        <v>220000</v>
      </c>
      <c r="J58" s="153" t="s">
        <v>1033</v>
      </c>
    </row>
    <row r="59" ht="14.25" customHeight="1">
      <c r="B59" s="194" t="str">
        <f>IF($A59=0,"",VLOOKUP($A59,'00_Mat'!$A$4:$J$1135,2,FALSE))</f>
        <v/>
      </c>
      <c r="C59" s="92" t="str">
        <f>IF($A59=0,"",VLOOKUP($A59,'00_Mat'!$A$4:$J$1135,3,FALSE))</f>
        <v/>
      </c>
      <c r="D59" s="230"/>
      <c r="E59" s="204"/>
      <c r="F59" s="236">
        <v>0.1</v>
      </c>
      <c r="G59" s="221">
        <f t="shared" si="7"/>
        <v>0</v>
      </c>
      <c r="H59" s="231"/>
      <c r="I59" s="143">
        <f t="shared" si="8"/>
        <v>0</v>
      </c>
      <c r="M59" s="153"/>
    </row>
    <row r="60" ht="14.25" customHeight="1">
      <c r="A60" s="204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04"/>
      <c r="E60" s="204"/>
      <c r="F60" s="236">
        <v>0.1</v>
      </c>
      <c r="G60" s="217">
        <f>ROUNDUP(((D60*E60)*(1+F60)),0)</f>
        <v>0</v>
      </c>
      <c r="H60" s="143" t="str">
        <f>IF($A60=0,"",VLOOKUP($A60,'00_Mat'!$A$4:$J$1135,5,FALSE))</f>
        <v/>
      </c>
      <c r="I60" s="143">
        <f t="shared" si="8"/>
        <v>0</v>
      </c>
    </row>
    <row r="61" ht="14.25" customHeight="1">
      <c r="F61" s="208"/>
      <c r="G61" s="3"/>
      <c r="H61" s="143"/>
      <c r="I61" s="143"/>
    </row>
    <row r="62" ht="14.25" customHeight="1">
      <c r="A62" s="222" t="s">
        <v>987</v>
      </c>
      <c r="B62" s="223"/>
      <c r="C62" s="223"/>
      <c r="D62" s="223"/>
      <c r="E62" s="223"/>
      <c r="F62" s="223"/>
      <c r="G62" s="211"/>
      <c r="H62" s="223"/>
      <c r="I62" s="224">
        <f>SUM(I55:I60)</f>
        <v>247000</v>
      </c>
    </row>
    <row r="63" ht="14.25" customHeight="1">
      <c r="A63" s="232" t="str">
        <f>$I$3</f>
        <v>m³</v>
      </c>
      <c r="B63" s="233"/>
      <c r="C63" s="233"/>
      <c r="D63" s="233"/>
      <c r="E63" s="233"/>
      <c r="F63" s="233"/>
      <c r="G63" s="21"/>
      <c r="H63" s="233"/>
      <c r="I63" s="205">
        <f>$H$3</f>
        <v>11</v>
      </c>
      <c r="J63" s="92"/>
      <c r="K63" s="92"/>
      <c r="L63" s="92"/>
    </row>
    <row r="64" ht="14.25" customHeight="1">
      <c r="A64" s="234" t="s">
        <v>997</v>
      </c>
      <c r="B64" s="232" t="str">
        <f>A63</f>
        <v>m³</v>
      </c>
      <c r="C64" s="233"/>
      <c r="D64" s="233"/>
      <c r="E64" s="233"/>
      <c r="F64" s="233"/>
      <c r="G64" s="21"/>
      <c r="H64" s="233"/>
      <c r="I64" s="235">
        <f>I62/I63</f>
        <v>22454.54545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01" t="s">
        <v>1025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02" t="s">
        <v>988</v>
      </c>
      <c r="B68" s="202" t="s">
        <v>989</v>
      </c>
      <c r="C68" s="202" t="s">
        <v>990</v>
      </c>
      <c r="D68" s="202" t="s">
        <v>991</v>
      </c>
      <c r="E68" s="202" t="s">
        <v>999</v>
      </c>
      <c r="F68" s="202" t="s">
        <v>992</v>
      </c>
      <c r="G68" s="4" t="s">
        <v>993</v>
      </c>
      <c r="H68" s="202" t="s">
        <v>994</v>
      </c>
      <c r="I68" s="202" t="s">
        <v>995</v>
      </c>
    </row>
    <row r="69" ht="14.25" customHeight="1">
      <c r="A69" s="204"/>
      <c r="B69" s="92" t="str">
        <f>IF($A69=0,"",VLOOKUP($A69,'00_Sub'!$A$4:$D$1007,2,FALSE))</f>
        <v/>
      </c>
      <c r="C69" s="92" t="str">
        <f>IF($A69=0,"",VLOOKUP($A69,'00_Sub'!$A$4:$D$1007,3,FALSE))</f>
        <v/>
      </c>
      <c r="D69" s="204"/>
      <c r="E69" s="204"/>
      <c r="F69" s="206"/>
      <c r="G69" s="221">
        <f t="shared" ref="G69:G74" si="9">ROUNDUP((D69+(D69*F69)),0)</f>
        <v>0</v>
      </c>
      <c r="H69" s="143" t="str">
        <f>IF($A69=0,"",VLOOKUP($A69,'00_Sub'!$A$4:$D$1007,4,FALSE))</f>
        <v/>
      </c>
      <c r="I69" s="143"/>
    </row>
    <row r="70" ht="14.25" customHeight="1">
      <c r="A70" s="204"/>
      <c r="B70" s="92" t="str">
        <f>IF($A70=0,"",VLOOKUP($A70,'00_Sub'!$A$4:$D$1007,2,FALSE))</f>
        <v/>
      </c>
      <c r="C70" s="92" t="str">
        <f>IF($A70=0,"",VLOOKUP($A70,'00_Sub'!$A$4:$D$1007,3,FALSE))</f>
        <v/>
      </c>
      <c r="D70" s="204"/>
      <c r="E70" s="204"/>
      <c r="F70" s="206"/>
      <c r="G70" s="221">
        <f t="shared" si="9"/>
        <v>0</v>
      </c>
      <c r="H70" s="143" t="str">
        <f>IF($A70=0,"",VLOOKUP($A70,'00_Sub'!$A$4:$D$1007,4,FALSE))</f>
        <v/>
      </c>
      <c r="I70" s="143"/>
    </row>
    <row r="71" ht="14.25" customHeight="1">
      <c r="A71" s="204"/>
      <c r="B71" s="92" t="str">
        <f>IF($A71=0,"",VLOOKUP($A71,'00_Sub'!$A$4:$D$1007,2,FALSE))</f>
        <v/>
      </c>
      <c r="C71" s="92" t="str">
        <f>IF($A71=0,"",VLOOKUP($A71,'00_Sub'!$A$4:$D$1007,3,FALSE))</f>
        <v/>
      </c>
      <c r="D71" s="204"/>
      <c r="E71" s="204"/>
      <c r="F71" s="206"/>
      <c r="G71" s="221">
        <f t="shared" si="9"/>
        <v>0</v>
      </c>
      <c r="H71" s="143" t="str">
        <f>IF($A71=0,"",VLOOKUP($A71,'00_Sub'!$A$4:$D$1007,4,FALSE))</f>
        <v/>
      </c>
      <c r="I71" s="143"/>
    </row>
    <row r="72" ht="14.25" customHeight="1">
      <c r="A72" s="204"/>
      <c r="B72" s="92" t="str">
        <f>IF($A72=0,"",VLOOKUP($A72,'00_Sub'!$A$4:$D$1007,2,FALSE))</f>
        <v/>
      </c>
      <c r="C72" s="92" t="str">
        <f>IF($A72=0,"",VLOOKUP($A72,'00_Sub'!$A$4:$D$1007,3,FALSE))</f>
        <v/>
      </c>
      <c r="D72" s="204"/>
      <c r="E72" s="204"/>
      <c r="F72" s="206"/>
      <c r="G72" s="221">
        <f t="shared" si="9"/>
        <v>0</v>
      </c>
      <c r="H72" s="143" t="str">
        <f>IF($A72=0,"",VLOOKUP($A72,'00_Sub'!$A$4:$D$1007,4,FALSE))</f>
        <v/>
      </c>
      <c r="I72" s="143"/>
    </row>
    <row r="73" ht="14.25" customHeight="1">
      <c r="A73" s="204"/>
      <c r="B73" s="92" t="str">
        <f>IF($A73=0,"",VLOOKUP($A73,'00_Sub'!$A$4:$D$1007,2,FALSE))</f>
        <v/>
      </c>
      <c r="C73" s="92" t="str">
        <f>IF($A73=0,"",VLOOKUP($A73,'00_Sub'!$A$4:$D$1007,3,FALSE))</f>
        <v/>
      </c>
      <c r="D73" s="204"/>
      <c r="E73" s="204"/>
      <c r="F73" s="206"/>
      <c r="G73" s="221">
        <f t="shared" si="9"/>
        <v>0</v>
      </c>
      <c r="H73" s="143" t="str">
        <f>IF($A73=0,"",VLOOKUP($A73,'00_Sub'!$A$4:$D$1007,4,FALSE))</f>
        <v/>
      </c>
      <c r="I73" s="143"/>
    </row>
    <row r="74" ht="14.25" customHeight="1">
      <c r="A74" s="204"/>
      <c r="B74" s="92" t="str">
        <f>IF($A74=0,"",VLOOKUP($A74,'00_Sub'!$A$4:$D$1007,2,FALSE))</f>
        <v/>
      </c>
      <c r="C74" s="92" t="str">
        <f>IF($A74=0,"",VLOOKUP($A74,'00_Sub'!$A$4:$D$1007,3,FALSE))</f>
        <v/>
      </c>
      <c r="D74" s="204"/>
      <c r="E74" s="204"/>
      <c r="F74" s="206"/>
      <c r="G74" s="221">
        <f t="shared" si="9"/>
        <v>0</v>
      </c>
      <c r="H74" s="143" t="str">
        <f>IF($A74=0,"",VLOOKUP($A74,'00_Sub'!$A$4:$D$1007,4,FALSE))</f>
        <v/>
      </c>
      <c r="I74" s="143"/>
    </row>
    <row r="75" ht="14.25" customHeight="1">
      <c r="F75" s="208"/>
      <c r="G75" s="3"/>
      <c r="H75" s="143"/>
      <c r="I75" s="143"/>
    </row>
    <row r="76" ht="14.25" customHeight="1">
      <c r="A76" s="222" t="s">
        <v>987</v>
      </c>
      <c r="B76" s="223"/>
      <c r="C76" s="223"/>
      <c r="D76" s="223"/>
      <c r="E76" s="223"/>
      <c r="F76" s="223"/>
      <c r="G76" s="211"/>
      <c r="H76" s="223"/>
      <c r="I76" s="224">
        <f>SUM(I69:I74)</f>
        <v>0</v>
      </c>
    </row>
    <row r="77" ht="14.25" customHeight="1">
      <c r="A77" s="232" t="str">
        <f>$I$3</f>
        <v>m³</v>
      </c>
      <c r="B77" s="233"/>
      <c r="C77" s="233"/>
      <c r="D77" s="233"/>
      <c r="E77" s="233"/>
      <c r="F77" s="233"/>
      <c r="G77" s="21"/>
      <c r="H77" s="233"/>
      <c r="I77" s="205">
        <f>$H$3</f>
        <v>11</v>
      </c>
      <c r="J77" s="92"/>
      <c r="K77" s="92"/>
      <c r="L77" s="92"/>
    </row>
    <row r="78" ht="14.25" customHeight="1">
      <c r="A78" s="234" t="s">
        <v>997</v>
      </c>
      <c r="B78" s="232" t="str">
        <f>A77</f>
        <v>m³</v>
      </c>
      <c r="C78" s="233"/>
      <c r="D78" s="233"/>
      <c r="E78" s="233"/>
      <c r="F78" s="233"/>
      <c r="G78" s="21"/>
      <c r="H78" s="233"/>
      <c r="I78" s="235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3">
    <mergeCell ref="B3:F3"/>
    <mergeCell ref="D6:E6"/>
    <mergeCell ref="D54:E54"/>
  </mergeCells>
  <printOptions/>
  <pageMargins bottom="0.75" footer="0.0" header="0.0" left="0.7" right="0.7" top="0.75"/>
  <pageSetup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1" width="8.71"/>
    <col customWidth="1" min="12" max="12" width="10.14"/>
    <col customWidth="1" min="13" max="13" width="30.29"/>
  </cols>
  <sheetData>
    <row r="1" ht="33.75" customHeight="1">
      <c r="A1" s="91" t="str">
        <f>'01_C&amp;P'!A1</f>
        <v>EDIFICIO LAS HERAS</v>
      </c>
      <c r="B1" s="91"/>
      <c r="C1" s="91"/>
      <c r="G1" s="3"/>
    </row>
    <row r="2" ht="14.25" customHeight="1">
      <c r="G2" s="3"/>
    </row>
    <row r="3" ht="23.25" customHeight="1">
      <c r="A3" s="195">
        <f>'01_C&amp;P'!A122</f>
        <v>46085</v>
      </c>
      <c r="B3" s="196" t="str">
        <f>IF($A3=0,"",VLOOKUP($A3,'01_C&amp;P'!$A$9:$D$192,2,FALSE))</f>
        <v>LOSA</v>
      </c>
      <c r="C3" s="197"/>
      <c r="D3" s="197"/>
      <c r="E3" s="197"/>
      <c r="F3" s="197"/>
      <c r="G3" s="198"/>
      <c r="H3" s="199">
        <f>IF($A3=0,"",VLOOKUP($A3,'01_C&amp;P'!$A$9:$D$192,4,FALSE))</f>
        <v>8</v>
      </c>
      <c r="I3" s="200" t="str">
        <f>IF($A3=0,"",VLOOKUP($A3,'01_C&amp;P'!$A$9:$D$192,3,FALSE))</f>
        <v>m³</v>
      </c>
      <c r="M3" s="246" t="s">
        <v>1064</v>
      </c>
    </row>
    <row r="4" ht="14.25" customHeight="1">
      <c r="G4" s="3"/>
    </row>
    <row r="5" ht="14.25" customHeight="1">
      <c r="A5" s="201" t="s">
        <v>0</v>
      </c>
      <c r="B5" s="94"/>
      <c r="C5" s="94"/>
      <c r="D5" s="94"/>
      <c r="E5" s="94"/>
      <c r="F5" s="94"/>
      <c r="G5" s="2"/>
      <c r="H5" s="94"/>
      <c r="I5" s="94"/>
    </row>
    <row r="6" ht="14.25" customHeight="1">
      <c r="A6" s="202" t="s">
        <v>988</v>
      </c>
      <c r="B6" s="202" t="s">
        <v>989</v>
      </c>
      <c r="C6" s="202" t="s">
        <v>990</v>
      </c>
      <c r="D6" s="203" t="s">
        <v>991</v>
      </c>
      <c r="E6" s="197"/>
      <c r="F6" s="202" t="s">
        <v>992</v>
      </c>
      <c r="G6" s="4" t="s">
        <v>993</v>
      </c>
      <c r="H6" s="202" t="s">
        <v>994</v>
      </c>
      <c r="I6" s="202" t="s">
        <v>995</v>
      </c>
    </row>
    <row r="7" ht="14.25" customHeight="1">
      <c r="A7" s="229" t="s">
        <v>560</v>
      </c>
      <c r="B7" s="92" t="str">
        <f>IF($A7=0,"",VLOOKUP($A7,'00_Mat'!$A$4:$J$1135,2,FALSE))</f>
        <v>Hormigon H30</v>
      </c>
      <c r="C7" s="92" t="str">
        <f>IF($A7=0,"",VLOOKUP($A7,'00_Mat'!$A$4:$J$1135,3,FALSE))</f>
        <v>m3</v>
      </c>
      <c r="D7" s="230">
        <f>H3</f>
        <v>8</v>
      </c>
      <c r="E7" s="204"/>
      <c r="F7" s="206">
        <v>0.1</v>
      </c>
      <c r="G7" s="221">
        <f t="shared" ref="G7:G18" si="1">ROUNDUP((D7+(D7*F7)),0)</f>
        <v>9</v>
      </c>
      <c r="H7" s="143">
        <f>IF($A7=0,"",VLOOKUP($A7,'00_Mat'!$A$4:$J$1135,5,FALSE))</f>
        <v>158000</v>
      </c>
      <c r="I7" s="143">
        <f t="shared" ref="I7:I18" si="2">G7*H7</f>
        <v>1422000</v>
      </c>
      <c r="J7" s="231" t="s">
        <v>548</v>
      </c>
    </row>
    <row r="8" ht="14.25" customHeight="1">
      <c r="A8" s="3" t="s">
        <v>132</v>
      </c>
      <c r="B8" s="92" t="str">
        <f>IF($A8=0,"",VLOOKUP($A8,'00_Mat'!$A$4:$J$1135,2,FALSE))</f>
        <v>Hierros ADN 420 Φ 6 </v>
      </c>
      <c r="C8" s="92" t="str">
        <f>IF($A8=0,"",VLOOKUP($A8,'00_Mat'!$A$4:$J$1135,3,FALSE))</f>
        <v>u</v>
      </c>
      <c r="D8" s="230">
        <v>47.0</v>
      </c>
      <c r="E8" s="204"/>
      <c r="F8" s="206">
        <v>0.1</v>
      </c>
      <c r="G8" s="221">
        <f t="shared" si="1"/>
        <v>52</v>
      </c>
      <c r="H8" s="143">
        <f>IF($A8=0,"",VLOOKUP($A8,'00_Mat'!$A$4:$J$1135,5,FALSE))</f>
        <v>5250</v>
      </c>
      <c r="I8" s="143">
        <f t="shared" si="2"/>
        <v>273000</v>
      </c>
      <c r="J8" s="153" t="s">
        <v>1028</v>
      </c>
    </row>
    <row r="9" ht="14.25" customHeight="1">
      <c r="A9" s="3" t="s">
        <v>134</v>
      </c>
      <c r="B9" s="92" t="str">
        <f>IF($A9=0,"",VLOOKUP($A9,'00_Mat'!$A$4:$J$1135,2,FALSE))</f>
        <v>Hierros ADN 420 Φ 8</v>
      </c>
      <c r="C9" s="92" t="str">
        <f>IF($A9=0,"",VLOOKUP($A9,'00_Mat'!$A$4:$J$1135,3,FALSE))</f>
        <v>u</v>
      </c>
      <c r="D9" s="229">
        <v>0.0</v>
      </c>
      <c r="E9" s="204"/>
      <c r="F9" s="206">
        <v>0.1</v>
      </c>
      <c r="G9" s="221">
        <f t="shared" si="1"/>
        <v>0</v>
      </c>
      <c r="H9" s="143">
        <f>IF($A9=0,"",VLOOKUP($A9,'00_Mat'!$A$4:$J$1135,5,FALSE))</f>
        <v>9050</v>
      </c>
      <c r="I9" s="143">
        <f t="shared" si="2"/>
        <v>0</v>
      </c>
    </row>
    <row r="10" ht="14.25" customHeight="1">
      <c r="A10" s="3" t="s">
        <v>136</v>
      </c>
      <c r="B10" s="92" t="str">
        <f>IF($A10=0,"",VLOOKUP($A10,'00_Mat'!$A$4:$J$1135,2,FALSE))</f>
        <v>Hierros ADN 420Φ 10</v>
      </c>
      <c r="C10" s="92" t="str">
        <f>IF($A10=0,"",VLOOKUP($A10,'00_Mat'!$A$4:$J$1135,3,FALSE))</f>
        <v>u</v>
      </c>
      <c r="D10" s="229">
        <v>32.0</v>
      </c>
      <c r="E10" s="204"/>
      <c r="F10" s="206">
        <v>0.1</v>
      </c>
      <c r="G10" s="221">
        <f t="shared" si="1"/>
        <v>36</v>
      </c>
      <c r="H10" s="143">
        <f>IF($A10=0,"",VLOOKUP($A10,'00_Mat'!$A$4:$J$1135,5,FALSE))</f>
        <v>11237</v>
      </c>
      <c r="I10" s="143">
        <f t="shared" si="2"/>
        <v>404532</v>
      </c>
    </row>
    <row r="11" ht="14.25" customHeight="1">
      <c r="A11" s="3" t="s">
        <v>138</v>
      </c>
      <c r="B11" s="92" t="str">
        <f>IF($A11=0,"",VLOOKUP($A11,'00_Mat'!$A$4:$J$1135,2,FALSE))</f>
        <v>Hierros ADN 420 Φ 12</v>
      </c>
      <c r="C11" s="92" t="str">
        <f>IF($A11=0,"",VLOOKUP($A11,'00_Mat'!$A$4:$J$1135,3,FALSE))</f>
        <v>u</v>
      </c>
      <c r="D11" s="229">
        <v>0.0</v>
      </c>
      <c r="E11" s="204"/>
      <c r="F11" s="206">
        <v>0.1</v>
      </c>
      <c r="G11" s="221">
        <f t="shared" si="1"/>
        <v>0</v>
      </c>
      <c r="H11" s="143">
        <f>IF($A11=0,"",VLOOKUP($A11,'00_Mat'!$A$4:$J$1135,5,FALSE))</f>
        <v>20442.5</v>
      </c>
      <c r="I11" s="143">
        <f t="shared" si="2"/>
        <v>0</v>
      </c>
    </row>
    <row r="12" ht="14.25" customHeight="1">
      <c r="A12" s="3" t="s">
        <v>140</v>
      </c>
      <c r="B12" s="92" t="str">
        <f>IF($A12=0,"",VLOOKUP($A12,'00_Mat'!$A$4:$J$1135,2,FALSE))</f>
        <v>Hierros ADN 420 Φ 16</v>
      </c>
      <c r="C12" s="92" t="str">
        <f>IF($A12=0,"",VLOOKUP($A12,'00_Mat'!$A$4:$J$1135,3,FALSE))</f>
        <v>u</v>
      </c>
      <c r="D12" s="229">
        <v>0.0</v>
      </c>
      <c r="E12" s="204"/>
      <c r="F12" s="206">
        <v>0.1</v>
      </c>
      <c r="G12" s="221">
        <f t="shared" si="1"/>
        <v>0</v>
      </c>
      <c r="H12" s="143">
        <f>IF($A12=0,"",VLOOKUP($A12,'00_Mat'!$A$4:$J$1135,5,FALSE))</f>
        <v>36603.12</v>
      </c>
      <c r="I12" s="143">
        <f t="shared" si="2"/>
        <v>0</v>
      </c>
    </row>
    <row r="13" ht="14.25" customHeight="1">
      <c r="A13" s="20" t="s">
        <v>142</v>
      </c>
      <c r="B13" s="92" t="str">
        <f>IF($A13=0,"",VLOOKUP($A13,'00_Mat'!$A$4:$J$1135,2,FALSE))</f>
        <v>Hierros ADN 420 Φ 20</v>
      </c>
      <c r="C13" s="92" t="str">
        <f>IF($A13=0,"",VLOOKUP($A13,'00_Mat'!$A$4:$J$1135,3,FALSE))</f>
        <v>U</v>
      </c>
      <c r="D13" s="229">
        <v>0.0</v>
      </c>
      <c r="E13" s="204"/>
      <c r="F13" s="206">
        <v>0.1</v>
      </c>
      <c r="G13" s="221">
        <f t="shared" si="1"/>
        <v>0</v>
      </c>
      <c r="H13" s="143">
        <f>IF($A13=0,"",VLOOKUP($A13,'00_Mat'!$A$4:$J$1135,5,FALSE))</f>
        <v>55000</v>
      </c>
      <c r="I13" s="143">
        <f t="shared" si="2"/>
        <v>0</v>
      </c>
    </row>
    <row r="14" ht="14.25" customHeight="1">
      <c r="A14" s="3" t="s">
        <v>300</v>
      </c>
      <c r="B14" s="92" t="str">
        <f>IF($A14=0,"",VLOOKUP($A14,'00_Mat'!$A$4:$J$1135,2,FALSE))</f>
        <v>Fenolico 18mm Miraluz 125 GR con film</v>
      </c>
      <c r="C14" s="92" t="str">
        <f>IF($A14=0,"",VLOOKUP($A14,'00_Mat'!$A$4:$J$1135,3,FALSE))</f>
        <v>u</v>
      </c>
      <c r="D14" s="229">
        <v>0.0</v>
      </c>
      <c r="E14" s="204"/>
      <c r="F14" s="236">
        <v>0.25</v>
      </c>
      <c r="G14" s="221">
        <f t="shared" si="1"/>
        <v>0</v>
      </c>
      <c r="H14" s="143">
        <f>IF($A14=0,"",VLOOKUP($A14,'00_Mat'!$A$4:$J$1135,5,FALSE))</f>
        <v>55260</v>
      </c>
      <c r="I14" s="143">
        <f t="shared" si="2"/>
        <v>0</v>
      </c>
      <c r="J14" s="153" t="s">
        <v>1029</v>
      </c>
    </row>
    <row r="15" ht="14.25" customHeight="1">
      <c r="A15" s="3" t="s">
        <v>303</v>
      </c>
      <c r="B15" s="92" t="str">
        <f>IF($A15=0,"",VLOOKUP($A15,'00_Mat'!$A$4:$J$1135,2,FALSE))</f>
        <v>Fenolico 18mm Grandis 2 Buenas cal 3/3</v>
      </c>
      <c r="C15" s="92" t="str">
        <f>IF($A15=0,"",VLOOKUP($A15,'00_Mat'!$A$4:$J$1135,3,FALSE))</f>
        <v>u</v>
      </c>
      <c r="D15" s="229">
        <v>24.0</v>
      </c>
      <c r="E15" s="204"/>
      <c r="F15" s="236">
        <v>0.25</v>
      </c>
      <c r="G15" s="221">
        <f t="shared" si="1"/>
        <v>30</v>
      </c>
      <c r="H15" s="143">
        <f>IF($A15=0,"",VLOOKUP($A15,'00_Mat'!$A$4:$J$1135,5,FALSE))</f>
        <v>45454</v>
      </c>
      <c r="I15" s="143">
        <f t="shared" si="2"/>
        <v>1363620</v>
      </c>
      <c r="J15" s="153" t="s">
        <v>1030</v>
      </c>
    </row>
    <row r="16" ht="14.25" customHeight="1">
      <c r="A16" s="3" t="s">
        <v>602</v>
      </c>
      <c r="B16" s="92" t="str">
        <f>IF($A16=0,"",VLOOKUP($A16,'00_Mat'!$A$4:$J$1135,2,FALSE))</f>
        <v>Bomba Pluma Traslado e Instalacion</v>
      </c>
      <c r="C16" s="92" t="str">
        <f>IF($A16=0,"",VLOOKUP($A16,'00_Mat'!$A$4:$J$1135,3,FALSE))</f>
        <v>u</v>
      </c>
      <c r="D16" s="229">
        <v>1.0</v>
      </c>
      <c r="E16" s="204"/>
      <c r="F16" s="236">
        <v>0.0</v>
      </c>
      <c r="G16" s="221">
        <f t="shared" si="1"/>
        <v>1</v>
      </c>
      <c r="H16" s="143">
        <f>IF($A16=0,"",VLOOKUP($A16,'00_Mat'!$A$4:$J$1135,5,FALSE))</f>
        <v>600000</v>
      </c>
      <c r="I16" s="143">
        <f t="shared" si="2"/>
        <v>600000</v>
      </c>
      <c r="J16" s="153" t="s">
        <v>1031</v>
      </c>
    </row>
    <row r="17" ht="14.25" customHeight="1">
      <c r="A17" s="3" t="s">
        <v>604</v>
      </c>
      <c r="B17" s="92" t="str">
        <f>IF($A17=0,"",VLOOKUP($A17,'00_Mat'!$A$4:$J$1135,2,FALSE))</f>
        <v>Bomba Pluma m3 bombeable</v>
      </c>
      <c r="C17" s="92" t="str">
        <f>IF($A17=0,"",VLOOKUP($A17,'00_Mat'!$A$4:$J$1135,3,FALSE))</f>
        <v>m3</v>
      </c>
      <c r="D17" s="205">
        <f>H3+'4.2'!D7</f>
        <v>19</v>
      </c>
      <c r="E17" s="204"/>
      <c r="F17" s="206">
        <v>0.1</v>
      </c>
      <c r="G17" s="221">
        <f t="shared" si="1"/>
        <v>21</v>
      </c>
      <c r="H17" s="143">
        <f>IF($A17=0,"",VLOOKUP($A17,'00_Mat'!$A$4:$J$1135,5,FALSE))</f>
        <v>6000</v>
      </c>
      <c r="I17" s="143">
        <f t="shared" si="2"/>
        <v>126000</v>
      </c>
      <c r="J17" s="153" t="s">
        <v>1032</v>
      </c>
    </row>
    <row r="18" ht="14.25" customHeight="1">
      <c r="A18" s="204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04"/>
      <c r="E18" s="204"/>
      <c r="F18" s="206">
        <v>0.1</v>
      </c>
      <c r="G18" s="221">
        <f t="shared" si="1"/>
        <v>0</v>
      </c>
      <c r="H18" s="143" t="str">
        <f>IF($A18=0,"",VLOOKUP($A18,'00_Mat'!$A$4:$J$1135,5,FALSE))</f>
        <v/>
      </c>
      <c r="I18" s="143">
        <f t="shared" si="2"/>
        <v>0</v>
      </c>
    </row>
    <row r="19" ht="14.25" customHeight="1">
      <c r="F19" s="208"/>
      <c r="G19" s="3"/>
      <c r="H19" s="143"/>
      <c r="I19" s="143"/>
    </row>
    <row r="20" ht="14.25" customHeight="1">
      <c r="A20" s="222" t="s">
        <v>996</v>
      </c>
      <c r="B20" s="223"/>
      <c r="C20" s="223"/>
      <c r="D20" s="223"/>
      <c r="E20" s="223"/>
      <c r="F20" s="223"/>
      <c r="G20" s="211"/>
      <c r="H20" s="223"/>
      <c r="I20" s="224">
        <f>SUM(I7:I18)</f>
        <v>4189152</v>
      </c>
      <c r="J20" s="92"/>
      <c r="K20" s="92"/>
      <c r="L20" s="92"/>
    </row>
    <row r="21" ht="14.25" customHeight="1">
      <c r="A21" s="232" t="str">
        <f>$I$3</f>
        <v>m³</v>
      </c>
      <c r="B21" s="233"/>
      <c r="C21" s="233"/>
      <c r="D21" s="233"/>
      <c r="E21" s="233"/>
      <c r="F21" s="233"/>
      <c r="G21" s="21"/>
      <c r="H21" s="233"/>
      <c r="I21" s="205">
        <f>$H$3</f>
        <v>8</v>
      </c>
      <c r="J21" s="92"/>
      <c r="K21" s="92"/>
      <c r="L21" s="92"/>
    </row>
    <row r="22" ht="14.25" customHeight="1">
      <c r="A22" s="234" t="s">
        <v>997</v>
      </c>
      <c r="B22" s="232" t="str">
        <f>A21</f>
        <v>m³</v>
      </c>
      <c r="C22" s="233"/>
      <c r="D22" s="233"/>
      <c r="E22" s="233"/>
      <c r="F22" s="233"/>
      <c r="G22" s="21"/>
      <c r="H22" s="233"/>
      <c r="I22" s="235">
        <f>I20/I21</f>
        <v>523644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01" t="s">
        <v>998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02" t="s">
        <v>988</v>
      </c>
      <c r="B26" s="202" t="s">
        <v>989</v>
      </c>
      <c r="C26" s="202" t="s">
        <v>990</v>
      </c>
      <c r="D26" s="202" t="s">
        <v>991</v>
      </c>
      <c r="E26" s="202" t="s">
        <v>999</v>
      </c>
      <c r="F26" s="202" t="s">
        <v>992</v>
      </c>
      <c r="G26" s="4" t="s">
        <v>993</v>
      </c>
      <c r="H26" s="202" t="s">
        <v>994</v>
      </c>
      <c r="I26" s="202" t="s">
        <v>995</v>
      </c>
    </row>
    <row r="27" ht="14.25" customHeight="1">
      <c r="A27" s="61" t="s">
        <v>621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29">
        <v>1.0</v>
      </c>
      <c r="E27" s="229">
        <v>5.0</v>
      </c>
      <c r="F27" s="236">
        <v>0.25</v>
      </c>
      <c r="G27" s="217">
        <f t="shared" ref="G27:G32" si="3">ROUNDUP(((D27*E27)*(1+F27)),0)</f>
        <v>7</v>
      </c>
      <c r="H27" s="143">
        <f>IF($A27=0,"",VLOOKUP($A27,'00_MO'!$A$4:$D$7,4,FALSE))</f>
        <v>120000</v>
      </c>
      <c r="I27" s="143">
        <f t="shared" ref="I27:I32" si="4">G27*H27</f>
        <v>840000</v>
      </c>
    </row>
    <row r="28" ht="14.25" customHeight="1">
      <c r="A28" s="61" t="s">
        <v>623</v>
      </c>
      <c r="B28" s="92" t="str">
        <f>IF($A28=0,"",VLOOKUP($A28,'00_MO'!$A$4:$D$7,2,FALSE))</f>
        <v>Puntero</v>
      </c>
      <c r="C28" s="92" t="str">
        <f>IF($A28=0,"",VLOOKUP($A28,'00_MO'!$A$4:$D$7,3,FALSE))</f>
        <v>u</v>
      </c>
      <c r="D28" s="229">
        <v>2.0</v>
      </c>
      <c r="E28" s="229">
        <v>5.0</v>
      </c>
      <c r="F28" s="236">
        <v>0.25</v>
      </c>
      <c r="G28" s="217">
        <f t="shared" si="3"/>
        <v>13</v>
      </c>
      <c r="H28" s="143">
        <f>IF($A28=0,"",VLOOKUP($A28,'00_MO'!$A$4:$D$7,4,FALSE))</f>
        <v>105000</v>
      </c>
      <c r="I28" s="143">
        <f t="shared" si="4"/>
        <v>1365000</v>
      </c>
    </row>
    <row r="29" ht="14.25" customHeight="1">
      <c r="A29" s="61" t="s">
        <v>625</v>
      </c>
      <c r="B29" s="92" t="str">
        <f>IF($A29=0,"",VLOOKUP($A29,'00_MO'!$A$4:$D$7,2,FALSE))</f>
        <v>Oficial</v>
      </c>
      <c r="C29" s="92" t="str">
        <f>IF($A29=0,"",VLOOKUP($A29,'00_MO'!$A$4:$D$7,3,FALSE))</f>
        <v>u</v>
      </c>
      <c r="D29" s="229">
        <v>3.0</v>
      </c>
      <c r="E29" s="229">
        <v>5.0</v>
      </c>
      <c r="F29" s="236">
        <v>0.25</v>
      </c>
      <c r="G29" s="217">
        <f t="shared" si="3"/>
        <v>19</v>
      </c>
      <c r="H29" s="143">
        <f>IF($A29=0,"",VLOOKUP($A29,'00_MO'!$A$4:$D$7,4,FALSE))</f>
        <v>90000</v>
      </c>
      <c r="I29" s="143">
        <f t="shared" si="4"/>
        <v>1710000</v>
      </c>
    </row>
    <row r="30" ht="14.25" customHeight="1">
      <c r="A30" s="61" t="s">
        <v>627</v>
      </c>
      <c r="B30" s="92" t="str">
        <f>IF($A30=0,"",VLOOKUP($A30,'00_MO'!$A$4:$D$7,2,FALSE))</f>
        <v>Ayudante</v>
      </c>
      <c r="C30" s="92" t="str">
        <f>IF($A30=0,"",VLOOKUP($A30,'00_MO'!$A$4:$D$7,3,FALSE))</f>
        <v>u</v>
      </c>
      <c r="D30" s="229">
        <v>3.0</v>
      </c>
      <c r="E30" s="229">
        <v>5.0</v>
      </c>
      <c r="F30" s="236">
        <v>0.25</v>
      </c>
      <c r="G30" s="217">
        <f t="shared" si="3"/>
        <v>19</v>
      </c>
      <c r="H30" s="143">
        <f>IF($A30=0,"",VLOOKUP($A30,'00_MO'!$A$4:$D$7,4,FALSE))</f>
        <v>60000</v>
      </c>
      <c r="I30" s="143">
        <f t="shared" si="4"/>
        <v>1140000</v>
      </c>
    </row>
    <row r="31" ht="14.25" customHeight="1">
      <c r="A31" s="204"/>
      <c r="B31" s="92" t="str">
        <f>IF($A31=0,"",VLOOKUP($A31,'00_MO'!$A$4:$D$7,2,FALSE))</f>
        <v/>
      </c>
      <c r="C31" s="92" t="str">
        <f>IF($A31=0,"",VLOOKUP($A31,'00_MO'!$A$4:$D$7,3,FALSE))</f>
        <v/>
      </c>
      <c r="D31" s="204"/>
      <c r="E31" s="229"/>
      <c r="F31" s="206"/>
      <c r="G31" s="217">
        <f t="shared" si="3"/>
        <v>0</v>
      </c>
      <c r="H31" s="143" t="str">
        <f>IF($A31=0,"",VLOOKUP($A31,'00_MO'!$A$4:$D$7,4,FALSE))</f>
        <v/>
      </c>
      <c r="I31" s="143">
        <f t="shared" si="4"/>
        <v>0</v>
      </c>
    </row>
    <row r="32" ht="14.25" customHeight="1">
      <c r="A32" s="204"/>
      <c r="B32" s="92" t="str">
        <f>IF($A32=0,"",VLOOKUP($A32,'00_MO'!$A$4:$D$7,2,FALSE))</f>
        <v/>
      </c>
      <c r="C32" s="92" t="str">
        <f>IF($A32=0,"",VLOOKUP($A32,'00_MO'!$A$4:$D$7,3,FALSE))</f>
        <v/>
      </c>
      <c r="D32" s="204"/>
      <c r="E32" s="204"/>
      <c r="F32" s="206"/>
      <c r="G32" s="217">
        <f t="shared" si="3"/>
        <v>0</v>
      </c>
      <c r="H32" s="143" t="str">
        <f>IF($A32=0,"",VLOOKUP($A32,'00_MO'!$A$4:$D$7,4,FALSE))</f>
        <v/>
      </c>
      <c r="I32" s="143">
        <f t="shared" si="4"/>
        <v>0</v>
      </c>
    </row>
    <row r="33" ht="14.25" customHeight="1">
      <c r="F33" s="208"/>
      <c r="G33" s="3"/>
      <c r="H33" s="143"/>
      <c r="I33" s="143"/>
    </row>
    <row r="34" ht="14.25" customHeight="1">
      <c r="A34" s="222" t="s">
        <v>987</v>
      </c>
      <c r="B34" s="223"/>
      <c r="C34" s="223"/>
      <c r="D34" s="223"/>
      <c r="E34" s="223"/>
      <c r="F34" s="223"/>
      <c r="G34" s="211"/>
      <c r="H34" s="223"/>
      <c r="I34" s="224">
        <f>SUM(I27:I32)</f>
        <v>5055000</v>
      </c>
    </row>
    <row r="35" ht="14.25" customHeight="1">
      <c r="A35" s="232" t="str">
        <f>$I$3</f>
        <v>m³</v>
      </c>
      <c r="B35" s="233"/>
      <c r="C35" s="233"/>
      <c r="D35" s="233"/>
      <c r="E35" s="233"/>
      <c r="F35" s="233"/>
      <c r="G35" s="21"/>
      <c r="H35" s="233"/>
      <c r="I35" s="205">
        <f>$H$3</f>
        <v>8</v>
      </c>
      <c r="J35" s="92"/>
      <c r="K35" s="92"/>
      <c r="L35" s="92"/>
    </row>
    <row r="36" ht="14.25" customHeight="1">
      <c r="A36" s="234" t="s">
        <v>997</v>
      </c>
      <c r="B36" s="232" t="str">
        <f>A35</f>
        <v>m³</v>
      </c>
      <c r="C36" s="233"/>
      <c r="D36" s="233"/>
      <c r="E36" s="233"/>
      <c r="F36" s="233"/>
      <c r="G36" s="21"/>
      <c r="H36" s="233"/>
      <c r="I36" s="235">
        <f>I34/I35</f>
        <v>631875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01" t="s">
        <v>1000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02" t="s">
        <v>988</v>
      </c>
      <c r="B40" s="202" t="s">
        <v>989</v>
      </c>
      <c r="C40" s="202" t="s">
        <v>990</v>
      </c>
      <c r="D40" s="202" t="s">
        <v>991</v>
      </c>
      <c r="E40" s="202" t="s">
        <v>999</v>
      </c>
      <c r="F40" s="202" t="s">
        <v>992</v>
      </c>
      <c r="G40" s="4" t="s">
        <v>993</v>
      </c>
      <c r="H40" s="202" t="s">
        <v>994</v>
      </c>
      <c r="I40" s="202" t="s">
        <v>995</v>
      </c>
    </row>
    <row r="41" ht="14.25" customHeight="1">
      <c r="A41" s="204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04"/>
      <c r="E41" s="204"/>
      <c r="F41" s="206"/>
      <c r="G41" s="217">
        <f t="shared" ref="G41:G46" si="5">ROUNDUP(((D41*E41)*(1+F41)),0)</f>
        <v>0</v>
      </c>
      <c r="H41" s="143" t="str">
        <f>IF($A41=0,"",VLOOKUP($A41,'00_Eq'!$A$4:$D$100,4,FALSE))</f>
        <v/>
      </c>
      <c r="I41" s="143">
        <f t="shared" ref="I41:I44" si="6">G41*H41</f>
        <v>0</v>
      </c>
    </row>
    <row r="42" ht="14.25" customHeight="1">
      <c r="A42" s="204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04"/>
      <c r="E42" s="204"/>
      <c r="F42" s="206"/>
      <c r="G42" s="217">
        <f t="shared" si="5"/>
        <v>0</v>
      </c>
      <c r="H42" s="143" t="str">
        <f>IF($A42=0,"",VLOOKUP($A42,'00_Eq'!$A$4:$D$100,4,FALSE))</f>
        <v/>
      </c>
      <c r="I42" s="143">
        <f t="shared" si="6"/>
        <v>0</v>
      </c>
    </row>
    <row r="43" ht="14.25" customHeight="1">
      <c r="A43" s="204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04"/>
      <c r="E43" s="204"/>
      <c r="F43" s="206"/>
      <c r="G43" s="217">
        <f t="shared" si="5"/>
        <v>0</v>
      </c>
      <c r="H43" s="143" t="str">
        <f>IF($A43=0,"",VLOOKUP($A43,'00_Eq'!$A$4:$D$100,4,FALSE))</f>
        <v/>
      </c>
      <c r="I43" s="143">
        <f t="shared" si="6"/>
        <v>0</v>
      </c>
    </row>
    <row r="44" ht="14.25" customHeight="1">
      <c r="A44" s="204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04"/>
      <c r="E44" s="204"/>
      <c r="F44" s="206"/>
      <c r="G44" s="217">
        <f t="shared" si="5"/>
        <v>0</v>
      </c>
      <c r="H44" s="143" t="str">
        <f>IF($A44=0,"",VLOOKUP($A44,'00_Eq'!$A$4:$D$100,4,FALSE))</f>
        <v/>
      </c>
      <c r="I44" s="143">
        <f t="shared" si="6"/>
        <v>0</v>
      </c>
    </row>
    <row r="45" ht="14.25" customHeight="1">
      <c r="A45" s="204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04"/>
      <c r="E45" s="204"/>
      <c r="F45" s="206"/>
      <c r="G45" s="217">
        <f t="shared" si="5"/>
        <v>0</v>
      </c>
      <c r="H45" s="143" t="str">
        <f>IF($A45=0,"",VLOOKUP($A45,'00_Eq'!$A$4:$D$100,4,FALSE))</f>
        <v/>
      </c>
      <c r="I45" s="143"/>
    </row>
    <row r="46" ht="14.25" customHeight="1">
      <c r="A46" s="204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04"/>
      <c r="E46" s="204"/>
      <c r="F46" s="206"/>
      <c r="G46" s="217">
        <f t="shared" si="5"/>
        <v>0</v>
      </c>
      <c r="H46" s="143" t="str">
        <f>IF($A46=0,"",VLOOKUP($A46,'00_Eq'!$A$4:$D$100,4,FALSE))</f>
        <v/>
      </c>
      <c r="I46" s="143"/>
    </row>
    <row r="47" ht="14.25" customHeight="1">
      <c r="F47" s="208"/>
      <c r="G47" s="3"/>
      <c r="H47" s="143"/>
      <c r="I47" s="143"/>
    </row>
    <row r="48" ht="14.25" customHeight="1">
      <c r="A48" s="222" t="s">
        <v>987</v>
      </c>
      <c r="B48" s="223"/>
      <c r="C48" s="223"/>
      <c r="D48" s="223"/>
      <c r="E48" s="223"/>
      <c r="F48" s="223"/>
      <c r="G48" s="211"/>
      <c r="H48" s="223"/>
      <c r="I48" s="224">
        <f>SUM(I41:I46)</f>
        <v>0</v>
      </c>
    </row>
    <row r="49" ht="14.25" customHeight="1">
      <c r="A49" s="232" t="str">
        <f>$I$3</f>
        <v>m³</v>
      </c>
      <c r="B49" s="233"/>
      <c r="C49" s="233"/>
      <c r="D49" s="233"/>
      <c r="E49" s="233"/>
      <c r="F49" s="233"/>
      <c r="G49" s="21"/>
      <c r="H49" s="233"/>
      <c r="I49" s="205">
        <f>$H$3</f>
        <v>8</v>
      </c>
      <c r="J49" s="92"/>
      <c r="K49" s="92"/>
      <c r="L49" s="92"/>
    </row>
    <row r="50" ht="14.25" customHeight="1">
      <c r="A50" s="234" t="s">
        <v>997</v>
      </c>
      <c r="B50" s="232" t="str">
        <f>A49</f>
        <v>m³</v>
      </c>
      <c r="C50" s="233"/>
      <c r="D50" s="233"/>
      <c r="E50" s="233"/>
      <c r="F50" s="233"/>
      <c r="G50" s="21"/>
      <c r="H50" s="233"/>
      <c r="I50" s="235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01" t="s">
        <v>1010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02" t="s">
        <v>988</v>
      </c>
      <c r="B54" s="202" t="s">
        <v>989</v>
      </c>
      <c r="C54" s="202" t="s">
        <v>990</v>
      </c>
      <c r="D54" s="202" t="s">
        <v>991</v>
      </c>
      <c r="E54" s="202"/>
      <c r="F54" s="202" t="s">
        <v>992</v>
      </c>
      <c r="G54" s="4" t="s">
        <v>993</v>
      </c>
      <c r="H54" s="202" t="s">
        <v>994</v>
      </c>
      <c r="I54" s="202" t="s">
        <v>995</v>
      </c>
    </row>
    <row r="55" ht="14.25" customHeight="1">
      <c r="A55" s="3"/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30"/>
      <c r="E55" s="204"/>
      <c r="F55" s="236">
        <v>0.1</v>
      </c>
      <c r="G55" s="221">
        <f t="shared" ref="G55:G60" si="7">ROUNDUP((D55+(D55*F55)),0)</f>
        <v>0</v>
      </c>
      <c r="H55" s="143" t="str">
        <f>IF($A55=0,"",VLOOKUP($A55,'00_Mat'!$A$4:$J$1135,5,FALSE))</f>
        <v/>
      </c>
      <c r="I55" s="143">
        <f t="shared" ref="I55:I60" si="8">G55*H55</f>
        <v>0</v>
      </c>
      <c r="J55" s="237"/>
    </row>
    <row r="56" ht="14.25" customHeight="1">
      <c r="A56" s="3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0"/>
      <c r="E56" s="204"/>
      <c r="F56" s="236">
        <v>0.1</v>
      </c>
      <c r="G56" s="221">
        <f t="shared" si="7"/>
        <v>0</v>
      </c>
      <c r="H56" s="143" t="str">
        <f>IF($A56=0,"",VLOOKUP($A56,'00_Mat'!$A$4:$J$1135,5,FALSE))</f>
        <v/>
      </c>
      <c r="I56" s="143">
        <f t="shared" si="8"/>
        <v>0</v>
      </c>
      <c r="J56" s="237"/>
    </row>
    <row r="57" ht="14.25" customHeight="1">
      <c r="A57" s="3" t="s">
        <v>75</v>
      </c>
      <c r="B57" s="92" t="str">
        <f>IF($A57=0,"",VLOOKUP($A57,'00_Mat'!$A$4:$J$1135,2,FALSE))</f>
        <v>Clavos 2" punta paris (k)</v>
      </c>
      <c r="C57" s="92" t="str">
        <f>IF($A57=0,"",VLOOKUP($A57,'00_Mat'!$A$4:$J$1135,3,FALSE))</f>
        <v>k</v>
      </c>
      <c r="D57" s="230">
        <v>5.0</v>
      </c>
      <c r="E57" s="204"/>
      <c r="F57" s="236">
        <v>0.1</v>
      </c>
      <c r="G57" s="221">
        <f t="shared" si="7"/>
        <v>6</v>
      </c>
      <c r="H57" s="143">
        <f>IF($A57=0,"",VLOOKUP($A57,'00_Mat'!$A$4:$J$1135,5,FALSE))</f>
        <v>4500</v>
      </c>
      <c r="I57" s="143">
        <f t="shared" si="8"/>
        <v>27000</v>
      </c>
      <c r="J57" s="153" t="s">
        <v>1013</v>
      </c>
      <c r="L57" s="153" t="s">
        <v>1011</v>
      </c>
      <c r="M57" s="153" t="s">
        <v>1012</v>
      </c>
    </row>
    <row r="58" ht="14.25" customHeight="1">
      <c r="A58" s="20" t="s">
        <v>81</v>
      </c>
      <c r="B58" s="92" t="str">
        <f>IF($A58=0,"",VLOOKUP($A58,'00_Mat'!$A$4:$J$1135,2,FALSE))</f>
        <v>Alambre Fardo (50 k)</v>
      </c>
      <c r="C58" s="92" t="str">
        <f>IF($A58=0,"",VLOOKUP($A58,'00_Mat'!$A$4:$J$1135,3,FALSE))</f>
        <v>k</v>
      </c>
      <c r="D58" s="230">
        <v>1.0</v>
      </c>
      <c r="E58" s="204"/>
      <c r="F58" s="236">
        <v>0.0</v>
      </c>
      <c r="G58" s="221">
        <f t="shared" si="7"/>
        <v>1</v>
      </c>
      <c r="H58" s="143">
        <f>IF($A58=0,"",VLOOKUP($A58,'00_Mat'!$A$4:$J$1135,5,FALSE))</f>
        <v>220000</v>
      </c>
      <c r="I58" s="143">
        <f t="shared" si="8"/>
        <v>220000</v>
      </c>
      <c r="J58" s="153" t="s">
        <v>1033</v>
      </c>
    </row>
    <row r="59" ht="14.25" customHeight="1">
      <c r="C59" s="92" t="str">
        <f>IF($A58=0,"",VLOOKUP($A58,'00_Mat'!$A$4:$J$1135,3,FALSE))</f>
        <v>k</v>
      </c>
      <c r="D59" s="230"/>
      <c r="E59" s="204"/>
      <c r="F59" s="236">
        <v>0.1</v>
      </c>
      <c r="G59" s="221">
        <f t="shared" si="7"/>
        <v>0</v>
      </c>
      <c r="H59" s="143" t="str">
        <f>IF($A59=0,"",VLOOKUP($A59,'00_Mat'!$A$4:$J$1135,5,FALSE))</f>
        <v/>
      </c>
      <c r="I59" s="143">
        <f t="shared" si="8"/>
        <v>0</v>
      </c>
    </row>
    <row r="60" ht="14.25" customHeight="1">
      <c r="A60" s="204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05"/>
      <c r="E60" s="204"/>
      <c r="F60" s="206"/>
      <c r="G60" s="221">
        <f t="shared" si="7"/>
        <v>0</v>
      </c>
      <c r="H60" s="143" t="str">
        <f>IF($A60=0,"",VLOOKUP($A60,'00_Mat'!$A$4:$J$1135,5,FALSE))</f>
        <v/>
      </c>
      <c r="I60" s="143">
        <f t="shared" si="8"/>
        <v>0</v>
      </c>
    </row>
    <row r="61" ht="14.25" customHeight="1">
      <c r="F61" s="208"/>
      <c r="G61" s="3"/>
      <c r="H61" s="143"/>
      <c r="I61" s="143"/>
    </row>
    <row r="62" ht="14.25" customHeight="1">
      <c r="A62" s="222" t="s">
        <v>987</v>
      </c>
      <c r="B62" s="223"/>
      <c r="C62" s="223"/>
      <c r="D62" s="223"/>
      <c r="E62" s="223"/>
      <c r="F62" s="223"/>
      <c r="G62" s="211"/>
      <c r="H62" s="223"/>
      <c r="I62" s="224">
        <f>SUM(I55:I60)</f>
        <v>247000</v>
      </c>
    </row>
    <row r="63" ht="14.25" customHeight="1">
      <c r="A63" s="232" t="str">
        <f>$I$3</f>
        <v>m³</v>
      </c>
      <c r="B63" s="233"/>
      <c r="C63" s="233"/>
      <c r="D63" s="233"/>
      <c r="E63" s="233"/>
      <c r="F63" s="233"/>
      <c r="G63" s="21"/>
      <c r="H63" s="233"/>
      <c r="I63" s="205">
        <f>$H$3</f>
        <v>8</v>
      </c>
      <c r="J63" s="92"/>
      <c r="K63" s="92"/>
      <c r="L63" s="92"/>
    </row>
    <row r="64" ht="14.25" customHeight="1">
      <c r="A64" s="234" t="s">
        <v>997</v>
      </c>
      <c r="B64" s="232" t="str">
        <f>A63</f>
        <v>m³</v>
      </c>
      <c r="C64" s="233"/>
      <c r="D64" s="233"/>
      <c r="E64" s="233"/>
      <c r="F64" s="233"/>
      <c r="G64" s="21"/>
      <c r="H64" s="233"/>
      <c r="I64" s="235">
        <f>I62/I63</f>
        <v>30875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01" t="s">
        <v>1025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02" t="s">
        <v>988</v>
      </c>
      <c r="B68" s="202" t="s">
        <v>989</v>
      </c>
      <c r="C68" s="202" t="s">
        <v>990</v>
      </c>
      <c r="D68" s="202" t="s">
        <v>991</v>
      </c>
      <c r="E68" s="202" t="s">
        <v>999</v>
      </c>
      <c r="F68" s="202" t="s">
        <v>992</v>
      </c>
      <c r="G68" s="4" t="s">
        <v>993</v>
      </c>
      <c r="H68" s="202" t="s">
        <v>994</v>
      </c>
      <c r="I68" s="202" t="s">
        <v>995</v>
      </c>
    </row>
    <row r="69" ht="14.25" customHeight="1">
      <c r="A69" s="204"/>
      <c r="B69" s="92" t="str">
        <f>IF($A69=0,"",VLOOKUP($A69,'00_Sub'!$A$4:$D$1007,2,FALSE))</f>
        <v/>
      </c>
      <c r="C69" s="92" t="str">
        <f>IF($A69=0,"",VLOOKUP($A69,'00_Sub'!$A$4:$D$1007,3,FALSE))</f>
        <v/>
      </c>
      <c r="D69" s="204"/>
      <c r="E69" s="204"/>
      <c r="F69" s="206"/>
      <c r="G69" s="221">
        <f t="shared" ref="G69:G74" si="9">ROUNDUP((D69+(D69*F69)),0)</f>
        <v>0</v>
      </c>
      <c r="H69" s="143" t="str">
        <f>IF($A69=0,"",VLOOKUP($A69,'00_Sub'!$A$4:$D$1007,4,FALSE))</f>
        <v/>
      </c>
      <c r="I69" s="143"/>
    </row>
    <row r="70" ht="14.25" customHeight="1">
      <c r="A70" s="204"/>
      <c r="B70" s="92" t="str">
        <f>IF($A70=0,"",VLOOKUP($A70,'00_Sub'!$A$4:$D$1007,2,FALSE))</f>
        <v/>
      </c>
      <c r="C70" s="92" t="str">
        <f>IF($A70=0,"",VLOOKUP($A70,'00_Sub'!$A$4:$D$1007,3,FALSE))</f>
        <v/>
      </c>
      <c r="D70" s="204"/>
      <c r="E70" s="204"/>
      <c r="F70" s="206"/>
      <c r="G70" s="221">
        <f t="shared" si="9"/>
        <v>0</v>
      </c>
      <c r="H70" s="143" t="str">
        <f>IF($A70=0,"",VLOOKUP($A70,'00_Sub'!$A$4:$D$1007,4,FALSE))</f>
        <v/>
      </c>
      <c r="I70" s="143"/>
    </row>
    <row r="71" ht="14.25" customHeight="1">
      <c r="A71" s="204"/>
      <c r="B71" s="92" t="str">
        <f>IF($A71=0,"",VLOOKUP($A71,'00_Sub'!$A$4:$D$1007,2,FALSE))</f>
        <v/>
      </c>
      <c r="C71" s="92" t="str">
        <f>IF($A71=0,"",VLOOKUP($A71,'00_Sub'!$A$4:$D$1007,3,FALSE))</f>
        <v/>
      </c>
      <c r="D71" s="204"/>
      <c r="E71" s="204"/>
      <c r="F71" s="206"/>
      <c r="G71" s="221">
        <f t="shared" si="9"/>
        <v>0</v>
      </c>
      <c r="H71" s="143" t="str">
        <f>IF($A71=0,"",VLOOKUP($A71,'00_Sub'!$A$4:$D$1007,4,FALSE))</f>
        <v/>
      </c>
      <c r="I71" s="143"/>
    </row>
    <row r="72" ht="14.25" customHeight="1">
      <c r="A72" s="204"/>
      <c r="B72" s="92" t="str">
        <f>IF($A72=0,"",VLOOKUP($A72,'00_Sub'!$A$4:$D$1007,2,FALSE))</f>
        <v/>
      </c>
      <c r="C72" s="92" t="str">
        <f>IF($A72=0,"",VLOOKUP($A72,'00_Sub'!$A$4:$D$1007,3,FALSE))</f>
        <v/>
      </c>
      <c r="D72" s="204"/>
      <c r="E72" s="204"/>
      <c r="F72" s="206"/>
      <c r="G72" s="221">
        <f t="shared" si="9"/>
        <v>0</v>
      </c>
      <c r="H72" s="143" t="str">
        <f>IF($A72=0,"",VLOOKUP($A72,'00_Sub'!$A$4:$D$1007,4,FALSE))</f>
        <v/>
      </c>
      <c r="I72" s="143"/>
    </row>
    <row r="73" ht="14.25" customHeight="1">
      <c r="A73" s="204"/>
      <c r="B73" s="92" t="str">
        <f>IF($A73=0,"",VLOOKUP($A73,'00_Sub'!$A$4:$D$1007,2,FALSE))</f>
        <v/>
      </c>
      <c r="C73" s="92" t="str">
        <f>IF($A73=0,"",VLOOKUP($A73,'00_Sub'!$A$4:$D$1007,3,FALSE))</f>
        <v/>
      </c>
      <c r="D73" s="204"/>
      <c r="E73" s="204"/>
      <c r="F73" s="206"/>
      <c r="G73" s="221">
        <f t="shared" si="9"/>
        <v>0</v>
      </c>
      <c r="H73" s="143" t="str">
        <f>IF($A73=0,"",VLOOKUP($A73,'00_Sub'!$A$4:$D$1007,4,FALSE))</f>
        <v/>
      </c>
      <c r="I73" s="143"/>
    </row>
    <row r="74" ht="14.25" customHeight="1">
      <c r="A74" s="204"/>
      <c r="B74" s="92" t="str">
        <f>IF($A74=0,"",VLOOKUP($A74,'00_Sub'!$A$4:$D$1007,2,FALSE))</f>
        <v/>
      </c>
      <c r="C74" s="92" t="str">
        <f>IF($A74=0,"",VLOOKUP($A74,'00_Sub'!$A$4:$D$1007,3,FALSE))</f>
        <v/>
      </c>
      <c r="D74" s="204"/>
      <c r="E74" s="204"/>
      <c r="F74" s="206"/>
      <c r="G74" s="221">
        <f t="shared" si="9"/>
        <v>0</v>
      </c>
      <c r="H74" s="143" t="str">
        <f>IF($A74=0,"",VLOOKUP($A74,'00_Sub'!$A$4:$D$1007,4,FALSE))</f>
        <v/>
      </c>
      <c r="I74" s="143"/>
    </row>
    <row r="75" ht="14.25" customHeight="1">
      <c r="F75" s="208"/>
      <c r="G75" s="3"/>
      <c r="H75" s="143"/>
      <c r="I75" s="143"/>
    </row>
    <row r="76" ht="14.25" customHeight="1">
      <c r="A76" s="222" t="s">
        <v>987</v>
      </c>
      <c r="B76" s="223"/>
      <c r="C76" s="223"/>
      <c r="D76" s="223"/>
      <c r="E76" s="223"/>
      <c r="F76" s="223"/>
      <c r="G76" s="211"/>
      <c r="H76" s="223"/>
      <c r="I76" s="224">
        <f>SUM(I69:I74)</f>
        <v>0</v>
      </c>
    </row>
    <row r="77" ht="14.25" customHeight="1">
      <c r="A77" s="232" t="str">
        <f>$I$3</f>
        <v>m³</v>
      </c>
      <c r="B77" s="233"/>
      <c r="C77" s="233"/>
      <c r="D77" s="233"/>
      <c r="E77" s="233"/>
      <c r="F77" s="233"/>
      <c r="G77" s="21"/>
      <c r="H77" s="233"/>
      <c r="I77" s="205">
        <f>$H$3</f>
        <v>8</v>
      </c>
      <c r="J77" s="92"/>
      <c r="K77" s="92"/>
      <c r="L77" s="92"/>
    </row>
    <row r="78" ht="14.25" customHeight="1">
      <c r="A78" s="234" t="s">
        <v>997</v>
      </c>
      <c r="B78" s="232" t="str">
        <f>A77</f>
        <v>m³</v>
      </c>
      <c r="C78" s="233"/>
      <c r="D78" s="233"/>
      <c r="E78" s="233"/>
      <c r="F78" s="233"/>
      <c r="G78" s="21"/>
      <c r="H78" s="233"/>
      <c r="I78" s="235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A82" s="218"/>
      <c r="B82" s="219"/>
      <c r="C82" s="219"/>
      <c r="D82" s="219"/>
      <c r="E82" s="219"/>
      <c r="F82" s="219"/>
      <c r="G82" s="3"/>
      <c r="H82" s="219"/>
      <c r="I82" s="219"/>
    </row>
    <row r="83" ht="14.25" customHeight="1">
      <c r="A83" s="218"/>
      <c r="B83" s="219"/>
      <c r="C83" s="219"/>
      <c r="D83" s="219"/>
      <c r="E83" s="219"/>
      <c r="F83" s="219"/>
      <c r="G83" s="3"/>
      <c r="H83" s="219"/>
      <c r="I83" s="219"/>
    </row>
    <row r="84" ht="14.25" customHeight="1">
      <c r="G84" s="3"/>
      <c r="H84" s="208"/>
      <c r="I84" s="143"/>
    </row>
    <row r="85" ht="14.25" customHeight="1">
      <c r="G85" s="3"/>
      <c r="H85" s="208"/>
      <c r="I85" s="143"/>
    </row>
    <row r="86" ht="14.25" customHeight="1">
      <c r="A86" s="218"/>
      <c r="B86" s="219"/>
      <c r="C86" s="219"/>
      <c r="D86" s="219"/>
      <c r="E86" s="219"/>
      <c r="F86" s="219"/>
      <c r="G86" s="3"/>
      <c r="H86" s="219"/>
      <c r="I86" s="225"/>
    </row>
    <row r="87" ht="14.25" customHeight="1">
      <c r="G87" s="3"/>
      <c r="H87" s="208"/>
      <c r="I87" s="143"/>
    </row>
    <row r="88" ht="14.25" customHeight="1">
      <c r="G88" s="3"/>
      <c r="H88" s="208"/>
      <c r="I88" s="143"/>
    </row>
    <row r="89" ht="14.25" customHeight="1">
      <c r="G89" s="3"/>
      <c r="H89" s="208"/>
      <c r="I89" s="143"/>
    </row>
    <row r="90" ht="14.25" customHeight="1">
      <c r="A90" s="218"/>
      <c r="B90" s="219"/>
      <c r="C90" s="219"/>
      <c r="D90" s="219"/>
      <c r="E90" s="219"/>
      <c r="F90" s="219"/>
      <c r="G90" s="3"/>
      <c r="H90" s="219"/>
      <c r="I90" s="225"/>
    </row>
    <row r="91" ht="14.25" customHeight="1">
      <c r="G91" s="3"/>
      <c r="H91" s="208"/>
      <c r="I91" s="143"/>
    </row>
    <row r="92" ht="14.25" customHeight="1">
      <c r="G92" s="3"/>
      <c r="H92" s="208"/>
      <c r="I92" s="143"/>
    </row>
    <row r="93" ht="14.25" customHeight="1">
      <c r="A93" s="218"/>
      <c r="B93" s="219"/>
      <c r="C93" s="219"/>
      <c r="D93" s="219"/>
      <c r="E93" s="219"/>
      <c r="F93" s="219"/>
      <c r="G93" s="3"/>
      <c r="H93" s="219"/>
      <c r="I93" s="225"/>
    </row>
    <row r="94" ht="14.25" customHeight="1">
      <c r="G94" s="3"/>
      <c r="H94" s="208"/>
      <c r="I94" s="143"/>
    </row>
    <row r="95" ht="14.25" customHeight="1">
      <c r="G95" s="3"/>
      <c r="H95" s="208"/>
      <c r="I95" s="143"/>
    </row>
    <row r="96" ht="14.25" customHeight="1">
      <c r="A96" s="218"/>
      <c r="B96" s="219"/>
      <c r="C96" s="219"/>
      <c r="D96" s="219"/>
      <c r="E96" s="219"/>
      <c r="F96" s="219"/>
      <c r="G96" s="3"/>
      <c r="H96" s="219"/>
      <c r="I96" s="225"/>
    </row>
    <row r="97" ht="14.25" customHeight="1">
      <c r="A97" s="218"/>
      <c r="B97" s="219"/>
      <c r="C97" s="219"/>
      <c r="D97" s="219"/>
      <c r="E97" s="219"/>
      <c r="F97" s="219"/>
      <c r="G97" s="3"/>
      <c r="H97" s="247"/>
      <c r="I97" s="225"/>
    </row>
    <row r="98" ht="14.25" customHeight="1">
      <c r="A98" s="218"/>
      <c r="B98" s="219"/>
      <c r="C98" s="219"/>
      <c r="D98" s="219"/>
      <c r="E98" s="219"/>
      <c r="F98" s="219"/>
      <c r="G98" s="3"/>
      <c r="H98" s="219"/>
      <c r="I98" s="225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0" width="8.71"/>
    <col customWidth="1" min="11" max="11" width="11.29"/>
    <col customWidth="1" min="12" max="12" width="10.14"/>
    <col customWidth="1" min="13" max="13" width="19.29"/>
  </cols>
  <sheetData>
    <row r="1" ht="33.75" customHeight="1">
      <c r="A1" s="91" t="str">
        <f>'01_C&amp;P'!A1</f>
        <v>EDIFICIO LAS HERAS</v>
      </c>
      <c r="B1" s="91"/>
      <c r="C1" s="91"/>
      <c r="G1" s="3"/>
    </row>
    <row r="2" ht="14.25" customHeight="1">
      <c r="G2" s="3"/>
    </row>
    <row r="3" ht="23.25" customHeight="1">
      <c r="A3" s="195">
        <f>'01_C&amp;P'!A123</f>
        <v>46116</v>
      </c>
      <c r="B3" s="196" t="str">
        <f>IF($A3=0,"",VLOOKUP($A3,'01_C&amp;P'!$A$9:$D$192,2,FALSE))</f>
        <v>MAMPOSTERIA.</v>
      </c>
      <c r="C3" s="197"/>
      <c r="D3" s="197"/>
      <c r="E3" s="197"/>
      <c r="F3" s="197"/>
      <c r="G3" s="198"/>
      <c r="H3" s="199">
        <f>IF($A3=0,"",VLOOKUP($A3,'01_C&amp;P'!$A$9:$D$192,4,FALSE))</f>
        <v>104</v>
      </c>
      <c r="I3" s="200" t="str">
        <f>IF($A3=0,"",VLOOKUP($A3,'01_C&amp;P'!$A$9:$D$192,3,FALSE))</f>
        <v>m²</v>
      </c>
      <c r="M3" s="153"/>
    </row>
    <row r="4" ht="14.25" customHeight="1">
      <c r="G4" s="3"/>
      <c r="K4" s="153" t="s">
        <v>1049</v>
      </c>
      <c r="M4" s="153" t="s">
        <v>1071</v>
      </c>
    </row>
    <row r="5" ht="14.25" customHeight="1">
      <c r="A5" s="201" t="s">
        <v>0</v>
      </c>
      <c r="B5" s="94"/>
      <c r="C5" s="94"/>
      <c r="D5" s="94"/>
      <c r="E5" s="94"/>
      <c r="F5" s="94"/>
      <c r="G5" s="2"/>
      <c r="H5" s="94"/>
      <c r="I5" s="94"/>
      <c r="K5" s="153">
        <v>4.0</v>
      </c>
      <c r="M5" s="153">
        <v>26.0</v>
      </c>
    </row>
    <row r="6" ht="14.25" customHeight="1">
      <c r="A6" s="202" t="s">
        <v>988</v>
      </c>
      <c r="B6" s="202" t="s">
        <v>989</v>
      </c>
      <c r="C6" s="202" t="s">
        <v>990</v>
      </c>
      <c r="D6" s="203" t="s">
        <v>991</v>
      </c>
      <c r="E6" s="197"/>
      <c r="F6" s="202" t="s">
        <v>992</v>
      </c>
      <c r="G6" s="4" t="s">
        <v>993</v>
      </c>
      <c r="H6" s="202" t="s">
        <v>994</v>
      </c>
      <c r="I6" s="202" t="s">
        <v>995</v>
      </c>
    </row>
    <row r="7" ht="14.25" customHeight="1">
      <c r="A7" s="252" t="s">
        <v>31</v>
      </c>
      <c r="B7" s="3" t="str">
        <f>IF($A7=0,"",VLOOKUP($A7,'00_Mat'!$A$4:$J$1165,2,FALSE))</f>
        <v>Ladrillo Portante 18 (u)</v>
      </c>
      <c r="C7" s="3" t="str">
        <f>IF($A7=0,"",VLOOKUP($A7,'00_Mat'!$A$4:$J$1165,3,FALSE))</f>
        <v>u</v>
      </c>
      <c r="D7" s="250">
        <f>M9*16</f>
        <v>1664</v>
      </c>
      <c r="E7" s="204"/>
      <c r="F7" s="236">
        <v>0.1</v>
      </c>
      <c r="G7" s="221">
        <f t="shared" ref="G7:G11" si="1">ROUNDUP((D7+(D7*F7)),0)</f>
        <v>1831</v>
      </c>
      <c r="H7" s="143">
        <f>IF($A7=0,"",VLOOKUP($A7,'00_Mat'!$A$4:$J$1135,5,FALSE))</f>
        <v>1377</v>
      </c>
      <c r="I7" s="143">
        <f t="shared" ref="I7:I11" si="2">G7*H7</f>
        <v>2521287</v>
      </c>
      <c r="J7" s="231"/>
    </row>
    <row r="8" ht="14.25" customHeight="1">
      <c r="A8" s="254" t="s">
        <v>11</v>
      </c>
      <c r="B8" s="3" t="str">
        <f>IF($A8=0,"",VLOOKUP($A8,'00_Mat'!$A$4:$J$1165,2,FALSE))</f>
        <v>Bolson de Arena (1m3) </v>
      </c>
      <c r="C8" s="3" t="str">
        <f>IF($A8=0,"",VLOOKUP($A8,'00_Mat'!$A$4:$J$1165,3,FALSE))</f>
        <v>m3</v>
      </c>
      <c r="D8" s="250">
        <f>M9*0.025</f>
        <v>2.6</v>
      </c>
      <c r="E8" s="204"/>
      <c r="F8" s="236">
        <v>0.15</v>
      </c>
      <c r="G8" s="221">
        <f t="shared" si="1"/>
        <v>3</v>
      </c>
      <c r="H8" s="143">
        <f>IF($A8=0,"",VLOOKUP($A8,'00_Mat'!$A$4:$J$1135,5,FALSE))</f>
        <v>33470</v>
      </c>
      <c r="I8" s="143">
        <f t="shared" si="2"/>
        <v>100410</v>
      </c>
      <c r="M8" s="153" t="s">
        <v>1043</v>
      </c>
    </row>
    <row r="9" ht="14.25" customHeight="1">
      <c r="A9" s="254" t="s">
        <v>19</v>
      </c>
      <c r="B9" s="3" t="str">
        <f>IF($A9=0,"",VLOOKUP($A9,'00_Mat'!$A$4:$J$1165,2,FALSE))</f>
        <v>Bolsa Cemento "Loma Negra" 25 k (u)</v>
      </c>
      <c r="C9" s="3" t="str">
        <f>IF($A9=0,"",VLOOKUP($A9,'00_Mat'!$A$4:$J$1165,3,FALSE))</f>
        <v>u</v>
      </c>
      <c r="D9" s="255">
        <f>(M9*5.45)/25</f>
        <v>22.672</v>
      </c>
      <c r="E9" s="204"/>
      <c r="F9" s="236">
        <v>0.15</v>
      </c>
      <c r="G9" s="221">
        <f t="shared" si="1"/>
        <v>27</v>
      </c>
      <c r="H9" s="143">
        <f>IF($A9=0,"",VLOOKUP($A9,'00_Mat'!$A$4:$J$1135,5,FALSE))</f>
        <v>7000</v>
      </c>
      <c r="I9" s="143">
        <f t="shared" si="2"/>
        <v>189000</v>
      </c>
      <c r="M9" s="176">
        <f>H3</f>
        <v>104</v>
      </c>
    </row>
    <row r="10" ht="14.25" customHeight="1">
      <c r="A10" s="254" t="s">
        <v>25</v>
      </c>
      <c r="B10" s="3" t="str">
        <f>IF($A10=0,"",VLOOKUP($A10,'00_Mat'!$A$4:$J$1165,2,FALSE))</f>
        <v>Bolsa Cal "Cacique" 25 k (u)</v>
      </c>
      <c r="C10" s="3" t="str">
        <f>IF($A10=0,"",VLOOKUP($A10,'00_Mat'!$A$4:$J$1165,3,FALSE))</f>
        <v>u</v>
      </c>
      <c r="D10" s="255">
        <f>(M9*5.33)/25</f>
        <v>22.1728</v>
      </c>
      <c r="E10" s="204"/>
      <c r="F10" s="236">
        <v>0.1</v>
      </c>
      <c r="G10" s="221">
        <f t="shared" si="1"/>
        <v>25</v>
      </c>
      <c r="H10" s="143">
        <f>IF($A10=0,"",VLOOKUP($A10,'00_Mat'!$A$4:$J$1135,5,FALSE))</f>
        <v>5371.900826</v>
      </c>
      <c r="I10" s="143">
        <f t="shared" si="2"/>
        <v>134297.5207</v>
      </c>
    </row>
    <row r="11" ht="14.25" customHeight="1">
      <c r="A11" s="254" t="s">
        <v>132</v>
      </c>
      <c r="B11" s="3" t="str">
        <f>IF($A11=0,"",VLOOKUP($A11,'00_Mat'!$A$4:$J$1165,2,FALSE))</f>
        <v>Hierros ADN 420 Φ 6 </v>
      </c>
      <c r="C11" s="3" t="str">
        <f>IF($A11=0,"",VLOOKUP($A11,'00_Mat'!$A$4:$J$1165,3,FALSE))</f>
        <v>u</v>
      </c>
      <c r="D11" s="255">
        <f>(M5*4)/12</f>
        <v>8.666666667</v>
      </c>
      <c r="E11" s="204"/>
      <c r="F11" s="236">
        <v>0.1</v>
      </c>
      <c r="G11" s="221">
        <f t="shared" si="1"/>
        <v>10</v>
      </c>
      <c r="H11" s="143">
        <f>IF($A11=0,"",VLOOKUP($A11,'00_Mat'!$A$4:$J$1135,5,FALSE))</f>
        <v>5250</v>
      </c>
      <c r="I11" s="143">
        <f t="shared" si="2"/>
        <v>52500</v>
      </c>
    </row>
    <row r="12" ht="14.25" customHeight="1">
      <c r="A12" s="3"/>
      <c r="B12" s="92"/>
      <c r="C12" s="92"/>
      <c r="D12" s="229"/>
      <c r="E12" s="204"/>
      <c r="F12" s="206"/>
      <c r="G12" s="221"/>
      <c r="H12" s="143"/>
      <c r="I12" s="143"/>
    </row>
    <row r="13" ht="14.25" customHeight="1">
      <c r="A13" s="20"/>
      <c r="B13" s="92"/>
      <c r="C13" s="92"/>
      <c r="D13" s="229"/>
      <c r="E13" s="204"/>
      <c r="F13" s="206"/>
      <c r="G13" s="221"/>
      <c r="H13" s="143"/>
      <c r="I13" s="143"/>
    </row>
    <row r="14" ht="14.25" customHeight="1">
      <c r="A14" s="3"/>
      <c r="B14" s="92"/>
      <c r="C14" s="92"/>
      <c r="D14" s="229"/>
      <c r="E14" s="204"/>
      <c r="F14" s="206"/>
      <c r="G14" s="221"/>
      <c r="H14" s="143"/>
      <c r="I14" s="143"/>
    </row>
    <row r="15" ht="14.25" customHeight="1">
      <c r="A15" s="3"/>
      <c r="B15" s="92"/>
      <c r="C15" s="92"/>
      <c r="D15" s="229"/>
      <c r="E15" s="204"/>
      <c r="F15" s="206"/>
      <c r="G15" s="221"/>
      <c r="H15" s="143"/>
      <c r="I15" s="143"/>
    </row>
    <row r="16" ht="14.25" customHeight="1">
      <c r="A16" s="204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04"/>
      <c r="E16" s="204"/>
      <c r="F16" s="206"/>
      <c r="G16" s="221">
        <f t="shared" ref="G16:G18" si="3">ROUNDUP((D16+(D16*F16)),0)</f>
        <v>0</v>
      </c>
      <c r="H16" s="143" t="str">
        <f>IF($A16=0,"",VLOOKUP($A16,'00_Mat'!$A$4:$J$1135,5,FALSE))</f>
        <v/>
      </c>
      <c r="I16" s="143"/>
    </row>
    <row r="17" ht="14.25" customHeight="1">
      <c r="A17" s="204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04"/>
      <c r="E17" s="204"/>
      <c r="F17" s="206"/>
      <c r="G17" s="221">
        <f t="shared" si="3"/>
        <v>0</v>
      </c>
      <c r="H17" s="143" t="str">
        <f>IF($A17=0,"",VLOOKUP($A17,'00_Mat'!$A$4:$J$1135,5,FALSE))</f>
        <v/>
      </c>
      <c r="I17" s="143"/>
    </row>
    <row r="18" ht="14.25" customHeight="1">
      <c r="A18" s="204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04"/>
      <c r="E18" s="204"/>
      <c r="F18" s="206"/>
      <c r="G18" s="221">
        <f t="shared" si="3"/>
        <v>0</v>
      </c>
      <c r="H18" s="143" t="str">
        <f>IF($A18=0,"",VLOOKUP($A18,'00_Mat'!$A$4:$J$1135,5,FALSE))</f>
        <v/>
      </c>
      <c r="I18" s="143"/>
    </row>
    <row r="19" ht="14.25" customHeight="1">
      <c r="F19" s="208"/>
      <c r="G19" s="3"/>
      <c r="H19" s="143"/>
      <c r="I19" s="143"/>
    </row>
    <row r="20" ht="14.25" customHeight="1">
      <c r="A20" s="222" t="s">
        <v>996</v>
      </c>
      <c r="B20" s="223"/>
      <c r="C20" s="223"/>
      <c r="D20" s="223"/>
      <c r="E20" s="223"/>
      <c r="F20" s="223"/>
      <c r="G20" s="211"/>
      <c r="H20" s="223"/>
      <c r="I20" s="224">
        <f>SUM(I7:I18)</f>
        <v>2997494.521</v>
      </c>
      <c r="J20" s="92"/>
      <c r="K20" s="92"/>
      <c r="L20" s="92"/>
    </row>
    <row r="21" ht="14.25" customHeight="1">
      <c r="A21" s="232" t="str">
        <f>$I$3</f>
        <v>m²</v>
      </c>
      <c r="B21" s="233"/>
      <c r="C21" s="233"/>
      <c r="D21" s="233"/>
      <c r="E21" s="233"/>
      <c r="F21" s="233"/>
      <c r="G21" s="21"/>
      <c r="H21" s="233"/>
      <c r="I21" s="205">
        <f>$H$3</f>
        <v>104</v>
      </c>
      <c r="J21" s="92"/>
      <c r="K21" s="92"/>
      <c r="L21" s="92"/>
    </row>
    <row r="22" ht="14.25" customHeight="1">
      <c r="A22" s="234" t="s">
        <v>997</v>
      </c>
      <c r="B22" s="232" t="str">
        <f>A21</f>
        <v>m²</v>
      </c>
      <c r="C22" s="233"/>
      <c r="D22" s="233"/>
      <c r="E22" s="233"/>
      <c r="F22" s="233"/>
      <c r="G22" s="21"/>
      <c r="H22" s="233"/>
      <c r="I22" s="235">
        <f>I20/I21</f>
        <v>28822.0627</v>
      </c>
      <c r="J22" s="92"/>
      <c r="K22" s="92"/>
      <c r="L22" s="92"/>
    </row>
    <row r="23" ht="14.25" customHeight="1">
      <c r="G23" s="3"/>
      <c r="H23" s="153" t="s">
        <v>1047</v>
      </c>
      <c r="I23" s="151">
        <f>I22/M9</f>
        <v>277.1352183</v>
      </c>
    </row>
    <row r="24" ht="14.25" customHeight="1">
      <c r="G24" s="3"/>
    </row>
    <row r="25" ht="14.25" customHeight="1">
      <c r="A25" s="201" t="s">
        <v>998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02" t="s">
        <v>988</v>
      </c>
      <c r="B26" s="202" t="s">
        <v>989</v>
      </c>
      <c r="C26" s="202" t="s">
        <v>990</v>
      </c>
      <c r="D26" s="202" t="s">
        <v>991</v>
      </c>
      <c r="E26" s="202" t="s">
        <v>999</v>
      </c>
      <c r="F26" s="202" t="s">
        <v>992</v>
      </c>
      <c r="G26" s="4" t="s">
        <v>993</v>
      </c>
      <c r="H26" s="202" t="s">
        <v>994</v>
      </c>
      <c r="I26" s="202" t="s">
        <v>995</v>
      </c>
    </row>
    <row r="27" ht="14.25" customHeight="1">
      <c r="A27" s="61" t="s">
        <v>621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29">
        <v>1.0</v>
      </c>
      <c r="E27" s="229">
        <v>4.0</v>
      </c>
      <c r="F27" s="236">
        <v>0.25</v>
      </c>
      <c r="G27" s="217">
        <f t="shared" ref="G27:G32" si="4">ROUNDUP(((D27*E27)*(1+F27)),0)</f>
        <v>5</v>
      </c>
      <c r="H27" s="143">
        <f>IF($A27=0,"",VLOOKUP($A27,'00_MO'!$A$4:$D$7,4,FALSE))</f>
        <v>120000</v>
      </c>
      <c r="I27" s="143">
        <f t="shared" ref="I27:I30" si="5">G27*H27</f>
        <v>600000</v>
      </c>
      <c r="K27" s="153" t="s">
        <v>1051</v>
      </c>
    </row>
    <row r="28" ht="14.25" customHeight="1">
      <c r="A28" s="61" t="s">
        <v>623</v>
      </c>
      <c r="B28" s="92" t="str">
        <f>IF($A28=0,"",VLOOKUP($A28,'00_MO'!$A$4:$D$7,2,FALSE))</f>
        <v>Puntero</v>
      </c>
      <c r="C28" s="92" t="str">
        <f>IF($A28=0,"",VLOOKUP($A28,'00_MO'!$A$4:$D$7,3,FALSE))</f>
        <v>u</v>
      </c>
      <c r="D28" s="229">
        <v>2.0</v>
      </c>
      <c r="E28" s="229">
        <v>4.0</v>
      </c>
      <c r="F28" s="236">
        <v>0.25</v>
      </c>
      <c r="G28" s="217">
        <f t="shared" si="4"/>
        <v>10</v>
      </c>
      <c r="H28" s="143">
        <f>IF($A28=0,"",VLOOKUP($A28,'00_MO'!$A$4:$D$7,4,FALSE))</f>
        <v>105000</v>
      </c>
      <c r="I28" s="143">
        <f t="shared" si="5"/>
        <v>1050000</v>
      </c>
    </row>
    <row r="29" ht="14.25" customHeight="1">
      <c r="A29" s="61" t="s">
        <v>625</v>
      </c>
      <c r="B29" s="92" t="str">
        <f>IF($A29=0,"",VLOOKUP($A29,'00_MO'!$A$4:$D$7,2,FALSE))</f>
        <v>Oficial</v>
      </c>
      <c r="C29" s="92" t="str">
        <f>IF($A29=0,"",VLOOKUP($A29,'00_MO'!$A$4:$D$7,3,FALSE))</f>
        <v>u</v>
      </c>
      <c r="D29" s="229">
        <v>3.0</v>
      </c>
      <c r="E29" s="229">
        <v>4.0</v>
      </c>
      <c r="F29" s="236">
        <v>0.25</v>
      </c>
      <c r="G29" s="217">
        <f t="shared" si="4"/>
        <v>15</v>
      </c>
      <c r="H29" s="143">
        <f>IF($A29=0,"",VLOOKUP($A29,'00_MO'!$A$4:$D$7,4,FALSE))</f>
        <v>90000</v>
      </c>
      <c r="I29" s="143">
        <f t="shared" si="5"/>
        <v>1350000</v>
      </c>
      <c r="K29" s="153" t="s">
        <v>1052</v>
      </c>
    </row>
    <row r="30" ht="14.25" customHeight="1">
      <c r="A30" s="61" t="s">
        <v>627</v>
      </c>
      <c r="B30" s="92" t="str">
        <f>IF($A30=0,"",VLOOKUP($A30,'00_MO'!$A$4:$D$7,2,FALSE))</f>
        <v>Ayudante</v>
      </c>
      <c r="C30" s="92" t="str">
        <f>IF($A30=0,"",VLOOKUP($A30,'00_MO'!$A$4:$D$7,3,FALSE))</f>
        <v>u</v>
      </c>
      <c r="D30" s="229">
        <v>3.0</v>
      </c>
      <c r="E30" s="229">
        <v>4.0</v>
      </c>
      <c r="F30" s="236">
        <v>0.25</v>
      </c>
      <c r="G30" s="217">
        <f t="shared" si="4"/>
        <v>15</v>
      </c>
      <c r="H30" s="143">
        <f>IF($A30=0,"",VLOOKUP($A30,'00_MO'!$A$4:$D$7,4,FALSE))</f>
        <v>60000</v>
      </c>
      <c r="I30" s="143">
        <f t="shared" si="5"/>
        <v>900000</v>
      </c>
    </row>
    <row r="31" ht="14.25" customHeight="1">
      <c r="A31" s="204"/>
      <c r="B31" s="92" t="str">
        <f>IF($A31=0,"",VLOOKUP($A31,'00_MO'!$A$4:$D$7,2,FALSE))</f>
        <v/>
      </c>
      <c r="C31" s="92" t="str">
        <f>IF($A31=0,"",VLOOKUP($A31,'00_MO'!$A$4:$D$7,3,FALSE))</f>
        <v/>
      </c>
      <c r="D31" s="204"/>
      <c r="E31" s="229"/>
      <c r="F31" s="206"/>
      <c r="G31" s="217">
        <f t="shared" si="4"/>
        <v>0</v>
      </c>
      <c r="H31" s="143" t="str">
        <f>IF($A31=0,"",VLOOKUP($A31,'00_MO'!$A$4:$D$7,4,FALSE))</f>
        <v/>
      </c>
      <c r="I31" s="143"/>
    </row>
    <row r="32" ht="14.25" customHeight="1">
      <c r="A32" s="204"/>
      <c r="B32" s="92" t="str">
        <f>IF($A32=0,"",VLOOKUP($A32,'00_MO'!$A$4:$D$7,2,FALSE))</f>
        <v/>
      </c>
      <c r="C32" s="92" t="str">
        <f>IF($A32=0,"",VLOOKUP($A32,'00_MO'!$A$4:$D$7,3,FALSE))</f>
        <v/>
      </c>
      <c r="D32" s="204"/>
      <c r="E32" s="204"/>
      <c r="F32" s="206"/>
      <c r="G32" s="217">
        <f t="shared" si="4"/>
        <v>0</v>
      </c>
      <c r="H32" s="143" t="str">
        <f>IF($A32=0,"",VLOOKUP($A32,'00_MO'!$A$4:$D$7,4,FALSE))</f>
        <v/>
      </c>
      <c r="I32" s="143"/>
    </row>
    <row r="33" ht="14.25" customHeight="1">
      <c r="F33" s="208"/>
      <c r="G33" s="3"/>
      <c r="H33" s="143"/>
      <c r="I33" s="143"/>
    </row>
    <row r="34" ht="14.25" customHeight="1">
      <c r="A34" s="222" t="s">
        <v>987</v>
      </c>
      <c r="B34" s="223"/>
      <c r="C34" s="223"/>
      <c r="D34" s="223"/>
      <c r="E34" s="223"/>
      <c r="F34" s="223"/>
      <c r="G34" s="211"/>
      <c r="H34" s="223"/>
      <c r="I34" s="224">
        <f>SUM(I27:I32)</f>
        <v>3900000</v>
      </c>
    </row>
    <row r="35" ht="14.25" customHeight="1">
      <c r="A35" s="232" t="str">
        <f>$I$3</f>
        <v>m²</v>
      </c>
      <c r="B35" s="233"/>
      <c r="C35" s="233"/>
      <c r="D35" s="233"/>
      <c r="E35" s="233"/>
      <c r="F35" s="233"/>
      <c r="G35" s="21"/>
      <c r="H35" s="233"/>
      <c r="I35" s="205">
        <f>$H$3</f>
        <v>104</v>
      </c>
      <c r="J35" s="92"/>
      <c r="K35" s="92"/>
      <c r="L35" s="92"/>
    </row>
    <row r="36" ht="14.25" customHeight="1">
      <c r="A36" s="234" t="s">
        <v>997</v>
      </c>
      <c r="B36" s="232" t="str">
        <f>A35</f>
        <v>m²</v>
      </c>
      <c r="C36" s="233"/>
      <c r="D36" s="233"/>
      <c r="E36" s="233"/>
      <c r="F36" s="233"/>
      <c r="G36" s="21"/>
      <c r="H36" s="233"/>
      <c r="I36" s="235">
        <f>I34/I35</f>
        <v>37500</v>
      </c>
      <c r="J36" s="92"/>
      <c r="K36" s="92"/>
      <c r="L36" s="92"/>
    </row>
    <row r="37" ht="14.25" customHeight="1">
      <c r="G37" s="3"/>
      <c r="H37" s="153" t="s">
        <v>1047</v>
      </c>
      <c r="I37" s="151">
        <f>I36/M9</f>
        <v>360.5769231</v>
      </c>
    </row>
    <row r="38" ht="14.25" customHeight="1">
      <c r="G38" s="3"/>
    </row>
    <row r="39" ht="14.25" customHeight="1">
      <c r="A39" s="201" t="s">
        <v>1000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02" t="s">
        <v>988</v>
      </c>
      <c r="B40" s="202" t="s">
        <v>989</v>
      </c>
      <c r="C40" s="202" t="s">
        <v>990</v>
      </c>
      <c r="D40" s="202" t="s">
        <v>991</v>
      </c>
      <c r="E40" s="202" t="s">
        <v>999</v>
      </c>
      <c r="F40" s="202" t="s">
        <v>992</v>
      </c>
      <c r="G40" s="4" t="s">
        <v>993</v>
      </c>
      <c r="H40" s="202" t="s">
        <v>994</v>
      </c>
      <c r="I40" s="202" t="s">
        <v>995</v>
      </c>
    </row>
    <row r="41" ht="14.25" customHeight="1">
      <c r="A41" s="3"/>
      <c r="B41" s="92" t="str">
        <f>IF($A41=0,"",VLOOKUP($A41,'00_Mat'!$A$4:$J$1135,2,FALSE))</f>
        <v/>
      </c>
      <c r="C41" s="92" t="str">
        <f>IF($A41=0,"",VLOOKUP($A41,'00_Mat'!$A$4:$J$1135,3,FALSE))</f>
        <v/>
      </c>
      <c r="D41" s="230"/>
      <c r="E41" s="204"/>
      <c r="F41" s="236"/>
      <c r="G41" s="221">
        <f t="shared" ref="G41:G45" si="6">ROUNDUP((D41+(D41*F41)),0)</f>
        <v>0</v>
      </c>
      <c r="H41" s="143" t="str">
        <f>IF($A41=0,"",VLOOKUP($A41,'00_Mat'!$A$4:$J$1135,5,FALSE))</f>
        <v/>
      </c>
      <c r="I41" s="143">
        <f t="shared" ref="I41:I46" si="7">G41*H41</f>
        <v>0</v>
      </c>
      <c r="J41" s="237"/>
    </row>
    <row r="42" ht="14.25" customHeight="1">
      <c r="A42" s="3"/>
      <c r="B42" s="92" t="str">
        <f>IF($A42=0,"",VLOOKUP($A42,'00_Mat'!$A$4:$J$1135,2,FALSE))</f>
        <v/>
      </c>
      <c r="C42" s="92" t="str">
        <f>IF($A42=0,"",VLOOKUP($A42,'00_Mat'!$A$4:$J$1135,3,FALSE))</f>
        <v/>
      </c>
      <c r="D42" s="230"/>
      <c r="E42" s="204"/>
      <c r="F42" s="236"/>
      <c r="G42" s="221">
        <f t="shared" si="6"/>
        <v>0</v>
      </c>
      <c r="H42" s="143" t="str">
        <f>IF($A42=0,"",VLOOKUP($A42,'00_Mat'!$A$4:$J$1135,5,FALSE))</f>
        <v/>
      </c>
      <c r="I42" s="143">
        <f t="shared" si="7"/>
        <v>0</v>
      </c>
      <c r="J42" s="237"/>
    </row>
    <row r="43" ht="14.25" customHeight="1">
      <c r="A43" s="3"/>
      <c r="B43" s="92" t="str">
        <f>IF($A43=0,"",VLOOKUP($A43,'00_Mat'!$A$4:$J$1135,2,FALSE))</f>
        <v/>
      </c>
      <c r="C43" s="92" t="str">
        <f>IF($A43=0,"",VLOOKUP($A43,'00_Mat'!$A$4:$J$1135,3,FALSE))</f>
        <v/>
      </c>
      <c r="D43" s="230"/>
      <c r="E43" s="204"/>
      <c r="F43" s="236"/>
      <c r="G43" s="221">
        <f t="shared" si="6"/>
        <v>0</v>
      </c>
      <c r="H43" s="143" t="str">
        <f>IF($A43=0,"",VLOOKUP($A43,'00_Mat'!$A$4:$J$1135,5,FALSE))</f>
        <v/>
      </c>
      <c r="I43" s="143">
        <f t="shared" si="7"/>
        <v>0</v>
      </c>
    </row>
    <row r="44" ht="14.25" customHeight="1">
      <c r="A44" s="20"/>
      <c r="B44" s="92" t="str">
        <f>IF($A44=0,"",VLOOKUP($A44,'00_Mat'!$A$4:$J$1135,2,FALSE))</f>
        <v/>
      </c>
      <c r="C44" s="92" t="str">
        <f>IF($A44=0,"",VLOOKUP($A44,'00_Mat'!$A$4:$J$1135,3,FALSE))</f>
        <v/>
      </c>
      <c r="D44" s="230"/>
      <c r="E44" s="204"/>
      <c r="F44" s="236"/>
      <c r="G44" s="221">
        <f t="shared" si="6"/>
        <v>0</v>
      </c>
      <c r="H44" s="143" t="str">
        <f>IF($A44=0,"",VLOOKUP($A44,'00_Mat'!$A$4:$J$1135,5,FALSE))</f>
        <v/>
      </c>
      <c r="I44" s="143">
        <f t="shared" si="7"/>
        <v>0</v>
      </c>
    </row>
    <row r="45" ht="14.25" customHeight="1">
      <c r="B45" s="194" t="str">
        <f>IF($A45=0,"",VLOOKUP($A45,'00_Mat'!$A$4:$J$1135,2,FALSE))</f>
        <v/>
      </c>
      <c r="C45" s="92" t="str">
        <f>IF($A45=0,"",VLOOKUP($A45,'00_Mat'!$A$4:$J$1135,3,FALSE))</f>
        <v/>
      </c>
      <c r="D45" s="230"/>
      <c r="E45" s="204"/>
      <c r="F45" s="236"/>
      <c r="G45" s="221">
        <f t="shared" si="6"/>
        <v>0</v>
      </c>
      <c r="H45" s="231"/>
      <c r="I45" s="143">
        <f t="shared" si="7"/>
        <v>0</v>
      </c>
    </row>
    <row r="46" ht="14.25" customHeight="1">
      <c r="A46" s="204"/>
      <c r="B46" s="92" t="str">
        <f>IF($A46=0,"",VLOOKUP($A46,'00_Mat'!$A$4:$J$1135,2,FALSE))</f>
        <v/>
      </c>
      <c r="C46" s="92" t="str">
        <f>IF($A46=0,"",VLOOKUP($A46,'00_Mat'!$A$4:$J$1135,3,FALSE))</f>
        <v/>
      </c>
      <c r="D46" s="229"/>
      <c r="E46" s="204"/>
      <c r="F46" s="236"/>
      <c r="G46" s="217">
        <f>ROUNDUP(((D46*E46)*(1+F46)),0)</f>
        <v>0</v>
      </c>
      <c r="H46" s="143" t="str">
        <f>IF($A46=0,"",VLOOKUP($A46,'00_Mat'!$A$4:$J$1135,5,FALSE))</f>
        <v/>
      </c>
      <c r="I46" s="143">
        <f t="shared" si="7"/>
        <v>0</v>
      </c>
      <c r="J46" s="153"/>
    </row>
    <row r="47" ht="14.25" customHeight="1">
      <c r="F47" s="208"/>
      <c r="G47" s="3"/>
      <c r="H47" s="143"/>
      <c r="I47" s="143"/>
    </row>
    <row r="48" ht="14.25" customHeight="1">
      <c r="A48" s="222" t="s">
        <v>987</v>
      </c>
      <c r="B48" s="223"/>
      <c r="C48" s="223"/>
      <c r="D48" s="223"/>
      <c r="E48" s="223"/>
      <c r="F48" s="223"/>
      <c r="G48" s="211"/>
      <c r="H48" s="223"/>
      <c r="I48" s="224">
        <f>SUM(I41:I46)</f>
        <v>0</v>
      </c>
    </row>
    <row r="49" ht="14.25" customHeight="1">
      <c r="A49" s="232" t="str">
        <f>$I$3</f>
        <v>m²</v>
      </c>
      <c r="B49" s="233"/>
      <c r="C49" s="233"/>
      <c r="D49" s="233"/>
      <c r="E49" s="233"/>
      <c r="F49" s="233"/>
      <c r="G49" s="21"/>
      <c r="H49" s="233"/>
      <c r="I49" s="205">
        <f>$H$3</f>
        <v>104</v>
      </c>
      <c r="J49" s="92"/>
      <c r="K49" s="92"/>
      <c r="L49" s="92"/>
    </row>
    <row r="50" ht="14.25" customHeight="1">
      <c r="A50" s="234" t="s">
        <v>997</v>
      </c>
      <c r="B50" s="232" t="str">
        <f>A49</f>
        <v>m²</v>
      </c>
      <c r="C50" s="233"/>
      <c r="D50" s="233"/>
      <c r="E50" s="233"/>
      <c r="F50" s="233"/>
      <c r="G50" s="21"/>
      <c r="H50" s="233"/>
      <c r="I50" s="235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01" t="s">
        <v>1010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02" t="s">
        <v>988</v>
      </c>
      <c r="B54" s="202" t="s">
        <v>989</v>
      </c>
      <c r="C54" s="202" t="s">
        <v>990</v>
      </c>
      <c r="D54" s="203" t="s">
        <v>991</v>
      </c>
      <c r="E54" s="197"/>
      <c r="F54" s="202" t="s">
        <v>992</v>
      </c>
      <c r="G54" s="4" t="s">
        <v>993</v>
      </c>
      <c r="H54" s="202" t="s">
        <v>994</v>
      </c>
      <c r="I54" s="202" t="s">
        <v>995</v>
      </c>
    </row>
    <row r="55" ht="14.25" customHeight="1">
      <c r="A55" s="229" t="s">
        <v>1053</v>
      </c>
      <c r="B55" s="92" t="str">
        <f>IF($A55=0,"",VLOOKUP($A55,'00_Mat'!$A$4:$J$1135,2,FALSE))</f>
        <v>Disco corte</v>
      </c>
      <c r="C55" s="92" t="str">
        <f>IF($A55=0,"",VLOOKUP($A55,'00_Mat'!$A$4:$J$1135,3,FALSE))</f>
        <v>u</v>
      </c>
      <c r="D55" s="230">
        <v>1.0</v>
      </c>
      <c r="E55" s="204"/>
      <c r="F55" s="236">
        <v>0.1</v>
      </c>
      <c r="G55" s="221">
        <f t="shared" ref="G55:G60" si="8">ROUNDUP((D55+(D55*F55)),0)</f>
        <v>2</v>
      </c>
      <c r="H55" s="143">
        <f>IF($A55=0,"",VLOOKUP($A55,'00_Mat'!$A$4:$J$1135,5,FALSE))</f>
        <v>40000</v>
      </c>
      <c r="I55" s="143">
        <f t="shared" ref="I55:I58" si="9">G55*H55</f>
        <v>80000</v>
      </c>
      <c r="J55" s="237"/>
    </row>
    <row r="56" ht="14.25" customHeight="1">
      <c r="A56" s="3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0">
        <v>10.0</v>
      </c>
      <c r="E56" s="204"/>
      <c r="F56" s="236">
        <v>0.1</v>
      </c>
      <c r="G56" s="221">
        <f t="shared" si="8"/>
        <v>11</v>
      </c>
      <c r="H56" s="143" t="str">
        <f>IF($A56=0,"",VLOOKUP($A56,'00_Mat'!$A$4:$J$1135,5,FALSE))</f>
        <v/>
      </c>
      <c r="I56" s="143">
        <f t="shared" si="9"/>
        <v>0</v>
      </c>
      <c r="J56" s="237"/>
    </row>
    <row r="57" ht="14.25" customHeight="1">
      <c r="A57" s="3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0">
        <v>1.0</v>
      </c>
      <c r="E57" s="204"/>
      <c r="F57" s="236">
        <v>0.1</v>
      </c>
      <c r="G57" s="221">
        <f t="shared" si="8"/>
        <v>2</v>
      </c>
      <c r="H57" s="143" t="str">
        <f>IF($A57=0,"",VLOOKUP($A57,'00_Mat'!$A$4:$J$1135,5,FALSE))</f>
        <v/>
      </c>
      <c r="I57" s="143">
        <f t="shared" si="9"/>
        <v>0</v>
      </c>
    </row>
    <row r="58" ht="14.25" customHeight="1">
      <c r="A58" s="20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0">
        <v>1.0</v>
      </c>
      <c r="E58" s="204"/>
      <c r="F58" s="236">
        <v>0.1</v>
      </c>
      <c r="G58" s="221">
        <f t="shared" si="8"/>
        <v>2</v>
      </c>
      <c r="H58" s="143" t="str">
        <f>IF($A58=0,"",VLOOKUP($A58,'00_Mat'!$A$4:$J$1135,5,FALSE))</f>
        <v/>
      </c>
      <c r="I58" s="143">
        <f t="shared" si="9"/>
        <v>0</v>
      </c>
    </row>
    <row r="59" ht="14.25" customHeight="1">
      <c r="A59" s="204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05"/>
      <c r="E59" s="204"/>
      <c r="F59" s="206"/>
      <c r="G59" s="221">
        <f t="shared" si="8"/>
        <v>0</v>
      </c>
      <c r="H59" s="143" t="str">
        <f>IF($A59=0,"",VLOOKUP($A59,'00_Mat'!$A$4:$J$1135,5,FALSE))</f>
        <v/>
      </c>
      <c r="I59" s="143"/>
    </row>
    <row r="60" ht="14.25" customHeight="1">
      <c r="A60" s="204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05"/>
      <c r="E60" s="204"/>
      <c r="F60" s="206"/>
      <c r="G60" s="221">
        <f t="shared" si="8"/>
        <v>0</v>
      </c>
      <c r="H60" s="143" t="str">
        <f>IF($A60=0,"",VLOOKUP($A60,'00_Mat'!$A$4:$J$1135,5,FALSE))</f>
        <v/>
      </c>
      <c r="I60" s="143"/>
    </row>
    <row r="61" ht="14.25" customHeight="1">
      <c r="F61" s="208"/>
      <c r="G61" s="3"/>
      <c r="H61" s="143"/>
      <c r="I61" s="143"/>
    </row>
    <row r="62" ht="14.25" customHeight="1">
      <c r="A62" s="222" t="s">
        <v>987</v>
      </c>
      <c r="B62" s="223"/>
      <c r="C62" s="223"/>
      <c r="D62" s="223"/>
      <c r="E62" s="223"/>
      <c r="F62" s="223"/>
      <c r="G62" s="211"/>
      <c r="H62" s="223"/>
      <c r="I62" s="224">
        <f>SUM(I55:I60)</f>
        <v>80000</v>
      </c>
    </row>
    <row r="63" ht="14.25" customHeight="1">
      <c r="A63" s="232" t="str">
        <f>$I$3</f>
        <v>m²</v>
      </c>
      <c r="B63" s="233"/>
      <c r="C63" s="233"/>
      <c r="D63" s="233"/>
      <c r="E63" s="233"/>
      <c r="F63" s="233"/>
      <c r="G63" s="21"/>
      <c r="H63" s="233"/>
      <c r="I63" s="205">
        <f>$H$3</f>
        <v>104</v>
      </c>
      <c r="J63" s="92"/>
      <c r="K63" s="92"/>
      <c r="L63" s="92"/>
    </row>
    <row r="64" ht="14.25" customHeight="1">
      <c r="A64" s="234" t="s">
        <v>997</v>
      </c>
      <c r="B64" s="232" t="str">
        <f>A63</f>
        <v>m²</v>
      </c>
      <c r="C64" s="233"/>
      <c r="D64" s="233"/>
      <c r="E64" s="233"/>
      <c r="F64" s="233"/>
      <c r="G64" s="21"/>
      <c r="H64" s="233"/>
      <c r="I64" s="235">
        <f>I62/I63</f>
        <v>769.2307692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01" t="s">
        <v>1025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02" t="s">
        <v>988</v>
      </c>
      <c r="B68" s="202" t="s">
        <v>989</v>
      </c>
      <c r="C68" s="202" t="s">
        <v>990</v>
      </c>
      <c r="D68" s="202" t="s">
        <v>991</v>
      </c>
      <c r="E68" s="202" t="s">
        <v>999</v>
      </c>
      <c r="F68" s="202" t="s">
        <v>992</v>
      </c>
      <c r="G68" s="4" t="s">
        <v>993</v>
      </c>
      <c r="H68" s="202" t="s">
        <v>994</v>
      </c>
      <c r="I68" s="202" t="s">
        <v>995</v>
      </c>
    </row>
    <row r="69" ht="14.25" customHeight="1">
      <c r="A69" s="204"/>
      <c r="B69" s="92" t="str">
        <f>IF($A69=0,"",VLOOKUP($A69,'00_Sub'!$A$4:$D$1007,2,FALSE))</f>
        <v/>
      </c>
      <c r="C69" s="92" t="str">
        <f>IF($A69=0,"",VLOOKUP($A69,'00_Sub'!$A$4:$D$1007,3,FALSE))</f>
        <v/>
      </c>
      <c r="D69" s="204"/>
      <c r="E69" s="204"/>
      <c r="F69" s="206"/>
      <c r="G69" s="221">
        <f t="shared" ref="G69:G74" si="10">ROUNDUP((D69+(D69*F69)),0)</f>
        <v>0</v>
      </c>
      <c r="H69" s="143" t="str">
        <f>IF($A69=0,"",VLOOKUP($A69,'00_Sub'!$A$4:$D$1007,4,FALSE))</f>
        <v/>
      </c>
      <c r="I69" s="143"/>
    </row>
    <row r="70" ht="14.25" customHeight="1">
      <c r="A70" s="204"/>
      <c r="B70" s="92" t="str">
        <f>IF($A70=0,"",VLOOKUP($A70,'00_Sub'!$A$4:$D$1007,2,FALSE))</f>
        <v/>
      </c>
      <c r="C70" s="92" t="str">
        <f>IF($A70=0,"",VLOOKUP($A70,'00_Sub'!$A$4:$D$1007,3,FALSE))</f>
        <v/>
      </c>
      <c r="D70" s="204"/>
      <c r="E70" s="204"/>
      <c r="F70" s="206"/>
      <c r="G70" s="221">
        <f t="shared" si="10"/>
        <v>0</v>
      </c>
      <c r="H70" s="143" t="str">
        <f>IF($A70=0,"",VLOOKUP($A70,'00_Sub'!$A$4:$D$1007,4,FALSE))</f>
        <v/>
      </c>
      <c r="I70" s="143"/>
    </row>
    <row r="71" ht="14.25" customHeight="1">
      <c r="A71" s="204"/>
      <c r="B71" s="92" t="str">
        <f>IF($A71=0,"",VLOOKUP($A71,'00_Sub'!$A$4:$D$1007,2,FALSE))</f>
        <v/>
      </c>
      <c r="C71" s="92" t="str">
        <f>IF($A71=0,"",VLOOKUP($A71,'00_Sub'!$A$4:$D$1007,3,FALSE))</f>
        <v/>
      </c>
      <c r="D71" s="204"/>
      <c r="E71" s="204"/>
      <c r="F71" s="206"/>
      <c r="G71" s="221">
        <f t="shared" si="10"/>
        <v>0</v>
      </c>
      <c r="H71" s="143" t="str">
        <f>IF($A71=0,"",VLOOKUP($A71,'00_Sub'!$A$4:$D$1007,4,FALSE))</f>
        <v/>
      </c>
      <c r="I71" s="143"/>
    </row>
    <row r="72" ht="14.25" customHeight="1">
      <c r="A72" s="204"/>
      <c r="B72" s="92" t="str">
        <f>IF($A72=0,"",VLOOKUP($A72,'00_Sub'!$A$4:$D$1007,2,FALSE))</f>
        <v/>
      </c>
      <c r="C72" s="92" t="str">
        <f>IF($A72=0,"",VLOOKUP($A72,'00_Sub'!$A$4:$D$1007,3,FALSE))</f>
        <v/>
      </c>
      <c r="D72" s="204"/>
      <c r="E72" s="204"/>
      <c r="F72" s="206"/>
      <c r="G72" s="221">
        <f t="shared" si="10"/>
        <v>0</v>
      </c>
      <c r="H72" s="143" t="str">
        <f>IF($A72=0,"",VLOOKUP($A72,'00_Sub'!$A$4:$D$1007,4,FALSE))</f>
        <v/>
      </c>
      <c r="I72" s="143"/>
    </row>
    <row r="73" ht="14.25" customHeight="1">
      <c r="A73" s="204"/>
      <c r="B73" s="92" t="str">
        <f>IF($A73=0,"",VLOOKUP($A73,'00_Sub'!$A$4:$D$1007,2,FALSE))</f>
        <v/>
      </c>
      <c r="C73" s="92" t="str">
        <f>IF($A73=0,"",VLOOKUP($A73,'00_Sub'!$A$4:$D$1007,3,FALSE))</f>
        <v/>
      </c>
      <c r="D73" s="204"/>
      <c r="E73" s="204"/>
      <c r="F73" s="206"/>
      <c r="G73" s="221">
        <f t="shared" si="10"/>
        <v>0</v>
      </c>
      <c r="H73" s="143" t="str">
        <f>IF($A73=0,"",VLOOKUP($A73,'00_Sub'!$A$4:$D$1007,4,FALSE))</f>
        <v/>
      </c>
      <c r="I73" s="143"/>
    </row>
    <row r="74" ht="14.25" customHeight="1">
      <c r="A74" s="204"/>
      <c r="B74" s="92" t="str">
        <f>IF($A74=0,"",VLOOKUP($A74,'00_Sub'!$A$4:$D$1007,2,FALSE))</f>
        <v/>
      </c>
      <c r="C74" s="92" t="str">
        <f>IF($A74=0,"",VLOOKUP($A74,'00_Sub'!$A$4:$D$1007,3,FALSE))</f>
        <v/>
      </c>
      <c r="D74" s="204"/>
      <c r="E74" s="204"/>
      <c r="F74" s="206"/>
      <c r="G74" s="221">
        <f t="shared" si="10"/>
        <v>0</v>
      </c>
      <c r="H74" s="143" t="str">
        <f>IF($A74=0,"",VLOOKUP($A74,'00_Sub'!$A$4:$D$1007,4,FALSE))</f>
        <v/>
      </c>
      <c r="I74" s="143"/>
    </row>
    <row r="75" ht="14.25" customHeight="1">
      <c r="F75" s="208"/>
      <c r="G75" s="3"/>
      <c r="H75" s="143"/>
      <c r="I75" s="143"/>
    </row>
    <row r="76" ht="14.25" customHeight="1">
      <c r="A76" s="222" t="s">
        <v>987</v>
      </c>
      <c r="B76" s="223"/>
      <c r="C76" s="223"/>
      <c r="D76" s="223"/>
      <c r="E76" s="223"/>
      <c r="F76" s="223"/>
      <c r="G76" s="211"/>
      <c r="H76" s="223"/>
      <c r="I76" s="224">
        <f>SUM(I69:I74)</f>
        <v>0</v>
      </c>
    </row>
    <row r="77" ht="14.25" customHeight="1">
      <c r="A77" s="232" t="str">
        <f>$I$3</f>
        <v>m²</v>
      </c>
      <c r="B77" s="233"/>
      <c r="C77" s="233"/>
      <c r="D77" s="233"/>
      <c r="E77" s="233"/>
      <c r="F77" s="233"/>
      <c r="G77" s="21"/>
      <c r="H77" s="233"/>
      <c r="I77" s="205">
        <f>$H$3</f>
        <v>104</v>
      </c>
      <c r="J77" s="92"/>
      <c r="K77" s="92"/>
      <c r="L77" s="92"/>
    </row>
    <row r="78" ht="14.25" customHeight="1">
      <c r="A78" s="234" t="s">
        <v>997</v>
      </c>
      <c r="B78" s="232" t="str">
        <f>A77</f>
        <v>m²</v>
      </c>
      <c r="C78" s="233"/>
      <c r="D78" s="233"/>
      <c r="E78" s="233"/>
      <c r="F78" s="233"/>
      <c r="G78" s="21"/>
      <c r="H78" s="233"/>
      <c r="I78" s="235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3">
    <mergeCell ref="B3:F3"/>
    <mergeCell ref="D6:E6"/>
    <mergeCell ref="D54:E54"/>
  </mergeCells>
  <printOptions/>
  <pageMargins bottom="0.75" footer="0.0" header="0.0" left="0.7" right="0.7" top="0.75"/>
  <pageSetup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29"/>
    <col customWidth="1" min="10" max="10" width="8.71"/>
    <col customWidth="1" min="11" max="11" width="11.29"/>
    <col customWidth="1" min="12" max="12" width="10.14"/>
    <col customWidth="1" min="13" max="13" width="19.29"/>
  </cols>
  <sheetData>
    <row r="1" ht="33.75" customHeight="1">
      <c r="A1" s="91" t="str">
        <f>'01_C&amp;P'!A1</f>
        <v>EDIFICIO LAS HERAS</v>
      </c>
      <c r="B1" s="91"/>
      <c r="C1" s="91"/>
      <c r="G1" s="3"/>
    </row>
    <row r="2" ht="14.25" customHeight="1">
      <c r="G2" s="3"/>
    </row>
    <row r="3" ht="23.25" customHeight="1">
      <c r="A3" s="195">
        <f>'01_C&amp;P'!A124</f>
        <v>46146</v>
      </c>
      <c r="B3" s="196" t="str">
        <f>IF($A3=0,"",VLOOKUP($A3,'01_C&amp;P'!$A$9:$D$192,2,FALSE))</f>
        <v>CONTRAPISO . e=12cm (Terraza Accesible)</v>
      </c>
      <c r="C3" s="197"/>
      <c r="D3" s="197"/>
      <c r="E3" s="197"/>
      <c r="F3" s="197"/>
      <c r="G3" s="198"/>
      <c r="H3" s="199">
        <f>IF($A3=0,"",VLOOKUP($A3,'01_C&amp;P'!$A$9:$D$192,4,FALSE))</f>
        <v>270</v>
      </c>
      <c r="I3" s="200" t="str">
        <f>IF($A3=0,"",VLOOKUP($A3,'01_C&amp;P'!$A$9:$D$192,3,FALSE))</f>
        <v>m²</v>
      </c>
      <c r="M3" s="153"/>
    </row>
    <row r="4" ht="14.25" customHeight="1">
      <c r="G4" s="3"/>
      <c r="K4" s="153" t="s">
        <v>1042</v>
      </c>
      <c r="M4" s="153" t="s">
        <v>1043</v>
      </c>
    </row>
    <row r="5" ht="14.25" customHeight="1">
      <c r="A5" s="201" t="s">
        <v>0</v>
      </c>
      <c r="B5" s="94"/>
      <c r="C5" s="94"/>
      <c r="D5" s="94"/>
      <c r="E5" s="94"/>
      <c r="F5" s="94"/>
      <c r="G5" s="2"/>
      <c r="H5" s="94"/>
      <c r="I5" s="94"/>
      <c r="K5" s="153">
        <v>0.13</v>
      </c>
      <c r="M5" s="153">
        <v>270.0</v>
      </c>
    </row>
    <row r="6" ht="14.25" customHeight="1">
      <c r="A6" s="202" t="s">
        <v>988</v>
      </c>
      <c r="B6" s="202" t="s">
        <v>989</v>
      </c>
      <c r="C6" s="202" t="s">
        <v>990</v>
      </c>
      <c r="D6" s="203" t="s">
        <v>991</v>
      </c>
      <c r="E6" s="197"/>
      <c r="F6" s="202" t="s">
        <v>992</v>
      </c>
      <c r="G6" s="4" t="s">
        <v>993</v>
      </c>
      <c r="H6" s="202" t="s">
        <v>994</v>
      </c>
      <c r="I6" s="202" t="s">
        <v>995</v>
      </c>
    </row>
    <row r="7" ht="14.25" customHeight="1">
      <c r="A7" s="249" t="s">
        <v>1054</v>
      </c>
      <c r="B7" s="3" t="str">
        <f>IF($A7=0,"",VLOOKUP($A7,'00_Mat'!$A$4:$J$1165,2,FALSE))</f>
        <v>Bolson de Arena (1m3) </v>
      </c>
      <c r="C7" s="3" t="str">
        <f>IF($A7=0,"",VLOOKUP($A7,'00_Mat'!$A$4:$J$1165,3,FALSE))</f>
        <v>m3</v>
      </c>
      <c r="D7" s="250">
        <f>L8</f>
        <v>35.1</v>
      </c>
      <c r="E7" s="204"/>
      <c r="F7" s="236">
        <v>0.1</v>
      </c>
      <c r="G7" s="221">
        <f t="shared" ref="G7:G11" si="1">ROUNDUP((D7+(D7*F7)),0)</f>
        <v>39</v>
      </c>
      <c r="H7" s="143">
        <f>IF($A7=0,"",VLOOKUP($A7,'00_Mat'!$A$4:$J$1135,5,FALSE))</f>
        <v>33470</v>
      </c>
      <c r="I7" s="143">
        <f t="shared" ref="I7:I11" si="2">G7*H7</f>
        <v>1305330</v>
      </c>
      <c r="J7" s="231"/>
      <c r="L7" s="153" t="s">
        <v>1067</v>
      </c>
    </row>
    <row r="8" ht="14.25" customHeight="1">
      <c r="A8" s="249" t="s">
        <v>1055</v>
      </c>
      <c r="B8" s="3" t="str">
        <f>IF($A8=0,"",VLOOKUP($A8,'00_Mat'!$A$4:$J$1165,2,FALSE))</f>
        <v>Bolsa Cemento "Loma Negra" 25 k (u)</v>
      </c>
      <c r="C8" s="3" t="str">
        <f>IF($A8=0,"",VLOOKUP($A8,'00_Mat'!$A$4:$J$1165,3,FALSE))</f>
        <v>u</v>
      </c>
      <c r="D8" s="250">
        <f>15*L8</f>
        <v>526.5</v>
      </c>
      <c r="E8" s="204"/>
      <c r="F8" s="236">
        <v>0.1</v>
      </c>
      <c r="G8" s="221">
        <f t="shared" si="1"/>
        <v>580</v>
      </c>
      <c r="H8" s="143">
        <f>IF($A8=0,"",VLOOKUP($A8,'00_Mat'!$A$4:$J$1135,5,FALSE))</f>
        <v>7000</v>
      </c>
      <c r="I8" s="143">
        <f t="shared" si="2"/>
        <v>4060000</v>
      </c>
      <c r="L8" s="194">
        <f>H3*K5</f>
        <v>35.1</v>
      </c>
    </row>
    <row r="9" ht="14.25" customHeight="1">
      <c r="A9" s="3" t="s">
        <v>42</v>
      </c>
      <c r="B9" s="3" t="str">
        <f>IF($A9=0,"",VLOOKUP($A9,'00_Mat'!$A$4:$J$1165,2,FALSE))</f>
        <v>Ladrillo Comun </v>
      </c>
      <c r="C9" s="3" t="str">
        <f>IF($A9=0,"",VLOOKUP($A9,'00_Mat'!$A$4:$J$1165,3,FALSE))</f>
        <v>u</v>
      </c>
      <c r="D9" s="253">
        <v>200.0</v>
      </c>
      <c r="E9" s="204"/>
      <c r="F9" s="236">
        <v>0.25</v>
      </c>
      <c r="G9" s="221">
        <f t="shared" si="1"/>
        <v>250</v>
      </c>
      <c r="H9" s="143">
        <f>IF($A9=0,"",VLOOKUP($A9,'00_Mat'!$A$4:$J$1135,5,FALSE))</f>
        <v>190.61</v>
      </c>
      <c r="I9" s="143">
        <f t="shared" si="2"/>
        <v>47652.5</v>
      </c>
    </row>
    <row r="10" ht="14.25" customHeight="1">
      <c r="A10" s="3"/>
      <c r="B10" s="3" t="str">
        <f>IF($A10=0,"",VLOOKUP($A10,'00_Mat'!$A$4:$J$1165,2,FALSE))</f>
        <v/>
      </c>
      <c r="C10" s="3" t="str">
        <f>IF($A10=0,"",VLOOKUP($A10,'00_Mat'!$A$4:$J$1165,3,FALSE))</f>
        <v/>
      </c>
      <c r="D10" s="255"/>
      <c r="E10" s="204"/>
      <c r="F10" s="236"/>
      <c r="G10" s="221">
        <f t="shared" si="1"/>
        <v>0</v>
      </c>
      <c r="H10" s="143" t="str">
        <f>IF($A10=0,"",VLOOKUP($A10,'00_Mat'!$A$4:$J$1135,5,FALSE))</f>
        <v/>
      </c>
      <c r="I10" s="143">
        <f t="shared" si="2"/>
        <v>0</v>
      </c>
    </row>
    <row r="11" ht="14.25" customHeight="1">
      <c r="A11" s="254"/>
      <c r="B11" s="3" t="str">
        <f>IF($A11=0,"",VLOOKUP($A11,'00_Mat'!$A$4:$J$1165,2,FALSE))</f>
        <v/>
      </c>
      <c r="C11" s="3" t="str">
        <f>IF($A11=0,"",VLOOKUP($A11,'00_Mat'!$A$4:$J$1165,3,FALSE))</f>
        <v/>
      </c>
      <c r="D11" s="255"/>
      <c r="E11" s="204"/>
      <c r="F11" s="236"/>
      <c r="G11" s="221">
        <f t="shared" si="1"/>
        <v>0</v>
      </c>
      <c r="H11" s="143" t="str">
        <f>IF($A11=0,"",VLOOKUP($A11,'00_Mat'!$A$4:$J$1135,5,FALSE))</f>
        <v/>
      </c>
      <c r="I11" s="143">
        <f t="shared" si="2"/>
        <v>0</v>
      </c>
    </row>
    <row r="12" ht="14.25" customHeight="1">
      <c r="A12" s="3"/>
      <c r="B12" s="92"/>
      <c r="C12" s="92"/>
      <c r="D12" s="229"/>
      <c r="E12" s="204"/>
      <c r="F12" s="206"/>
      <c r="G12" s="221"/>
      <c r="H12" s="143"/>
      <c r="I12" s="143"/>
    </row>
    <row r="13" ht="14.25" customHeight="1">
      <c r="A13" s="20"/>
      <c r="B13" s="92"/>
      <c r="C13" s="92"/>
      <c r="D13" s="229"/>
      <c r="E13" s="204"/>
      <c r="F13" s="206"/>
      <c r="G13" s="221"/>
      <c r="H13" s="143"/>
      <c r="I13" s="143"/>
    </row>
    <row r="14" ht="14.25" customHeight="1">
      <c r="A14" s="3"/>
      <c r="B14" s="92"/>
      <c r="C14" s="92"/>
      <c r="D14" s="229"/>
      <c r="E14" s="204"/>
      <c r="F14" s="206"/>
      <c r="G14" s="221"/>
      <c r="H14" s="143"/>
      <c r="I14" s="143"/>
    </row>
    <row r="15" ht="14.25" customHeight="1">
      <c r="A15" s="3"/>
      <c r="B15" s="92"/>
      <c r="C15" s="92"/>
      <c r="D15" s="229"/>
      <c r="E15" s="204"/>
      <c r="F15" s="206"/>
      <c r="G15" s="221"/>
      <c r="H15" s="143"/>
      <c r="I15" s="143"/>
    </row>
    <row r="16" ht="14.25" customHeight="1">
      <c r="A16" s="204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04"/>
      <c r="E16" s="204"/>
      <c r="F16" s="206"/>
      <c r="G16" s="221">
        <f t="shared" ref="G16:G18" si="3">ROUNDUP((D16+(D16*F16)),0)</f>
        <v>0</v>
      </c>
      <c r="H16" s="143" t="str">
        <f>IF($A16=0,"",VLOOKUP($A16,'00_Mat'!$A$4:$J$1135,5,FALSE))</f>
        <v/>
      </c>
      <c r="I16" s="143"/>
    </row>
    <row r="17" ht="14.25" customHeight="1">
      <c r="A17" s="204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04"/>
      <c r="E17" s="204"/>
      <c r="F17" s="206"/>
      <c r="G17" s="221">
        <f t="shared" si="3"/>
        <v>0</v>
      </c>
      <c r="H17" s="143" t="str">
        <f>IF($A17=0,"",VLOOKUP($A17,'00_Mat'!$A$4:$J$1135,5,FALSE))</f>
        <v/>
      </c>
      <c r="I17" s="143"/>
    </row>
    <row r="18" ht="14.25" customHeight="1">
      <c r="A18" s="204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04"/>
      <c r="E18" s="204"/>
      <c r="F18" s="206"/>
      <c r="G18" s="221">
        <f t="shared" si="3"/>
        <v>0</v>
      </c>
      <c r="H18" s="143" t="str">
        <f>IF($A18=0,"",VLOOKUP($A18,'00_Mat'!$A$4:$J$1135,5,FALSE))</f>
        <v/>
      </c>
      <c r="I18" s="143"/>
    </row>
    <row r="19" ht="14.25" customHeight="1">
      <c r="F19" s="208"/>
      <c r="G19" s="3"/>
      <c r="H19" s="143"/>
      <c r="I19" s="143"/>
    </row>
    <row r="20" ht="14.25" customHeight="1">
      <c r="A20" s="222" t="s">
        <v>996</v>
      </c>
      <c r="B20" s="223"/>
      <c r="C20" s="223"/>
      <c r="D20" s="223"/>
      <c r="E20" s="223"/>
      <c r="F20" s="223"/>
      <c r="G20" s="211"/>
      <c r="H20" s="223"/>
      <c r="I20" s="224">
        <f>SUM(I7:I18)</f>
        <v>5412982.5</v>
      </c>
      <c r="J20" s="92"/>
      <c r="K20" s="92"/>
      <c r="L20" s="92"/>
    </row>
    <row r="21" ht="14.25" customHeight="1">
      <c r="A21" s="232" t="str">
        <f>$I$3</f>
        <v>m²</v>
      </c>
      <c r="B21" s="233"/>
      <c r="C21" s="233"/>
      <c r="D21" s="233"/>
      <c r="E21" s="233"/>
      <c r="F21" s="233"/>
      <c r="G21" s="21"/>
      <c r="H21" s="233"/>
      <c r="I21" s="205">
        <f>$H$3</f>
        <v>270</v>
      </c>
      <c r="J21" s="92"/>
      <c r="K21" s="92"/>
      <c r="L21" s="92"/>
    </row>
    <row r="22" ht="14.25" customHeight="1">
      <c r="A22" s="234" t="s">
        <v>997</v>
      </c>
      <c r="B22" s="232" t="str">
        <f>A21</f>
        <v>m²</v>
      </c>
      <c r="C22" s="233"/>
      <c r="D22" s="233"/>
      <c r="E22" s="233"/>
      <c r="F22" s="233"/>
      <c r="G22" s="21"/>
      <c r="H22" s="233"/>
      <c r="I22" s="235">
        <f>I20/I21</f>
        <v>20048.08333</v>
      </c>
      <c r="J22" s="92"/>
      <c r="K22" s="92"/>
      <c r="L22" s="92"/>
    </row>
    <row r="23" ht="14.25" customHeight="1">
      <c r="G23" s="3"/>
      <c r="I23" s="151"/>
    </row>
    <row r="24" ht="14.25" customHeight="1">
      <c r="G24" s="3"/>
    </row>
    <row r="25" ht="14.25" customHeight="1">
      <c r="A25" s="201" t="s">
        <v>998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02" t="s">
        <v>988</v>
      </c>
      <c r="B26" s="202" t="s">
        <v>989</v>
      </c>
      <c r="C26" s="202" t="s">
        <v>990</v>
      </c>
      <c r="D26" s="202" t="s">
        <v>991</v>
      </c>
      <c r="E26" s="202" t="s">
        <v>999</v>
      </c>
      <c r="F26" s="202" t="s">
        <v>992</v>
      </c>
      <c r="G26" s="4" t="s">
        <v>993</v>
      </c>
      <c r="H26" s="202" t="s">
        <v>994</v>
      </c>
      <c r="I26" s="202" t="s">
        <v>995</v>
      </c>
    </row>
    <row r="27" ht="14.25" customHeight="1">
      <c r="A27" s="61" t="s">
        <v>621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29">
        <v>1.0</v>
      </c>
      <c r="E27" s="229">
        <v>1.0</v>
      </c>
      <c r="F27" s="236">
        <v>0.25</v>
      </c>
      <c r="G27" s="217">
        <f t="shared" ref="G27:G32" si="4">ROUNDUP(((D27*E27)*(1+F27)),0)</f>
        <v>2</v>
      </c>
      <c r="H27" s="143">
        <f>IF($A27=0,"",VLOOKUP($A27,'00_MO'!$A$4:$D$7,4,FALSE))</f>
        <v>120000</v>
      </c>
      <c r="I27" s="143">
        <f t="shared" ref="I27:I30" si="5">G27*H27</f>
        <v>240000</v>
      </c>
      <c r="K27" s="153" t="s">
        <v>1072</v>
      </c>
    </row>
    <row r="28" ht="14.25" customHeight="1">
      <c r="A28" s="61" t="s">
        <v>623</v>
      </c>
      <c r="B28" s="92" t="str">
        <f>IF($A28=0,"",VLOOKUP($A28,'00_MO'!$A$4:$D$7,2,FALSE))</f>
        <v>Puntero</v>
      </c>
      <c r="C28" s="92" t="str">
        <f>IF($A28=0,"",VLOOKUP($A28,'00_MO'!$A$4:$D$7,3,FALSE))</f>
        <v>u</v>
      </c>
      <c r="D28" s="229">
        <v>2.0</v>
      </c>
      <c r="E28" s="229">
        <v>1.0</v>
      </c>
      <c r="F28" s="236">
        <v>0.25</v>
      </c>
      <c r="G28" s="217">
        <f t="shared" si="4"/>
        <v>3</v>
      </c>
      <c r="H28" s="143">
        <f>IF($A28=0,"",VLOOKUP($A28,'00_MO'!$A$4:$D$7,4,FALSE))</f>
        <v>105000</v>
      </c>
      <c r="I28" s="143">
        <f t="shared" si="5"/>
        <v>315000</v>
      </c>
    </row>
    <row r="29" ht="14.25" customHeight="1">
      <c r="A29" s="61" t="s">
        <v>625</v>
      </c>
      <c r="B29" s="92" t="str">
        <f>IF($A29=0,"",VLOOKUP($A29,'00_MO'!$A$4:$D$7,2,FALSE))</f>
        <v>Oficial</v>
      </c>
      <c r="C29" s="92" t="str">
        <f>IF($A29=0,"",VLOOKUP($A29,'00_MO'!$A$4:$D$7,3,FALSE))</f>
        <v>u</v>
      </c>
      <c r="D29" s="229">
        <v>3.0</v>
      </c>
      <c r="E29" s="229">
        <v>1.0</v>
      </c>
      <c r="F29" s="236">
        <v>0.25</v>
      </c>
      <c r="G29" s="217">
        <f t="shared" si="4"/>
        <v>4</v>
      </c>
      <c r="H29" s="143">
        <f>IF($A29=0,"",VLOOKUP($A29,'00_MO'!$A$4:$D$7,4,FALSE))</f>
        <v>90000</v>
      </c>
      <c r="I29" s="143">
        <f t="shared" si="5"/>
        <v>360000</v>
      </c>
    </row>
    <row r="30" ht="14.25" customHeight="1">
      <c r="A30" s="61" t="s">
        <v>627</v>
      </c>
      <c r="B30" s="92" t="str">
        <f>IF($A30=0,"",VLOOKUP($A30,'00_MO'!$A$4:$D$7,2,FALSE))</f>
        <v>Ayudante</v>
      </c>
      <c r="C30" s="92" t="str">
        <f>IF($A30=0,"",VLOOKUP($A30,'00_MO'!$A$4:$D$7,3,FALSE))</f>
        <v>u</v>
      </c>
      <c r="D30" s="229">
        <v>3.0</v>
      </c>
      <c r="E30" s="229">
        <v>1.0</v>
      </c>
      <c r="F30" s="236">
        <v>0.25</v>
      </c>
      <c r="G30" s="217">
        <f t="shared" si="4"/>
        <v>4</v>
      </c>
      <c r="H30" s="143">
        <f>IF($A30=0,"",VLOOKUP($A30,'00_MO'!$A$4:$D$7,4,FALSE))</f>
        <v>60000</v>
      </c>
      <c r="I30" s="143">
        <f t="shared" si="5"/>
        <v>240000</v>
      </c>
    </row>
    <row r="31" ht="14.25" customHeight="1">
      <c r="A31" s="204"/>
      <c r="B31" s="92" t="str">
        <f>IF($A31=0,"",VLOOKUP($A31,'00_MO'!$A$4:$D$7,2,FALSE))</f>
        <v/>
      </c>
      <c r="C31" s="92" t="str">
        <f>IF($A31=0,"",VLOOKUP($A31,'00_MO'!$A$4:$D$7,3,FALSE))</f>
        <v/>
      </c>
      <c r="D31" s="204"/>
      <c r="E31" s="229"/>
      <c r="F31" s="206"/>
      <c r="G31" s="217">
        <f t="shared" si="4"/>
        <v>0</v>
      </c>
      <c r="H31" s="143" t="str">
        <f>IF($A31=0,"",VLOOKUP($A31,'00_MO'!$A$4:$D$7,4,FALSE))</f>
        <v/>
      </c>
      <c r="I31" s="143"/>
    </row>
    <row r="32" ht="14.25" customHeight="1">
      <c r="A32" s="204"/>
      <c r="B32" s="92" t="str">
        <f>IF($A32=0,"",VLOOKUP($A32,'00_MO'!$A$4:$D$7,2,FALSE))</f>
        <v/>
      </c>
      <c r="C32" s="92" t="str">
        <f>IF($A32=0,"",VLOOKUP($A32,'00_MO'!$A$4:$D$7,3,FALSE))</f>
        <v/>
      </c>
      <c r="D32" s="204"/>
      <c r="E32" s="204"/>
      <c r="F32" s="206"/>
      <c r="G32" s="217">
        <f t="shared" si="4"/>
        <v>0</v>
      </c>
      <c r="H32" s="143" t="str">
        <f>IF($A32=0,"",VLOOKUP($A32,'00_MO'!$A$4:$D$7,4,FALSE))</f>
        <v/>
      </c>
      <c r="I32" s="143"/>
    </row>
    <row r="33" ht="14.25" customHeight="1">
      <c r="F33" s="208"/>
      <c r="G33" s="3"/>
      <c r="H33" s="143"/>
      <c r="I33" s="143"/>
    </row>
    <row r="34" ht="14.25" customHeight="1">
      <c r="A34" s="222" t="s">
        <v>987</v>
      </c>
      <c r="B34" s="223"/>
      <c r="C34" s="223"/>
      <c r="D34" s="223"/>
      <c r="E34" s="223"/>
      <c r="F34" s="223"/>
      <c r="G34" s="211"/>
      <c r="H34" s="223"/>
      <c r="I34" s="224">
        <f>SUM(I27:I32)</f>
        <v>1155000</v>
      </c>
    </row>
    <row r="35" ht="14.25" customHeight="1">
      <c r="A35" s="232" t="str">
        <f>$I$3</f>
        <v>m²</v>
      </c>
      <c r="B35" s="233"/>
      <c r="C35" s="233"/>
      <c r="D35" s="233"/>
      <c r="E35" s="233"/>
      <c r="F35" s="233"/>
      <c r="G35" s="21"/>
      <c r="H35" s="233"/>
      <c r="I35" s="205">
        <f>$H$3</f>
        <v>270</v>
      </c>
      <c r="J35" s="92"/>
      <c r="K35" s="92"/>
      <c r="L35" s="92"/>
    </row>
    <row r="36" ht="14.25" customHeight="1">
      <c r="A36" s="234" t="s">
        <v>997</v>
      </c>
      <c r="B36" s="232" t="str">
        <f>A35</f>
        <v>m²</v>
      </c>
      <c r="C36" s="233"/>
      <c r="D36" s="233"/>
      <c r="E36" s="233"/>
      <c r="F36" s="233"/>
      <c r="G36" s="21"/>
      <c r="H36" s="233"/>
      <c r="I36" s="235">
        <f>I34/I35</f>
        <v>4277.777778</v>
      </c>
      <c r="J36" s="92"/>
      <c r="K36" s="92"/>
      <c r="L36" s="92"/>
    </row>
    <row r="37" ht="14.25" customHeight="1">
      <c r="G37" s="3"/>
      <c r="I37" s="151"/>
    </row>
    <row r="38" ht="14.25" customHeight="1">
      <c r="G38" s="3"/>
    </row>
    <row r="39" ht="14.25" customHeight="1">
      <c r="A39" s="201" t="s">
        <v>1000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02" t="s">
        <v>988</v>
      </c>
      <c r="B40" s="202" t="s">
        <v>989</v>
      </c>
      <c r="C40" s="202" t="s">
        <v>990</v>
      </c>
      <c r="D40" s="202" t="s">
        <v>991</v>
      </c>
      <c r="E40" s="202" t="s">
        <v>999</v>
      </c>
      <c r="F40" s="202" t="s">
        <v>992</v>
      </c>
      <c r="G40" s="4" t="s">
        <v>993</v>
      </c>
      <c r="H40" s="202" t="s">
        <v>994</v>
      </c>
      <c r="I40" s="202" t="s">
        <v>995</v>
      </c>
    </row>
    <row r="41" ht="14.25" customHeight="1">
      <c r="A41" s="3"/>
      <c r="B41" s="92" t="str">
        <f>IF($A41=0,"",VLOOKUP($A41,'00_Mat'!$A$4:$J$1135,2,FALSE))</f>
        <v/>
      </c>
      <c r="C41" s="92" t="str">
        <f>IF($A41=0,"",VLOOKUP($A41,'00_Mat'!$A$4:$J$1135,3,FALSE))</f>
        <v/>
      </c>
      <c r="D41" s="230"/>
      <c r="E41" s="204"/>
      <c r="F41" s="236"/>
      <c r="G41" s="221">
        <f t="shared" ref="G41:G45" si="6">ROUNDUP((D41+(D41*F41)),0)</f>
        <v>0</v>
      </c>
      <c r="H41" s="143" t="str">
        <f>IF($A41=0,"",VLOOKUP($A41,'00_Mat'!$A$4:$J$1135,5,FALSE))</f>
        <v/>
      </c>
      <c r="I41" s="143">
        <f t="shared" ref="I41:I46" si="7">G41*H41</f>
        <v>0</v>
      </c>
      <c r="J41" s="237"/>
    </row>
    <row r="42" ht="14.25" customHeight="1">
      <c r="A42" s="3"/>
      <c r="B42" s="92" t="str">
        <f>IF($A42=0,"",VLOOKUP($A42,'00_Mat'!$A$4:$J$1135,2,FALSE))</f>
        <v/>
      </c>
      <c r="C42" s="92" t="str">
        <f>IF($A42=0,"",VLOOKUP($A42,'00_Mat'!$A$4:$J$1135,3,FALSE))</f>
        <v/>
      </c>
      <c r="D42" s="230"/>
      <c r="E42" s="204"/>
      <c r="F42" s="236"/>
      <c r="G42" s="221">
        <f t="shared" si="6"/>
        <v>0</v>
      </c>
      <c r="H42" s="143" t="str">
        <f>IF($A42=0,"",VLOOKUP($A42,'00_Mat'!$A$4:$J$1135,5,FALSE))</f>
        <v/>
      </c>
      <c r="I42" s="143">
        <f t="shared" si="7"/>
        <v>0</v>
      </c>
      <c r="J42" s="237"/>
    </row>
    <row r="43" ht="14.25" customHeight="1">
      <c r="A43" s="3"/>
      <c r="B43" s="92" t="str">
        <f>IF($A43=0,"",VLOOKUP($A43,'00_Mat'!$A$4:$J$1135,2,FALSE))</f>
        <v/>
      </c>
      <c r="C43" s="92" t="str">
        <f>IF($A43=0,"",VLOOKUP($A43,'00_Mat'!$A$4:$J$1135,3,FALSE))</f>
        <v/>
      </c>
      <c r="D43" s="230"/>
      <c r="E43" s="204"/>
      <c r="F43" s="236"/>
      <c r="G43" s="221">
        <f t="shared" si="6"/>
        <v>0</v>
      </c>
      <c r="H43" s="143" t="str">
        <f>IF($A43=0,"",VLOOKUP($A43,'00_Mat'!$A$4:$J$1135,5,FALSE))</f>
        <v/>
      </c>
      <c r="I43" s="143">
        <f t="shared" si="7"/>
        <v>0</v>
      </c>
    </row>
    <row r="44" ht="14.25" customHeight="1">
      <c r="A44" s="20"/>
      <c r="B44" s="92" t="str">
        <f>IF($A44=0,"",VLOOKUP($A44,'00_Mat'!$A$4:$J$1135,2,FALSE))</f>
        <v/>
      </c>
      <c r="C44" s="92" t="str">
        <f>IF($A44=0,"",VLOOKUP($A44,'00_Mat'!$A$4:$J$1135,3,FALSE))</f>
        <v/>
      </c>
      <c r="D44" s="230"/>
      <c r="E44" s="204"/>
      <c r="F44" s="236"/>
      <c r="G44" s="221">
        <f t="shared" si="6"/>
        <v>0</v>
      </c>
      <c r="H44" s="143" t="str">
        <f>IF($A44=0,"",VLOOKUP($A44,'00_Mat'!$A$4:$J$1135,5,FALSE))</f>
        <v/>
      </c>
      <c r="I44" s="143">
        <f t="shared" si="7"/>
        <v>0</v>
      </c>
    </row>
    <row r="45" ht="14.25" customHeight="1">
      <c r="B45" s="194" t="str">
        <f>IF($A45=0,"",VLOOKUP($A45,'00_Mat'!$A$4:$J$1135,2,FALSE))</f>
        <v/>
      </c>
      <c r="C45" s="92" t="str">
        <f>IF($A45=0,"",VLOOKUP($A45,'00_Mat'!$A$4:$J$1135,3,FALSE))</f>
        <v/>
      </c>
      <c r="D45" s="230"/>
      <c r="E45" s="204"/>
      <c r="F45" s="236"/>
      <c r="G45" s="221">
        <f t="shared" si="6"/>
        <v>0</v>
      </c>
      <c r="H45" s="231"/>
      <c r="I45" s="143">
        <f t="shared" si="7"/>
        <v>0</v>
      </c>
    </row>
    <row r="46" ht="14.25" customHeight="1">
      <c r="A46" s="204"/>
      <c r="B46" s="92" t="str">
        <f>IF($A46=0,"",VLOOKUP($A46,'00_Mat'!$A$4:$J$1135,2,FALSE))</f>
        <v/>
      </c>
      <c r="C46" s="92" t="str">
        <f>IF($A46=0,"",VLOOKUP($A46,'00_Mat'!$A$4:$J$1135,3,FALSE))</f>
        <v/>
      </c>
      <c r="D46" s="229"/>
      <c r="E46" s="204"/>
      <c r="F46" s="236"/>
      <c r="G46" s="217">
        <f>ROUNDUP(((D46*E46)*(1+F46)),0)</f>
        <v>0</v>
      </c>
      <c r="H46" s="143" t="str">
        <f>IF($A46=0,"",VLOOKUP($A46,'00_Mat'!$A$4:$J$1135,5,FALSE))</f>
        <v/>
      </c>
      <c r="I46" s="143">
        <f t="shared" si="7"/>
        <v>0</v>
      </c>
      <c r="J46" s="153"/>
    </row>
    <row r="47" ht="14.25" customHeight="1">
      <c r="F47" s="208"/>
      <c r="G47" s="3"/>
      <c r="H47" s="143"/>
      <c r="I47" s="143"/>
    </row>
    <row r="48" ht="14.25" customHeight="1">
      <c r="A48" s="222" t="s">
        <v>987</v>
      </c>
      <c r="B48" s="223"/>
      <c r="C48" s="223"/>
      <c r="D48" s="223"/>
      <c r="E48" s="223"/>
      <c r="F48" s="223"/>
      <c r="G48" s="211"/>
      <c r="H48" s="223"/>
      <c r="I48" s="224">
        <f>SUM(I41:I46)</f>
        <v>0</v>
      </c>
    </row>
    <row r="49" ht="14.25" customHeight="1">
      <c r="A49" s="232" t="str">
        <f>$I$3</f>
        <v>m²</v>
      </c>
      <c r="B49" s="233"/>
      <c r="C49" s="233"/>
      <c r="D49" s="233"/>
      <c r="E49" s="233"/>
      <c r="F49" s="233"/>
      <c r="G49" s="21"/>
      <c r="H49" s="233"/>
      <c r="I49" s="205">
        <f>$H$3</f>
        <v>270</v>
      </c>
      <c r="J49" s="92"/>
      <c r="K49" s="92"/>
      <c r="L49" s="92"/>
    </row>
    <row r="50" ht="14.25" customHeight="1">
      <c r="A50" s="234" t="s">
        <v>997</v>
      </c>
      <c r="B50" s="232" t="str">
        <f>A49</f>
        <v>m²</v>
      </c>
      <c r="C50" s="233"/>
      <c r="D50" s="233"/>
      <c r="E50" s="233"/>
      <c r="F50" s="233"/>
      <c r="G50" s="21"/>
      <c r="H50" s="233"/>
      <c r="I50" s="235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01" t="s">
        <v>1010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02" t="s">
        <v>988</v>
      </c>
      <c r="B54" s="202" t="s">
        <v>989</v>
      </c>
      <c r="C54" s="202" t="s">
        <v>990</v>
      </c>
      <c r="D54" s="203" t="s">
        <v>991</v>
      </c>
      <c r="E54" s="197"/>
      <c r="F54" s="202" t="s">
        <v>992</v>
      </c>
      <c r="G54" s="4" t="s">
        <v>993</v>
      </c>
      <c r="H54" s="202" t="s">
        <v>994</v>
      </c>
      <c r="I54" s="202" t="s">
        <v>995</v>
      </c>
    </row>
    <row r="55" ht="14.25" customHeight="1">
      <c r="A55" s="229"/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30">
        <v>1.0</v>
      </c>
      <c r="E55" s="204"/>
      <c r="F55" s="236">
        <v>0.1</v>
      </c>
      <c r="G55" s="221">
        <f t="shared" ref="G55:G60" si="8">ROUNDUP((D55+(D55*F55)),0)</f>
        <v>2</v>
      </c>
      <c r="H55" s="143" t="str">
        <f>IF($A55=0,"",VLOOKUP($A55,'00_Mat'!$A$4:$J$1135,5,FALSE))</f>
        <v/>
      </c>
      <c r="I55" s="143">
        <f t="shared" ref="I55:I58" si="9">G55*H55</f>
        <v>0</v>
      </c>
      <c r="J55" s="237"/>
    </row>
    <row r="56" ht="14.25" customHeight="1">
      <c r="A56" s="3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30">
        <v>10.0</v>
      </c>
      <c r="E56" s="204"/>
      <c r="F56" s="236">
        <v>0.1</v>
      </c>
      <c r="G56" s="221">
        <f t="shared" si="8"/>
        <v>11</v>
      </c>
      <c r="H56" s="143" t="str">
        <f>IF($A56=0,"",VLOOKUP($A56,'00_Mat'!$A$4:$J$1135,5,FALSE))</f>
        <v/>
      </c>
      <c r="I56" s="143">
        <f t="shared" si="9"/>
        <v>0</v>
      </c>
      <c r="J56" s="237"/>
    </row>
    <row r="57" ht="14.25" customHeight="1">
      <c r="A57" s="3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30">
        <v>1.0</v>
      </c>
      <c r="E57" s="204"/>
      <c r="F57" s="236">
        <v>0.1</v>
      </c>
      <c r="G57" s="221">
        <f t="shared" si="8"/>
        <v>2</v>
      </c>
      <c r="H57" s="143" t="str">
        <f>IF($A57=0,"",VLOOKUP($A57,'00_Mat'!$A$4:$J$1135,5,FALSE))</f>
        <v/>
      </c>
      <c r="I57" s="143">
        <f t="shared" si="9"/>
        <v>0</v>
      </c>
    </row>
    <row r="58" ht="14.25" customHeight="1">
      <c r="A58" s="20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30">
        <v>1.0</v>
      </c>
      <c r="E58" s="204"/>
      <c r="F58" s="236">
        <v>0.1</v>
      </c>
      <c r="G58" s="221">
        <f t="shared" si="8"/>
        <v>2</v>
      </c>
      <c r="H58" s="143" t="str">
        <f>IF($A58=0,"",VLOOKUP($A58,'00_Mat'!$A$4:$J$1135,5,FALSE))</f>
        <v/>
      </c>
      <c r="I58" s="143">
        <f t="shared" si="9"/>
        <v>0</v>
      </c>
    </row>
    <row r="59" ht="14.25" customHeight="1">
      <c r="A59" s="204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05"/>
      <c r="E59" s="204"/>
      <c r="F59" s="206"/>
      <c r="G59" s="221">
        <f t="shared" si="8"/>
        <v>0</v>
      </c>
      <c r="H59" s="143" t="str">
        <f>IF($A59=0,"",VLOOKUP($A59,'00_Mat'!$A$4:$J$1135,5,FALSE))</f>
        <v/>
      </c>
      <c r="I59" s="143"/>
    </row>
    <row r="60" ht="14.25" customHeight="1">
      <c r="A60" s="204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05"/>
      <c r="E60" s="204"/>
      <c r="F60" s="206"/>
      <c r="G60" s="221">
        <f t="shared" si="8"/>
        <v>0</v>
      </c>
      <c r="H60" s="143" t="str">
        <f>IF($A60=0,"",VLOOKUP($A60,'00_Mat'!$A$4:$J$1135,5,FALSE))</f>
        <v/>
      </c>
      <c r="I60" s="143"/>
    </row>
    <row r="61" ht="14.25" customHeight="1">
      <c r="F61" s="208"/>
      <c r="G61" s="3"/>
      <c r="H61" s="143"/>
      <c r="I61" s="143"/>
    </row>
    <row r="62" ht="14.25" customHeight="1">
      <c r="A62" s="222" t="s">
        <v>987</v>
      </c>
      <c r="B62" s="223"/>
      <c r="C62" s="223"/>
      <c r="D62" s="223"/>
      <c r="E62" s="223"/>
      <c r="F62" s="223"/>
      <c r="G62" s="211"/>
      <c r="H62" s="223"/>
      <c r="I62" s="224">
        <f>SUM(I55:I60)</f>
        <v>0</v>
      </c>
    </row>
    <row r="63" ht="14.25" customHeight="1">
      <c r="A63" s="232" t="str">
        <f>$I$3</f>
        <v>m²</v>
      </c>
      <c r="B63" s="233"/>
      <c r="C63" s="233"/>
      <c r="D63" s="233"/>
      <c r="E63" s="233"/>
      <c r="F63" s="233"/>
      <c r="G63" s="21"/>
      <c r="H63" s="233"/>
      <c r="I63" s="205">
        <f>$H$3</f>
        <v>270</v>
      </c>
      <c r="J63" s="92"/>
      <c r="K63" s="92"/>
      <c r="L63" s="92"/>
    </row>
    <row r="64" ht="14.25" customHeight="1">
      <c r="A64" s="234" t="s">
        <v>997</v>
      </c>
      <c r="B64" s="232" t="str">
        <f>A63</f>
        <v>m²</v>
      </c>
      <c r="C64" s="233"/>
      <c r="D64" s="233"/>
      <c r="E64" s="233"/>
      <c r="F64" s="233"/>
      <c r="G64" s="21"/>
      <c r="H64" s="233"/>
      <c r="I64" s="235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01" t="s">
        <v>1025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02" t="s">
        <v>988</v>
      </c>
      <c r="B68" s="202" t="s">
        <v>989</v>
      </c>
      <c r="C68" s="202" t="s">
        <v>990</v>
      </c>
      <c r="D68" s="202" t="s">
        <v>991</v>
      </c>
      <c r="E68" s="202" t="s">
        <v>999</v>
      </c>
      <c r="F68" s="202" t="s">
        <v>992</v>
      </c>
      <c r="G68" s="4" t="s">
        <v>993</v>
      </c>
      <c r="H68" s="202" t="s">
        <v>994</v>
      </c>
      <c r="I68" s="202" t="s">
        <v>995</v>
      </c>
    </row>
    <row r="69" ht="14.25" customHeight="1">
      <c r="A69" s="229" t="s">
        <v>1073</v>
      </c>
      <c r="B69" s="92" t="str">
        <f>IF($A69=0,"",VLOOKUP($A69,'00_Sub'!$A$4:$D$1007,2,FALSE))</f>
        <v>BOMBEO HORMIGON CELULAR. Incluye mano de obra y bomba.</v>
      </c>
      <c r="C69" s="92" t="str">
        <f>IF($A69=0,"",VLOOKUP($A69,'00_Sub'!$A$4:$D$1007,3,FALSE))</f>
        <v>m²</v>
      </c>
      <c r="D69" s="205">
        <f>H3</f>
        <v>270</v>
      </c>
      <c r="E69" s="204"/>
      <c r="F69" s="236">
        <v>0.3</v>
      </c>
      <c r="G69" s="221">
        <f t="shared" ref="G69:G74" si="10">ROUNDUP((D69+(D69*F69)),0)</f>
        <v>351</v>
      </c>
      <c r="H69" s="143">
        <f>IF($A69=0,"",VLOOKUP($A69,'00_Sub'!$A$4:$D$1007,4,FALSE))</f>
        <v>12000</v>
      </c>
      <c r="I69" s="143">
        <f>G69*H69</f>
        <v>4212000</v>
      </c>
      <c r="K69" s="85" t="s">
        <v>1075</v>
      </c>
      <c r="L69" s="258"/>
      <c r="M69" s="258"/>
    </row>
    <row r="70" ht="14.25" customHeight="1">
      <c r="A70" s="204"/>
      <c r="B70" s="92" t="str">
        <f>IF($A70=0,"",VLOOKUP($A70,'00_Sub'!$A$4:$D$1007,2,FALSE))</f>
        <v/>
      </c>
      <c r="C70" s="92" t="str">
        <f>IF($A70=0,"",VLOOKUP($A70,'00_Sub'!$A$4:$D$1007,3,FALSE))</f>
        <v/>
      </c>
      <c r="D70" s="204"/>
      <c r="E70" s="204"/>
      <c r="F70" s="206"/>
      <c r="G70" s="221">
        <f t="shared" si="10"/>
        <v>0</v>
      </c>
      <c r="H70" s="143" t="str">
        <f>IF($A70=0,"",VLOOKUP($A70,'00_Sub'!$A$4:$D$1007,4,FALSE))</f>
        <v/>
      </c>
      <c r="I70" s="143"/>
    </row>
    <row r="71" ht="14.25" customHeight="1">
      <c r="A71" s="204"/>
      <c r="B71" s="92" t="str">
        <f>IF($A71=0,"",VLOOKUP($A71,'00_Sub'!$A$4:$D$1007,2,FALSE))</f>
        <v/>
      </c>
      <c r="C71" s="92" t="str">
        <f>IF($A71=0,"",VLOOKUP($A71,'00_Sub'!$A$4:$D$1007,3,FALSE))</f>
        <v/>
      </c>
      <c r="D71" s="204"/>
      <c r="E71" s="204"/>
      <c r="F71" s="206"/>
      <c r="G71" s="221">
        <f t="shared" si="10"/>
        <v>0</v>
      </c>
      <c r="H71" s="143" t="str">
        <f>IF($A71=0,"",VLOOKUP($A71,'00_Sub'!$A$4:$D$1007,4,FALSE))</f>
        <v/>
      </c>
      <c r="I71" s="143"/>
    </row>
    <row r="72" ht="14.25" customHeight="1">
      <c r="A72" s="204"/>
      <c r="B72" s="92" t="str">
        <f>IF($A72=0,"",VLOOKUP($A72,'00_Sub'!$A$4:$D$1007,2,FALSE))</f>
        <v/>
      </c>
      <c r="C72" s="92" t="str">
        <f>IF($A72=0,"",VLOOKUP($A72,'00_Sub'!$A$4:$D$1007,3,FALSE))</f>
        <v/>
      </c>
      <c r="D72" s="204"/>
      <c r="E72" s="204"/>
      <c r="F72" s="206"/>
      <c r="G72" s="221">
        <f t="shared" si="10"/>
        <v>0</v>
      </c>
      <c r="H72" s="143" t="str">
        <f>IF($A72=0,"",VLOOKUP($A72,'00_Sub'!$A$4:$D$1007,4,FALSE))</f>
        <v/>
      </c>
      <c r="I72" s="143"/>
    </row>
    <row r="73" ht="14.25" customHeight="1">
      <c r="A73" s="204"/>
      <c r="B73" s="92" t="str">
        <f>IF($A73=0,"",VLOOKUP($A73,'00_Sub'!$A$4:$D$1007,2,FALSE))</f>
        <v/>
      </c>
      <c r="C73" s="92" t="str">
        <f>IF($A73=0,"",VLOOKUP($A73,'00_Sub'!$A$4:$D$1007,3,FALSE))</f>
        <v/>
      </c>
      <c r="D73" s="204"/>
      <c r="E73" s="204"/>
      <c r="F73" s="206"/>
      <c r="G73" s="221">
        <f t="shared" si="10"/>
        <v>0</v>
      </c>
      <c r="H73" s="143" t="str">
        <f>IF($A73=0,"",VLOOKUP($A73,'00_Sub'!$A$4:$D$1007,4,FALSE))</f>
        <v/>
      </c>
      <c r="I73" s="143"/>
    </row>
    <row r="74" ht="14.25" customHeight="1">
      <c r="A74" s="204"/>
      <c r="B74" s="92" t="str">
        <f>IF($A74=0,"",VLOOKUP($A74,'00_Sub'!$A$4:$D$1007,2,FALSE))</f>
        <v/>
      </c>
      <c r="C74" s="92" t="str">
        <f>IF($A74=0,"",VLOOKUP($A74,'00_Sub'!$A$4:$D$1007,3,FALSE))</f>
        <v/>
      </c>
      <c r="D74" s="204"/>
      <c r="E74" s="204"/>
      <c r="F74" s="206"/>
      <c r="G74" s="221">
        <f t="shared" si="10"/>
        <v>0</v>
      </c>
      <c r="H74" s="143" t="str">
        <f>IF($A74=0,"",VLOOKUP($A74,'00_Sub'!$A$4:$D$1007,4,FALSE))</f>
        <v/>
      </c>
      <c r="I74" s="143"/>
    </row>
    <row r="75" ht="14.25" customHeight="1">
      <c r="F75" s="208"/>
      <c r="G75" s="3"/>
      <c r="H75" s="143"/>
      <c r="I75" s="143"/>
    </row>
    <row r="76" ht="14.25" customHeight="1">
      <c r="A76" s="222" t="s">
        <v>987</v>
      </c>
      <c r="B76" s="223"/>
      <c r="C76" s="223"/>
      <c r="D76" s="223"/>
      <c r="E76" s="223"/>
      <c r="F76" s="223"/>
      <c r="G76" s="211"/>
      <c r="H76" s="223"/>
      <c r="I76" s="224">
        <f>SUM(I69:I74)</f>
        <v>4212000</v>
      </c>
    </row>
    <row r="77" ht="14.25" customHeight="1">
      <c r="A77" s="232" t="str">
        <f>$I$3</f>
        <v>m²</v>
      </c>
      <c r="B77" s="233"/>
      <c r="C77" s="233"/>
      <c r="D77" s="233"/>
      <c r="E77" s="233"/>
      <c r="F77" s="233"/>
      <c r="G77" s="21"/>
      <c r="H77" s="233"/>
      <c r="I77" s="205">
        <f>$H$3</f>
        <v>270</v>
      </c>
      <c r="J77" s="92"/>
      <c r="K77" s="92"/>
      <c r="L77" s="92"/>
    </row>
    <row r="78" ht="14.25" customHeight="1">
      <c r="A78" s="234" t="s">
        <v>997</v>
      </c>
      <c r="B78" s="232" t="str">
        <f>A77</f>
        <v>m²</v>
      </c>
      <c r="C78" s="233"/>
      <c r="D78" s="233"/>
      <c r="E78" s="233"/>
      <c r="F78" s="233"/>
      <c r="G78" s="21"/>
      <c r="H78" s="233"/>
      <c r="I78" s="235">
        <f>I76/I77</f>
        <v>15600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3">
    <mergeCell ref="B3:F3"/>
    <mergeCell ref="D6:E6"/>
    <mergeCell ref="D54:E54"/>
  </mergeCells>
  <printOptions/>
  <pageMargins bottom="0.75" footer="0.0" header="0.0" left="0.7" right="0.7" top="0.75"/>
  <pageSetup orientation="portrait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86"/>
    <col customWidth="1" min="10" max="12" width="8.71"/>
  </cols>
  <sheetData>
    <row r="1" ht="33.75" customHeight="1">
      <c r="A1" s="91" t="str">
        <f>'01_C&amp;P'!A1</f>
        <v>EDIFICIO LAS HERAS</v>
      </c>
      <c r="B1" s="91"/>
      <c r="C1" s="91"/>
      <c r="G1" s="3"/>
    </row>
    <row r="2" ht="14.25" customHeight="1">
      <c r="G2" s="3"/>
    </row>
    <row r="3" ht="23.25" customHeight="1">
      <c r="A3" s="195">
        <f>'01_C&amp;P'!A125</f>
        <v>46177</v>
      </c>
      <c r="B3" s="196" t="str">
        <f>IF($A3=0,"",VLOOKUP($A3,'01_C&amp;P'!$A$9:$D$192,2,FALSE))</f>
        <v>CARPETA . e=3cm (Terraza Accesible)</v>
      </c>
      <c r="C3" s="197"/>
      <c r="D3" s="197"/>
      <c r="E3" s="197"/>
      <c r="F3" s="197"/>
      <c r="G3" s="198"/>
      <c r="H3" s="199">
        <f>IF($A3=0,"",VLOOKUP($A3,'01_C&amp;P'!$A$9:$D$192,4,FALSE))</f>
        <v>270</v>
      </c>
      <c r="I3" s="200" t="str">
        <f>IF($A3=0,"",VLOOKUP($A3,'01_C&amp;P'!$A$9:$D$192,3,FALSE))</f>
        <v>m²</v>
      </c>
    </row>
    <row r="4" ht="14.25" customHeight="1">
      <c r="G4" s="3"/>
      <c r="K4" s="153" t="s">
        <v>1042</v>
      </c>
      <c r="M4" s="153" t="s">
        <v>1043</v>
      </c>
    </row>
    <row r="5" ht="14.25" customHeight="1">
      <c r="A5" s="201" t="s">
        <v>0</v>
      </c>
      <c r="B5" s="94"/>
      <c r="C5" s="94"/>
      <c r="D5" s="94"/>
      <c r="E5" s="94"/>
      <c r="F5" s="94"/>
      <c r="G5" s="2"/>
      <c r="H5" s="94"/>
      <c r="I5" s="94"/>
      <c r="K5" s="153">
        <v>0.03</v>
      </c>
      <c r="M5" s="153">
        <v>270.0</v>
      </c>
    </row>
    <row r="6" ht="14.25" customHeight="1">
      <c r="A6" s="202" t="s">
        <v>988</v>
      </c>
      <c r="B6" s="202" t="s">
        <v>989</v>
      </c>
      <c r="C6" s="202" t="s">
        <v>990</v>
      </c>
      <c r="D6" s="203" t="s">
        <v>991</v>
      </c>
      <c r="E6" s="197"/>
      <c r="F6" s="202" t="s">
        <v>992</v>
      </c>
      <c r="G6" s="4" t="s">
        <v>993</v>
      </c>
      <c r="H6" s="202" t="s">
        <v>994</v>
      </c>
      <c r="I6" s="202" t="s">
        <v>995</v>
      </c>
    </row>
    <row r="7" ht="14.25" customHeight="1">
      <c r="A7" s="254" t="s">
        <v>19</v>
      </c>
      <c r="B7" s="3" t="str">
        <f>IF($A7=0,"",VLOOKUP($A7,'00_Mat'!$A$4:$J$1134,2,FALSE))</f>
        <v>Bolsa Cemento "Loma Negra" 25 k (u)</v>
      </c>
      <c r="C7" s="3" t="str">
        <f>IF($A7=0,"",VLOOKUP($A7,'00_Mat'!$A$4:$J$1134,3,FALSE))</f>
        <v>u</v>
      </c>
      <c r="D7" s="256">
        <f>(M5*12)/25</f>
        <v>129.6</v>
      </c>
      <c r="E7" s="204"/>
      <c r="F7" s="236">
        <v>0.1</v>
      </c>
      <c r="G7" s="221">
        <f t="shared" ref="G7:G18" si="1">ROUNDUP((D7+(D7*F7)),0)</f>
        <v>143</v>
      </c>
      <c r="H7" s="143">
        <f>IF($A7=0,"",VLOOKUP($A7,'00_Mat'!$A$4:$J$1135,5,FALSE))</f>
        <v>7000</v>
      </c>
      <c r="I7" s="143">
        <f t="shared" ref="I7:I8" si="2">G7*H7</f>
        <v>1001000</v>
      </c>
      <c r="L7" s="153" t="s">
        <v>1057</v>
      </c>
    </row>
    <row r="8" ht="14.25" customHeight="1">
      <c r="A8" s="254" t="s">
        <v>11</v>
      </c>
      <c r="B8" s="3" t="str">
        <f>IF($A8=0,"",VLOOKUP($A8,'00_Mat'!$A$4:$J$1134,2,FALSE))</f>
        <v>Bolson de Arena (1m3) </v>
      </c>
      <c r="C8" s="3" t="str">
        <f>IF($A8=0,"",VLOOKUP($A8,'00_Mat'!$A$4:$J$1134,3,FALSE))</f>
        <v>m3</v>
      </c>
      <c r="D8" s="256">
        <f>L8*1</f>
        <v>8.1</v>
      </c>
      <c r="E8" s="204"/>
      <c r="F8" s="236">
        <v>0.1</v>
      </c>
      <c r="G8" s="221">
        <f t="shared" si="1"/>
        <v>9</v>
      </c>
      <c r="H8" s="143">
        <f>IF($A8=0,"",VLOOKUP($A8,'00_Mat'!$A$4:$J$1135,5,FALSE))</f>
        <v>33470</v>
      </c>
      <c r="I8" s="143">
        <f t="shared" si="2"/>
        <v>301230</v>
      </c>
      <c r="L8" s="194">
        <f>M5*K5</f>
        <v>8.1</v>
      </c>
    </row>
    <row r="9" ht="14.25" customHeight="1">
      <c r="A9" s="204"/>
      <c r="B9" s="92" t="str">
        <f>IF($A9=0,"",VLOOKUP($A9,'00_Mat'!$A$4:$J$1135,2,FALSE))</f>
        <v/>
      </c>
      <c r="C9" s="92" t="str">
        <f>IF($A9=0,"",VLOOKUP($A9,'00_Mat'!$A$4:$J$1135,3,FALSE))</f>
        <v/>
      </c>
      <c r="D9" s="204"/>
      <c r="E9" s="204"/>
      <c r="F9" s="206"/>
      <c r="G9" s="221">
        <f t="shared" si="1"/>
        <v>0</v>
      </c>
      <c r="H9" s="143" t="str">
        <f>IF($A9=0,"",VLOOKUP($A9,'00_Mat'!$A$4:$J$1135,5,FALSE))</f>
        <v/>
      </c>
      <c r="I9" s="143"/>
    </row>
    <row r="10" ht="14.25" customHeight="1">
      <c r="A10" s="204"/>
      <c r="B10" s="92" t="str">
        <f>IF($A10=0,"",VLOOKUP($A10,'00_Mat'!$A$4:$J$1135,2,FALSE))</f>
        <v/>
      </c>
      <c r="C10" s="92" t="str">
        <f>IF($A10=0,"",VLOOKUP($A10,'00_Mat'!$A$4:$J$1135,3,FALSE))</f>
        <v/>
      </c>
      <c r="D10" s="204"/>
      <c r="E10" s="204"/>
      <c r="F10" s="206"/>
      <c r="G10" s="221">
        <f t="shared" si="1"/>
        <v>0</v>
      </c>
      <c r="H10" s="143" t="str">
        <f>IF($A10=0,"",VLOOKUP($A10,'00_Mat'!$A$4:$J$1135,5,FALSE))</f>
        <v/>
      </c>
      <c r="I10" s="143"/>
      <c r="L10" s="86" t="s">
        <v>1058</v>
      </c>
    </row>
    <row r="11" ht="14.25" customHeight="1">
      <c r="A11" s="204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04"/>
      <c r="E11" s="204"/>
      <c r="F11" s="206"/>
      <c r="G11" s="221">
        <f t="shared" si="1"/>
        <v>0</v>
      </c>
      <c r="H11" s="143" t="str">
        <f>IF($A11=0,"",VLOOKUP($A11,'00_Mat'!$A$4:$J$1135,5,FALSE))</f>
        <v/>
      </c>
      <c r="I11" s="143"/>
    </row>
    <row r="12" ht="14.25" customHeight="1">
      <c r="A12" s="204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04"/>
      <c r="E12" s="204"/>
      <c r="F12" s="206"/>
      <c r="G12" s="221">
        <f t="shared" si="1"/>
        <v>0</v>
      </c>
      <c r="H12" s="143" t="str">
        <f>IF($A12=0,"",VLOOKUP($A12,'00_Mat'!$A$4:$J$1135,5,FALSE))</f>
        <v/>
      </c>
      <c r="I12" s="143"/>
    </row>
    <row r="13" ht="14.25" customHeight="1">
      <c r="A13" s="204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04"/>
      <c r="E13" s="204"/>
      <c r="F13" s="206"/>
      <c r="G13" s="221">
        <f t="shared" si="1"/>
        <v>0</v>
      </c>
      <c r="H13" s="143" t="str">
        <f>IF($A13=0,"",VLOOKUP($A13,'00_Mat'!$A$4:$J$1135,5,FALSE))</f>
        <v/>
      </c>
      <c r="I13" s="143"/>
    </row>
    <row r="14" ht="14.25" customHeight="1">
      <c r="A14" s="204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04"/>
      <c r="E14" s="204"/>
      <c r="F14" s="206"/>
      <c r="G14" s="221">
        <f t="shared" si="1"/>
        <v>0</v>
      </c>
      <c r="H14" s="143" t="str">
        <f>IF($A14=0,"",VLOOKUP($A14,'00_Mat'!$A$4:$J$1135,5,FALSE))</f>
        <v/>
      </c>
      <c r="I14" s="143"/>
    </row>
    <row r="15" ht="14.25" customHeight="1">
      <c r="A15" s="204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04"/>
      <c r="E15" s="204"/>
      <c r="F15" s="206"/>
      <c r="G15" s="221">
        <f t="shared" si="1"/>
        <v>0</v>
      </c>
      <c r="H15" s="143" t="str">
        <f>IF($A15=0,"",VLOOKUP($A15,'00_Mat'!$A$4:$J$1135,5,FALSE))</f>
        <v/>
      </c>
      <c r="I15" s="143"/>
    </row>
    <row r="16" ht="14.25" customHeight="1">
      <c r="A16" s="204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04"/>
      <c r="E16" s="204"/>
      <c r="F16" s="206"/>
      <c r="G16" s="221">
        <f t="shared" si="1"/>
        <v>0</v>
      </c>
      <c r="H16" s="143" t="str">
        <f>IF($A16=0,"",VLOOKUP($A16,'00_Mat'!$A$4:$J$1135,5,FALSE))</f>
        <v/>
      </c>
      <c r="I16" s="143"/>
    </row>
    <row r="17" ht="14.25" customHeight="1">
      <c r="A17" s="204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04"/>
      <c r="E17" s="204"/>
      <c r="F17" s="206"/>
      <c r="G17" s="221">
        <f t="shared" si="1"/>
        <v>0</v>
      </c>
      <c r="H17" s="143" t="str">
        <f>IF($A17=0,"",VLOOKUP($A17,'00_Mat'!$A$4:$J$1135,5,FALSE))</f>
        <v/>
      </c>
      <c r="I17" s="143"/>
    </row>
    <row r="18" ht="14.25" customHeight="1">
      <c r="A18" s="204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04"/>
      <c r="E18" s="204"/>
      <c r="F18" s="206"/>
      <c r="G18" s="221">
        <f t="shared" si="1"/>
        <v>0</v>
      </c>
      <c r="H18" s="143" t="str">
        <f>IF($A18=0,"",VLOOKUP($A18,'00_Mat'!$A$4:$J$1135,5,FALSE))</f>
        <v/>
      </c>
      <c r="I18" s="143"/>
    </row>
    <row r="19" ht="14.25" customHeight="1">
      <c r="F19" s="208"/>
      <c r="G19" s="3"/>
      <c r="H19" s="143"/>
      <c r="I19" s="143"/>
    </row>
    <row r="20" ht="14.25" customHeight="1">
      <c r="A20" s="222" t="s">
        <v>996</v>
      </c>
      <c r="B20" s="223"/>
      <c r="C20" s="223"/>
      <c r="D20" s="223"/>
      <c r="E20" s="223"/>
      <c r="F20" s="223"/>
      <c r="G20" s="211"/>
      <c r="H20" s="223"/>
      <c r="I20" s="224">
        <f>SUM(I7:I18)</f>
        <v>1302230</v>
      </c>
      <c r="J20" s="92"/>
      <c r="K20" s="92"/>
      <c r="L20" s="92"/>
    </row>
    <row r="21" ht="14.25" customHeight="1">
      <c r="A21" s="232" t="str">
        <f>$I$3</f>
        <v>m²</v>
      </c>
      <c r="B21" s="233"/>
      <c r="C21" s="233"/>
      <c r="D21" s="233"/>
      <c r="E21" s="233"/>
      <c r="F21" s="233"/>
      <c r="G21" s="21"/>
      <c r="H21" s="233"/>
      <c r="I21" s="205">
        <f>$H$3</f>
        <v>270</v>
      </c>
      <c r="J21" s="92"/>
      <c r="K21" s="92"/>
      <c r="L21" s="92"/>
    </row>
    <row r="22" ht="14.25" customHeight="1">
      <c r="A22" s="234" t="s">
        <v>997</v>
      </c>
      <c r="B22" s="232" t="str">
        <f>A21</f>
        <v>m²</v>
      </c>
      <c r="C22" s="233"/>
      <c r="D22" s="233"/>
      <c r="E22" s="233"/>
      <c r="F22" s="233"/>
      <c r="G22" s="21"/>
      <c r="H22" s="233"/>
      <c r="I22" s="235">
        <f>I20/I21</f>
        <v>4823.074074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01" t="s">
        <v>998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02" t="s">
        <v>988</v>
      </c>
      <c r="B26" s="202" t="s">
        <v>989</v>
      </c>
      <c r="C26" s="202" t="s">
        <v>990</v>
      </c>
      <c r="D26" s="202" t="s">
        <v>991</v>
      </c>
      <c r="E26" s="202" t="s">
        <v>999</v>
      </c>
      <c r="F26" s="202" t="s">
        <v>992</v>
      </c>
      <c r="G26" s="4" t="s">
        <v>993</v>
      </c>
      <c r="H26" s="202" t="s">
        <v>994</v>
      </c>
      <c r="I26" s="202" t="s">
        <v>995</v>
      </c>
    </row>
    <row r="27" ht="14.25" customHeight="1">
      <c r="A27" s="61" t="s">
        <v>621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29">
        <v>1.0</v>
      </c>
      <c r="E27" s="229">
        <f>H3/60</f>
        <v>4.5</v>
      </c>
      <c r="F27" s="236">
        <v>0.3</v>
      </c>
      <c r="G27" s="217">
        <f t="shared" ref="G27:G32" si="3">ROUNDUP(((D27*E27)*(1+F27)),0)</f>
        <v>6</v>
      </c>
      <c r="H27" s="143">
        <f>IF($A27=0,"",VLOOKUP($A27,'00_MO'!$A$4:$D$7,4,FALSE))</f>
        <v>120000</v>
      </c>
      <c r="I27" s="143">
        <f t="shared" ref="I27:I30" si="4">G27*H27</f>
        <v>720000</v>
      </c>
    </row>
    <row r="28" ht="14.25" customHeight="1">
      <c r="A28" s="61" t="s">
        <v>623</v>
      </c>
      <c r="B28" s="92" t="str">
        <f>IF($A28=0,"",VLOOKUP($A28,'00_MO'!$A$4:$D$7,2,FALSE))</f>
        <v>Puntero</v>
      </c>
      <c r="C28" s="92" t="str">
        <f>IF($A28=0,"",VLOOKUP($A28,'00_MO'!$A$4:$D$7,3,FALSE))</f>
        <v>u</v>
      </c>
      <c r="D28" s="229">
        <v>2.0</v>
      </c>
      <c r="E28" s="229">
        <f>E27</f>
        <v>4.5</v>
      </c>
      <c r="F28" s="236">
        <v>0.3</v>
      </c>
      <c r="G28" s="217">
        <f t="shared" si="3"/>
        <v>12</v>
      </c>
      <c r="H28" s="143">
        <f>IF($A28=0,"",VLOOKUP($A28,'00_MO'!$A$4:$D$7,4,FALSE))</f>
        <v>105000</v>
      </c>
      <c r="I28" s="143">
        <f t="shared" si="4"/>
        <v>1260000</v>
      </c>
    </row>
    <row r="29" ht="14.25" customHeight="1">
      <c r="A29" s="61" t="s">
        <v>625</v>
      </c>
      <c r="B29" s="92" t="str">
        <f>IF($A29=0,"",VLOOKUP($A29,'00_MO'!$A$4:$D$7,2,FALSE))</f>
        <v>Oficial</v>
      </c>
      <c r="C29" s="92" t="str">
        <f>IF($A29=0,"",VLOOKUP($A29,'00_MO'!$A$4:$D$7,3,FALSE))</f>
        <v>u</v>
      </c>
      <c r="D29" s="229">
        <v>3.0</v>
      </c>
      <c r="E29" s="229">
        <f>E27</f>
        <v>4.5</v>
      </c>
      <c r="F29" s="236">
        <v>0.3</v>
      </c>
      <c r="G29" s="217">
        <f t="shared" si="3"/>
        <v>18</v>
      </c>
      <c r="H29" s="143">
        <f>IF($A29=0,"",VLOOKUP($A29,'00_MO'!$A$4:$D$7,4,FALSE))</f>
        <v>90000</v>
      </c>
      <c r="I29" s="143">
        <f t="shared" si="4"/>
        <v>1620000</v>
      </c>
    </row>
    <row r="30" ht="14.25" customHeight="1">
      <c r="A30" s="61" t="s">
        <v>627</v>
      </c>
      <c r="B30" s="92" t="str">
        <f>IF($A30=0,"",VLOOKUP($A30,'00_MO'!$A$4:$D$7,2,FALSE))</f>
        <v>Ayudante</v>
      </c>
      <c r="C30" s="92" t="str">
        <f>IF($A30=0,"",VLOOKUP($A30,'00_MO'!$A$4:$D$7,3,FALSE))</f>
        <v>u</v>
      </c>
      <c r="D30" s="229">
        <v>3.0</v>
      </c>
      <c r="E30" s="229">
        <f>E27</f>
        <v>4.5</v>
      </c>
      <c r="F30" s="236">
        <v>0.3</v>
      </c>
      <c r="G30" s="217">
        <f t="shared" si="3"/>
        <v>18</v>
      </c>
      <c r="H30" s="143">
        <f>IF($A30=0,"",VLOOKUP($A30,'00_MO'!$A$4:$D$7,4,FALSE))</f>
        <v>60000</v>
      </c>
      <c r="I30" s="143">
        <f t="shared" si="4"/>
        <v>1080000</v>
      </c>
    </row>
    <row r="31" ht="14.25" customHeight="1">
      <c r="A31" s="204"/>
      <c r="B31" s="92" t="str">
        <f>IF($A31=0,"",VLOOKUP($A31,'00_MO'!$A$4:$D$7,2,FALSE))</f>
        <v/>
      </c>
      <c r="C31" s="92" t="str">
        <f>IF($A31=0,"",VLOOKUP($A31,'00_MO'!$A$4:$D$7,3,FALSE))</f>
        <v/>
      </c>
      <c r="D31" s="204"/>
      <c r="E31" s="204"/>
      <c r="F31" s="206"/>
      <c r="G31" s="217">
        <f t="shared" si="3"/>
        <v>0</v>
      </c>
      <c r="H31" s="143" t="str">
        <f>IF($A31=0,"",VLOOKUP($A31,'00_MO'!$A$4:$D$7,4,FALSE))</f>
        <v/>
      </c>
      <c r="I31" s="143"/>
    </row>
    <row r="32" ht="14.25" customHeight="1">
      <c r="A32" s="204"/>
      <c r="B32" s="92" t="str">
        <f>IF($A32=0,"",VLOOKUP($A32,'00_MO'!$A$4:$D$7,2,FALSE))</f>
        <v/>
      </c>
      <c r="C32" s="92" t="str">
        <f>IF($A32=0,"",VLOOKUP($A32,'00_MO'!$A$4:$D$7,3,FALSE))</f>
        <v/>
      </c>
      <c r="D32" s="204"/>
      <c r="E32" s="204"/>
      <c r="F32" s="206"/>
      <c r="G32" s="217">
        <f t="shared" si="3"/>
        <v>0</v>
      </c>
      <c r="H32" s="143" t="str">
        <f>IF($A32=0,"",VLOOKUP($A32,'00_MO'!$A$4:$D$7,4,FALSE))</f>
        <v/>
      </c>
      <c r="I32" s="143"/>
    </row>
    <row r="33" ht="14.25" customHeight="1">
      <c r="F33" s="208"/>
      <c r="G33" s="3"/>
      <c r="H33" s="143"/>
      <c r="I33" s="143"/>
    </row>
    <row r="34" ht="14.25" customHeight="1">
      <c r="A34" s="222" t="s">
        <v>987</v>
      </c>
      <c r="B34" s="223"/>
      <c r="C34" s="223"/>
      <c r="D34" s="223"/>
      <c r="E34" s="223"/>
      <c r="F34" s="223"/>
      <c r="G34" s="211"/>
      <c r="H34" s="223"/>
      <c r="I34" s="224">
        <f>SUM(I27:I32)</f>
        <v>4680000</v>
      </c>
    </row>
    <row r="35" ht="14.25" customHeight="1">
      <c r="A35" s="232" t="str">
        <f>$I$3</f>
        <v>m²</v>
      </c>
      <c r="B35" s="233"/>
      <c r="C35" s="233"/>
      <c r="D35" s="233"/>
      <c r="E35" s="233"/>
      <c r="F35" s="233"/>
      <c r="G35" s="21"/>
      <c r="H35" s="233"/>
      <c r="I35" s="205">
        <f>$H$3</f>
        <v>270</v>
      </c>
      <c r="J35" s="92"/>
      <c r="K35" s="92"/>
      <c r="L35" s="92"/>
    </row>
    <row r="36" ht="14.25" customHeight="1">
      <c r="A36" s="234" t="s">
        <v>997</v>
      </c>
      <c r="B36" s="232" t="str">
        <f>A35</f>
        <v>m²</v>
      </c>
      <c r="C36" s="233"/>
      <c r="D36" s="233"/>
      <c r="E36" s="233"/>
      <c r="F36" s="233"/>
      <c r="G36" s="21"/>
      <c r="H36" s="233"/>
      <c r="I36" s="235">
        <f>I34/I35</f>
        <v>17333.33333</v>
      </c>
      <c r="J36" s="92"/>
      <c r="K36" s="92"/>
      <c r="L36" s="92"/>
    </row>
    <row r="37" ht="14.25" customHeight="1">
      <c r="G37" s="3"/>
      <c r="I37" s="151"/>
    </row>
    <row r="38" ht="14.25" customHeight="1">
      <c r="G38" s="3"/>
    </row>
    <row r="39" ht="14.25" customHeight="1">
      <c r="A39" s="201" t="s">
        <v>1000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02" t="s">
        <v>988</v>
      </c>
      <c r="B40" s="202" t="s">
        <v>989</v>
      </c>
      <c r="C40" s="202" t="s">
        <v>990</v>
      </c>
      <c r="D40" s="202" t="s">
        <v>991</v>
      </c>
      <c r="E40" s="202" t="s">
        <v>999</v>
      </c>
      <c r="F40" s="202" t="s">
        <v>992</v>
      </c>
      <c r="G40" s="4" t="s">
        <v>993</v>
      </c>
      <c r="H40" s="202" t="s">
        <v>994</v>
      </c>
      <c r="I40" s="202" t="s">
        <v>995</v>
      </c>
    </row>
    <row r="41" ht="14.25" customHeight="1">
      <c r="A41" s="204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04"/>
      <c r="E41" s="204"/>
      <c r="F41" s="206"/>
      <c r="G41" s="217">
        <f t="shared" ref="G41:G46" si="5">ROUNDUP(((D41*E41)*(1+F41)),0)</f>
        <v>0</v>
      </c>
      <c r="H41" s="143" t="str">
        <f>IF($A41=0,"",VLOOKUP($A41,'00_Eq'!$A$4:$D$100,4,FALSE))</f>
        <v/>
      </c>
      <c r="I41" s="143">
        <f>G41*H41</f>
        <v>0</v>
      </c>
    </row>
    <row r="42" ht="14.25" customHeight="1">
      <c r="A42" s="204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04"/>
      <c r="E42" s="204"/>
      <c r="F42" s="206"/>
      <c r="G42" s="217">
        <f t="shared" si="5"/>
        <v>0</v>
      </c>
      <c r="H42" s="143" t="str">
        <f>IF($A42=0,"",VLOOKUP($A42,'00_Eq'!$A$4:$D$100,4,FALSE))</f>
        <v/>
      </c>
      <c r="I42" s="143"/>
    </row>
    <row r="43" ht="14.25" customHeight="1">
      <c r="A43" s="204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04"/>
      <c r="E43" s="204"/>
      <c r="F43" s="206"/>
      <c r="G43" s="217">
        <f t="shared" si="5"/>
        <v>0</v>
      </c>
      <c r="H43" s="143" t="str">
        <f>IF($A43=0,"",VLOOKUP($A43,'00_Eq'!$A$4:$D$100,4,FALSE))</f>
        <v/>
      </c>
      <c r="I43" s="143"/>
    </row>
    <row r="44" ht="14.25" customHeight="1">
      <c r="A44" s="204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04"/>
      <c r="E44" s="204"/>
      <c r="F44" s="206"/>
      <c r="G44" s="217">
        <f t="shared" si="5"/>
        <v>0</v>
      </c>
      <c r="H44" s="143" t="str">
        <f>IF($A44=0,"",VLOOKUP($A44,'00_Eq'!$A$4:$D$100,4,FALSE))</f>
        <v/>
      </c>
      <c r="I44" s="143"/>
    </row>
    <row r="45" ht="14.25" customHeight="1">
      <c r="A45" s="204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04"/>
      <c r="E45" s="204"/>
      <c r="F45" s="206"/>
      <c r="G45" s="217">
        <f t="shared" si="5"/>
        <v>0</v>
      </c>
      <c r="H45" s="143" t="str">
        <f>IF($A45=0,"",VLOOKUP($A45,'00_Eq'!$A$4:$D$100,4,FALSE))</f>
        <v/>
      </c>
      <c r="I45" s="143"/>
    </row>
    <row r="46" ht="14.25" customHeight="1">
      <c r="A46" s="204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04"/>
      <c r="E46" s="204"/>
      <c r="F46" s="206"/>
      <c r="G46" s="217">
        <f t="shared" si="5"/>
        <v>0</v>
      </c>
      <c r="H46" s="143" t="str">
        <f>IF($A46=0,"",VLOOKUP($A46,'00_Eq'!$A$4:$D$100,4,FALSE))</f>
        <v/>
      </c>
      <c r="I46" s="143"/>
    </row>
    <row r="47" ht="14.25" customHeight="1">
      <c r="F47" s="208"/>
      <c r="G47" s="3"/>
      <c r="H47" s="143"/>
      <c r="I47" s="143"/>
    </row>
    <row r="48" ht="14.25" customHeight="1">
      <c r="A48" s="222" t="s">
        <v>987</v>
      </c>
      <c r="B48" s="223"/>
      <c r="C48" s="223"/>
      <c r="D48" s="223"/>
      <c r="E48" s="223"/>
      <c r="F48" s="223"/>
      <c r="G48" s="211"/>
      <c r="H48" s="223"/>
      <c r="I48" s="224">
        <f>SUM(I41:I46)</f>
        <v>0</v>
      </c>
    </row>
    <row r="49" ht="14.25" customHeight="1">
      <c r="A49" s="232" t="str">
        <f>$I$3</f>
        <v>m²</v>
      </c>
      <c r="B49" s="233"/>
      <c r="C49" s="233"/>
      <c r="D49" s="233"/>
      <c r="E49" s="233"/>
      <c r="F49" s="233"/>
      <c r="G49" s="21"/>
      <c r="H49" s="233"/>
      <c r="I49" s="205">
        <f>$H$3</f>
        <v>270</v>
      </c>
      <c r="J49" s="92"/>
      <c r="K49" s="92"/>
      <c r="L49" s="92"/>
    </row>
    <row r="50" ht="14.25" customHeight="1">
      <c r="A50" s="234" t="s">
        <v>997</v>
      </c>
      <c r="B50" s="232" t="str">
        <f>A49</f>
        <v>m²</v>
      </c>
      <c r="C50" s="233"/>
      <c r="D50" s="233"/>
      <c r="E50" s="233"/>
      <c r="F50" s="233"/>
      <c r="G50" s="21"/>
      <c r="H50" s="233"/>
      <c r="I50" s="235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01" t="s">
        <v>1010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02" t="s">
        <v>988</v>
      </c>
      <c r="B54" s="202" t="s">
        <v>989</v>
      </c>
      <c r="C54" s="202" t="s">
        <v>990</v>
      </c>
      <c r="D54" s="202" t="s">
        <v>991</v>
      </c>
      <c r="E54" s="202"/>
      <c r="F54" s="202" t="s">
        <v>992</v>
      </c>
      <c r="G54" s="4" t="s">
        <v>993</v>
      </c>
      <c r="H54" s="202" t="s">
        <v>994</v>
      </c>
      <c r="I54" s="202" t="s">
        <v>995</v>
      </c>
    </row>
    <row r="55" ht="14.25" customHeight="1">
      <c r="A55" s="204"/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05"/>
      <c r="E55" s="204"/>
      <c r="F55" s="206"/>
      <c r="G55" s="221">
        <f t="shared" ref="G55:G60" si="6">ROUNDUP((D55+(D55*F55)),0)</f>
        <v>0</v>
      </c>
      <c r="H55" s="143" t="str">
        <f>IF($A55=0,"",VLOOKUP($A55,'00_Mat'!$A$4:$J$1135,5,FALSE))</f>
        <v/>
      </c>
      <c r="I55" s="143">
        <f t="shared" ref="I55:I56" si="7">G55*H55</f>
        <v>0</v>
      </c>
    </row>
    <row r="56" ht="14.25" customHeight="1">
      <c r="A56" s="204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05"/>
      <c r="E56" s="204"/>
      <c r="F56" s="206"/>
      <c r="G56" s="221">
        <f t="shared" si="6"/>
        <v>0</v>
      </c>
      <c r="H56" s="143" t="str">
        <f>IF($A56=0,"",VLOOKUP($A56,'00_Mat'!$A$4:$J$1135,5,FALSE))</f>
        <v/>
      </c>
      <c r="I56" s="143">
        <f t="shared" si="7"/>
        <v>0</v>
      </c>
    </row>
    <row r="57" ht="14.25" customHeight="1">
      <c r="A57" s="204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05"/>
      <c r="E57" s="204"/>
      <c r="F57" s="206"/>
      <c r="G57" s="221">
        <f t="shared" si="6"/>
        <v>0</v>
      </c>
      <c r="H57" s="143" t="str">
        <f>IF($A57=0,"",VLOOKUP($A57,'00_Mat'!$A$4:$J$1135,5,FALSE))</f>
        <v/>
      </c>
      <c r="I57" s="143"/>
    </row>
    <row r="58" ht="14.25" customHeight="1">
      <c r="A58" s="204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05"/>
      <c r="E58" s="204"/>
      <c r="F58" s="206"/>
      <c r="G58" s="221">
        <f t="shared" si="6"/>
        <v>0</v>
      </c>
      <c r="H58" s="143" t="str">
        <f>IF($A58=0,"",VLOOKUP($A58,'00_Mat'!$A$4:$J$1135,5,FALSE))</f>
        <v/>
      </c>
      <c r="I58" s="143"/>
    </row>
    <row r="59" ht="14.25" customHeight="1">
      <c r="A59" s="204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05"/>
      <c r="E59" s="204"/>
      <c r="F59" s="206"/>
      <c r="G59" s="221">
        <f t="shared" si="6"/>
        <v>0</v>
      </c>
      <c r="H59" s="143" t="str">
        <f>IF($A59=0,"",VLOOKUP($A59,'00_Mat'!$A$4:$J$1135,5,FALSE))</f>
        <v/>
      </c>
      <c r="I59" s="143"/>
    </row>
    <row r="60" ht="14.25" customHeight="1">
      <c r="A60" s="204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05"/>
      <c r="E60" s="204"/>
      <c r="F60" s="206"/>
      <c r="G60" s="221">
        <f t="shared" si="6"/>
        <v>0</v>
      </c>
      <c r="H60" s="143" t="str">
        <f>IF($A60=0,"",VLOOKUP($A60,'00_Mat'!$A$4:$J$1135,5,FALSE))</f>
        <v/>
      </c>
      <c r="I60" s="143"/>
    </row>
    <row r="61" ht="14.25" customHeight="1">
      <c r="F61" s="208"/>
      <c r="G61" s="3"/>
      <c r="H61" s="143"/>
      <c r="I61" s="143"/>
    </row>
    <row r="62" ht="14.25" customHeight="1">
      <c r="A62" s="222" t="s">
        <v>987</v>
      </c>
      <c r="B62" s="223"/>
      <c r="C62" s="223"/>
      <c r="D62" s="223"/>
      <c r="E62" s="223"/>
      <c r="F62" s="223"/>
      <c r="G62" s="211"/>
      <c r="H62" s="223"/>
      <c r="I62" s="224">
        <f>SUM(I55:I60)</f>
        <v>0</v>
      </c>
    </row>
    <row r="63" ht="14.25" customHeight="1">
      <c r="A63" s="232" t="str">
        <f>$I$3</f>
        <v>m²</v>
      </c>
      <c r="B63" s="233"/>
      <c r="C63" s="233"/>
      <c r="D63" s="233"/>
      <c r="E63" s="233"/>
      <c r="F63" s="233"/>
      <c r="G63" s="21"/>
      <c r="H63" s="233"/>
      <c r="I63" s="205">
        <f>$H$3</f>
        <v>270</v>
      </c>
      <c r="J63" s="92"/>
      <c r="K63" s="92"/>
      <c r="L63" s="92"/>
    </row>
    <row r="64" ht="14.25" customHeight="1">
      <c r="A64" s="234" t="s">
        <v>997</v>
      </c>
      <c r="B64" s="232" t="str">
        <f>A63</f>
        <v>m²</v>
      </c>
      <c r="C64" s="233"/>
      <c r="D64" s="233"/>
      <c r="E64" s="233"/>
      <c r="F64" s="233"/>
      <c r="G64" s="21"/>
      <c r="H64" s="233"/>
      <c r="I64" s="235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01" t="s">
        <v>1025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02" t="s">
        <v>988</v>
      </c>
      <c r="B68" s="202" t="s">
        <v>989</v>
      </c>
      <c r="C68" s="202" t="s">
        <v>990</v>
      </c>
      <c r="D68" s="202" t="s">
        <v>991</v>
      </c>
      <c r="E68" s="202" t="s">
        <v>999</v>
      </c>
      <c r="F68" s="202" t="s">
        <v>992</v>
      </c>
      <c r="G68" s="4" t="s">
        <v>993</v>
      </c>
      <c r="H68" s="202" t="s">
        <v>994</v>
      </c>
      <c r="I68" s="202" t="s">
        <v>995</v>
      </c>
    </row>
    <row r="69" ht="14.25" customHeight="1">
      <c r="A69" s="204"/>
      <c r="B69" s="92" t="str">
        <f>IF($A69=0,"",VLOOKUP($A69,'00_Sub'!$A$4:$D$1007,2,FALSE))</f>
        <v/>
      </c>
      <c r="C69" s="92" t="str">
        <f>IF($A69=0,"",VLOOKUP($A69,'00_Sub'!$A$4:$D$1007,3,FALSE))</f>
        <v/>
      </c>
      <c r="D69" s="204"/>
      <c r="E69" s="204"/>
      <c r="F69" s="206"/>
      <c r="G69" s="221">
        <f t="shared" ref="G69:G74" si="8">ROUNDUP((D69+(D69*F69)),0)</f>
        <v>0</v>
      </c>
      <c r="H69" s="143" t="str">
        <f>IF($A69=0,"",VLOOKUP($A69,'00_Sub'!$A$4:$D$1007,4,FALSE))</f>
        <v/>
      </c>
      <c r="I69" s="143"/>
    </row>
    <row r="70" ht="14.25" customHeight="1">
      <c r="A70" s="204"/>
      <c r="B70" s="92" t="str">
        <f>IF($A70=0,"",VLOOKUP($A70,'00_Sub'!$A$4:$D$1007,2,FALSE))</f>
        <v/>
      </c>
      <c r="C70" s="92" t="str">
        <f>IF($A70=0,"",VLOOKUP($A70,'00_Sub'!$A$4:$D$1007,3,FALSE))</f>
        <v/>
      </c>
      <c r="D70" s="204"/>
      <c r="E70" s="204"/>
      <c r="F70" s="206"/>
      <c r="G70" s="221">
        <f t="shared" si="8"/>
        <v>0</v>
      </c>
      <c r="H70" s="143" t="str">
        <f>IF($A70=0,"",VLOOKUP($A70,'00_Sub'!$A$4:$D$1007,4,FALSE))</f>
        <v/>
      </c>
      <c r="I70" s="143"/>
    </row>
    <row r="71" ht="14.25" customHeight="1">
      <c r="A71" s="204"/>
      <c r="B71" s="92" t="str">
        <f>IF($A71=0,"",VLOOKUP($A71,'00_Sub'!$A$4:$D$1007,2,FALSE))</f>
        <v/>
      </c>
      <c r="C71" s="92" t="str">
        <f>IF($A71=0,"",VLOOKUP($A71,'00_Sub'!$A$4:$D$1007,3,FALSE))</f>
        <v/>
      </c>
      <c r="D71" s="204"/>
      <c r="E71" s="204"/>
      <c r="F71" s="206"/>
      <c r="G71" s="221">
        <f t="shared" si="8"/>
        <v>0</v>
      </c>
      <c r="H71" s="143" t="str">
        <f>IF($A71=0,"",VLOOKUP($A71,'00_Sub'!$A$4:$D$1007,4,FALSE))</f>
        <v/>
      </c>
      <c r="I71" s="143"/>
    </row>
    <row r="72" ht="14.25" customHeight="1">
      <c r="A72" s="204"/>
      <c r="B72" s="92" t="str">
        <f>IF($A72=0,"",VLOOKUP($A72,'00_Sub'!$A$4:$D$1007,2,FALSE))</f>
        <v/>
      </c>
      <c r="C72" s="92" t="str">
        <f>IF($A72=0,"",VLOOKUP($A72,'00_Sub'!$A$4:$D$1007,3,FALSE))</f>
        <v/>
      </c>
      <c r="D72" s="204"/>
      <c r="E72" s="204"/>
      <c r="F72" s="206"/>
      <c r="G72" s="221">
        <f t="shared" si="8"/>
        <v>0</v>
      </c>
      <c r="H72" s="143" t="str">
        <f>IF($A72=0,"",VLOOKUP($A72,'00_Sub'!$A$4:$D$1007,4,FALSE))</f>
        <v/>
      </c>
      <c r="I72" s="143"/>
    </row>
    <row r="73" ht="14.25" customHeight="1">
      <c r="A73" s="204"/>
      <c r="B73" s="92" t="str">
        <f>IF($A73=0,"",VLOOKUP($A73,'00_Sub'!$A$4:$D$1007,2,FALSE))</f>
        <v/>
      </c>
      <c r="C73" s="92" t="str">
        <f>IF($A73=0,"",VLOOKUP($A73,'00_Sub'!$A$4:$D$1007,3,FALSE))</f>
        <v/>
      </c>
      <c r="D73" s="204"/>
      <c r="E73" s="204"/>
      <c r="F73" s="206"/>
      <c r="G73" s="221">
        <f t="shared" si="8"/>
        <v>0</v>
      </c>
      <c r="H73" s="143" t="str">
        <f>IF($A73=0,"",VLOOKUP($A73,'00_Sub'!$A$4:$D$1007,4,FALSE))</f>
        <v/>
      </c>
      <c r="I73" s="143"/>
    </row>
    <row r="74" ht="14.25" customHeight="1">
      <c r="A74" s="204"/>
      <c r="B74" s="92" t="str">
        <f>IF($A74=0,"",VLOOKUP($A74,'00_Sub'!$A$4:$D$1007,2,FALSE))</f>
        <v/>
      </c>
      <c r="C74" s="92" t="str">
        <f>IF($A74=0,"",VLOOKUP($A74,'00_Sub'!$A$4:$D$1007,3,FALSE))</f>
        <v/>
      </c>
      <c r="D74" s="204"/>
      <c r="E74" s="204"/>
      <c r="F74" s="206"/>
      <c r="G74" s="221">
        <f t="shared" si="8"/>
        <v>0</v>
      </c>
      <c r="H74" s="143" t="str">
        <f>IF($A74=0,"",VLOOKUP($A74,'00_Sub'!$A$4:$D$1007,4,FALSE))</f>
        <v/>
      </c>
      <c r="I74" s="143"/>
    </row>
    <row r="75" ht="14.25" customHeight="1">
      <c r="F75" s="208"/>
      <c r="G75" s="3"/>
      <c r="H75" s="143"/>
      <c r="I75" s="143"/>
    </row>
    <row r="76" ht="14.25" customHeight="1">
      <c r="A76" s="222" t="s">
        <v>987</v>
      </c>
      <c r="B76" s="223"/>
      <c r="C76" s="223"/>
      <c r="D76" s="223"/>
      <c r="E76" s="223"/>
      <c r="F76" s="223"/>
      <c r="G76" s="211"/>
      <c r="H76" s="223"/>
      <c r="I76" s="224">
        <f>SUM(I69:I74)</f>
        <v>0</v>
      </c>
    </row>
    <row r="77" ht="14.25" customHeight="1">
      <c r="A77" s="232" t="str">
        <f>$I$3</f>
        <v>m²</v>
      </c>
      <c r="B77" s="233"/>
      <c r="C77" s="233"/>
      <c r="D77" s="233"/>
      <c r="E77" s="233"/>
      <c r="F77" s="233"/>
      <c r="G77" s="21"/>
      <c r="H77" s="233"/>
      <c r="I77" s="205">
        <f>$H$3</f>
        <v>270</v>
      </c>
      <c r="J77" s="92"/>
      <c r="K77" s="92"/>
      <c r="L77" s="92"/>
    </row>
    <row r="78" ht="14.25" customHeight="1">
      <c r="A78" s="234" t="s">
        <v>997</v>
      </c>
      <c r="B78" s="232" t="str">
        <f>A77</f>
        <v>m²</v>
      </c>
      <c r="C78" s="233"/>
      <c r="D78" s="233"/>
      <c r="E78" s="233"/>
      <c r="F78" s="233"/>
      <c r="G78" s="21"/>
      <c r="H78" s="233"/>
      <c r="I78" s="235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2"/>
  <legacyDrawing r:id="rId3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58.43"/>
    <col customWidth="1" min="3" max="3" width="8.14"/>
    <col customWidth="1" min="4" max="4" width="8.71"/>
    <col customWidth="1" min="5" max="5" width="6.57"/>
    <col customWidth="1" min="6" max="6" width="10.57"/>
    <col customWidth="1" min="7" max="7" width="12.71"/>
    <col customWidth="1" min="8" max="8" width="16.0"/>
    <col customWidth="1" min="9" max="9" width="15.86"/>
    <col customWidth="1" min="10" max="12" width="8.71"/>
  </cols>
  <sheetData>
    <row r="1" ht="33.75" customHeight="1">
      <c r="A1" s="91" t="str">
        <f>'01_C&amp;P'!A1</f>
        <v>EDIFICIO LAS HERAS</v>
      </c>
      <c r="B1" s="91"/>
      <c r="C1" s="91"/>
      <c r="G1" s="3"/>
    </row>
    <row r="2" ht="14.25" customHeight="1">
      <c r="G2" s="3"/>
    </row>
    <row r="3" ht="23.25" customHeight="1">
      <c r="A3" s="195">
        <f>'01_C&amp;P'!A126</f>
        <v>46207</v>
      </c>
      <c r="B3" s="196" t="str">
        <f>IF($A3=0,"",VLOOKUP($A3,'01_C&amp;P'!$A$9:$D$192,2,FALSE))</f>
        <v>REVOQUE INTERIOR. (GRUESO FRATAZADO)</v>
      </c>
      <c r="C3" s="197"/>
      <c r="D3" s="197"/>
      <c r="E3" s="197"/>
      <c r="F3" s="197"/>
      <c r="G3" s="198"/>
      <c r="H3" s="199">
        <f>IF($A3=0,"",VLOOKUP($A3,'01_C&amp;P'!$A$9:$D$192,4,FALSE))</f>
        <v>120</v>
      </c>
      <c r="I3" s="200" t="str">
        <f>IF($A3=0,"",VLOOKUP($A3,'01_C&amp;P'!$A$9:$D$192,3,FALSE))</f>
        <v>m²</v>
      </c>
    </row>
    <row r="4" ht="14.25" customHeight="1">
      <c r="G4" s="3"/>
    </row>
    <row r="5" ht="14.25" customHeight="1">
      <c r="A5" s="201" t="s">
        <v>0</v>
      </c>
      <c r="B5" s="94"/>
      <c r="C5" s="94"/>
      <c r="D5" s="94"/>
      <c r="E5" s="94"/>
      <c r="F5" s="94"/>
      <c r="G5" s="2"/>
      <c r="H5" s="94"/>
      <c r="I5" s="94"/>
    </row>
    <row r="6" ht="14.25" customHeight="1">
      <c r="A6" s="202" t="s">
        <v>988</v>
      </c>
      <c r="B6" s="202" t="s">
        <v>989</v>
      </c>
      <c r="C6" s="202" t="s">
        <v>990</v>
      </c>
      <c r="D6" s="203" t="s">
        <v>991</v>
      </c>
      <c r="E6" s="197"/>
      <c r="F6" s="202" t="s">
        <v>992</v>
      </c>
      <c r="G6" s="4" t="s">
        <v>993</v>
      </c>
      <c r="H6" s="202" t="s">
        <v>994</v>
      </c>
      <c r="I6" s="202" t="s">
        <v>995</v>
      </c>
    </row>
    <row r="7" ht="14.25" customHeight="1">
      <c r="A7" s="254" t="s">
        <v>11</v>
      </c>
      <c r="B7" s="3" t="str">
        <f>IF($A7=0,"",VLOOKUP($A7,'00_Mat'!$A$4:$J$1134,2,FALSE))</f>
        <v>Bolson de Arena (1m3) </v>
      </c>
      <c r="C7" s="3" t="str">
        <f>IF($A7=0,"",VLOOKUP($A7,'00_Mat'!$A$4:$J$1134,3,FALSE))</f>
        <v>m3</v>
      </c>
      <c r="D7" s="250">
        <f>H3*(0.017)</f>
        <v>2.04</v>
      </c>
      <c r="E7" s="254"/>
      <c r="F7" s="257">
        <v>0.5</v>
      </c>
      <c r="G7" s="221">
        <f t="shared" ref="G7:G18" si="1">ROUNDUP((D7+(D7*F7)),0)</f>
        <v>4</v>
      </c>
      <c r="H7" s="143">
        <f>IF($A7=0,"",VLOOKUP($A7,'00_Mat'!$A$4:$J$1135,5,FALSE))</f>
        <v>33470</v>
      </c>
      <c r="I7" s="143">
        <f t="shared" ref="I7:I11" si="2">G7*H7</f>
        <v>133880</v>
      </c>
    </row>
    <row r="8" ht="14.25" customHeight="1">
      <c r="A8" s="254" t="s">
        <v>19</v>
      </c>
      <c r="B8" s="3" t="str">
        <f>IF($A8=0,"",VLOOKUP($A8,'00_Mat'!$A$4:$J$1134,2,FALSE))</f>
        <v>Bolsa Cemento "Loma Negra" 25 k (u)</v>
      </c>
      <c r="C8" s="3" t="str">
        <f>IF($A8=0,"",VLOOKUP($A8,'00_Mat'!$A$4:$J$1134,3,FALSE))</f>
        <v>u</v>
      </c>
      <c r="D8" s="250">
        <f>(H3*(1.85)/25)</f>
        <v>8.88</v>
      </c>
      <c r="E8" s="254"/>
      <c r="F8" s="257">
        <v>0.5</v>
      </c>
      <c r="G8" s="221">
        <f t="shared" si="1"/>
        <v>14</v>
      </c>
      <c r="H8" s="143">
        <f>IF($A8=0,"",VLOOKUP($A8,'00_Mat'!$A$4:$J$1135,5,FALSE))</f>
        <v>7000</v>
      </c>
      <c r="I8" s="143">
        <f t="shared" si="2"/>
        <v>98000</v>
      </c>
    </row>
    <row r="9" ht="14.25" customHeight="1">
      <c r="A9" s="254" t="s">
        <v>25</v>
      </c>
      <c r="B9" s="3" t="str">
        <f>IF($A9=0,"",VLOOKUP($A9,'00_Mat'!$A$4:$J$1134,2,FALSE))</f>
        <v>Bolsa Cal "Cacique" 25 k (u)</v>
      </c>
      <c r="C9" s="3" t="str">
        <f>IF($A9=0,"",VLOOKUP($A9,'00_Mat'!$A$4:$J$1134,3,FALSE))</f>
        <v>u</v>
      </c>
      <c r="D9" s="250">
        <f>(H3*(3.53)/25)</f>
        <v>16.944</v>
      </c>
      <c r="E9" s="254"/>
      <c r="F9" s="257">
        <v>0.5</v>
      </c>
      <c r="G9" s="221">
        <f t="shared" si="1"/>
        <v>26</v>
      </c>
      <c r="H9" s="143">
        <f>IF($A9=0,"",VLOOKUP($A9,'00_Mat'!$A$4:$J$1135,5,FALSE))</f>
        <v>5371.900826</v>
      </c>
      <c r="I9" s="143">
        <f t="shared" si="2"/>
        <v>139669.4215</v>
      </c>
      <c r="K9" s="85" t="s">
        <v>1059</v>
      </c>
      <c r="L9" s="258"/>
      <c r="M9" s="258"/>
    </row>
    <row r="10" ht="14.25" customHeight="1">
      <c r="A10" s="204"/>
      <c r="B10" s="92" t="str">
        <f>IF($A10=0,"",VLOOKUP($A10,'00_Mat'!$A$4:$J$1135,2,FALSE))</f>
        <v/>
      </c>
      <c r="C10" s="92" t="str">
        <f>IF($A10=0,"",VLOOKUP($A10,'00_Mat'!$A$4:$J$1135,3,FALSE))</f>
        <v/>
      </c>
      <c r="D10" s="205"/>
      <c r="E10" s="204"/>
      <c r="F10" s="206"/>
      <c r="G10" s="221">
        <f t="shared" si="1"/>
        <v>0</v>
      </c>
      <c r="H10" s="143" t="str">
        <f>IF($A10=0,"",VLOOKUP($A10,'00_Mat'!$A$4:$J$1135,5,FALSE))</f>
        <v/>
      </c>
      <c r="I10" s="143">
        <f t="shared" si="2"/>
        <v>0</v>
      </c>
    </row>
    <row r="11" ht="14.25" customHeight="1">
      <c r="A11" s="204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05"/>
      <c r="E11" s="204"/>
      <c r="F11" s="206"/>
      <c r="G11" s="221">
        <f t="shared" si="1"/>
        <v>0</v>
      </c>
      <c r="H11" s="143" t="str">
        <f>IF($A11=0,"",VLOOKUP($A11,'00_Mat'!$A$4:$J$1135,5,FALSE))</f>
        <v/>
      </c>
      <c r="I11" s="143">
        <f t="shared" si="2"/>
        <v>0</v>
      </c>
    </row>
    <row r="12" ht="14.25" customHeight="1">
      <c r="A12" s="204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04"/>
      <c r="E12" s="204"/>
      <c r="F12" s="206"/>
      <c r="G12" s="221">
        <f t="shared" si="1"/>
        <v>0</v>
      </c>
      <c r="H12" s="143" t="str">
        <f>IF($A12=0,"",VLOOKUP($A12,'00_Mat'!$A$4:$J$1135,5,FALSE))</f>
        <v/>
      </c>
      <c r="I12" s="143"/>
    </row>
    <row r="13" ht="14.25" customHeight="1">
      <c r="A13" s="204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04"/>
      <c r="E13" s="204"/>
      <c r="F13" s="206"/>
      <c r="G13" s="221">
        <f t="shared" si="1"/>
        <v>0</v>
      </c>
      <c r="H13" s="143" t="str">
        <f>IF($A13=0,"",VLOOKUP($A13,'00_Mat'!$A$4:$J$1135,5,FALSE))</f>
        <v/>
      </c>
      <c r="I13" s="143"/>
    </row>
    <row r="14" ht="14.25" customHeight="1">
      <c r="A14" s="204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04"/>
      <c r="E14" s="204"/>
      <c r="F14" s="206"/>
      <c r="G14" s="221">
        <f t="shared" si="1"/>
        <v>0</v>
      </c>
      <c r="H14" s="143" t="str">
        <f>IF($A14=0,"",VLOOKUP($A14,'00_Mat'!$A$4:$J$1135,5,FALSE))</f>
        <v/>
      </c>
      <c r="I14" s="143"/>
    </row>
    <row r="15" ht="14.25" customHeight="1">
      <c r="A15" s="204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04"/>
      <c r="E15" s="204"/>
      <c r="F15" s="206"/>
      <c r="G15" s="221">
        <f t="shared" si="1"/>
        <v>0</v>
      </c>
      <c r="H15" s="143" t="str">
        <f>IF($A15=0,"",VLOOKUP($A15,'00_Mat'!$A$4:$J$1135,5,FALSE))</f>
        <v/>
      </c>
      <c r="I15" s="143"/>
    </row>
    <row r="16" ht="14.25" customHeight="1">
      <c r="A16" s="204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04"/>
      <c r="E16" s="204"/>
      <c r="F16" s="206"/>
      <c r="G16" s="221">
        <f t="shared" si="1"/>
        <v>0</v>
      </c>
      <c r="H16" s="143" t="str">
        <f>IF($A16=0,"",VLOOKUP($A16,'00_Mat'!$A$4:$J$1135,5,FALSE))</f>
        <v/>
      </c>
      <c r="I16" s="143"/>
    </row>
    <row r="17" ht="14.25" customHeight="1">
      <c r="A17" s="204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04"/>
      <c r="E17" s="204"/>
      <c r="F17" s="206"/>
      <c r="G17" s="221">
        <f t="shared" si="1"/>
        <v>0</v>
      </c>
      <c r="H17" s="143" t="str">
        <f>IF($A17=0,"",VLOOKUP($A17,'00_Mat'!$A$4:$J$1135,5,FALSE))</f>
        <v/>
      </c>
      <c r="I17" s="143"/>
    </row>
    <row r="18" ht="14.25" customHeight="1">
      <c r="A18" s="204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04"/>
      <c r="E18" s="204"/>
      <c r="F18" s="206"/>
      <c r="G18" s="221">
        <f t="shared" si="1"/>
        <v>0</v>
      </c>
      <c r="H18" s="143" t="str">
        <f>IF($A18=0,"",VLOOKUP($A18,'00_Mat'!$A$4:$J$1135,5,FALSE))</f>
        <v/>
      </c>
      <c r="I18" s="143"/>
    </row>
    <row r="19" ht="14.25" customHeight="1">
      <c r="F19" s="208"/>
      <c r="G19" s="3"/>
      <c r="H19" s="143"/>
      <c r="I19" s="143"/>
    </row>
    <row r="20" ht="14.25" customHeight="1">
      <c r="A20" s="222" t="s">
        <v>996</v>
      </c>
      <c r="B20" s="223"/>
      <c r="C20" s="223"/>
      <c r="D20" s="223"/>
      <c r="E20" s="223"/>
      <c r="F20" s="223"/>
      <c r="G20" s="211"/>
      <c r="H20" s="223"/>
      <c r="I20" s="224">
        <f>SUM(I7:I18)</f>
        <v>371549.4215</v>
      </c>
      <c r="J20" s="92"/>
      <c r="K20" s="92"/>
      <c r="L20" s="92"/>
    </row>
    <row r="21" ht="14.25" customHeight="1">
      <c r="A21" s="232" t="str">
        <f>$I$3</f>
        <v>m²</v>
      </c>
      <c r="B21" s="233"/>
      <c r="C21" s="233"/>
      <c r="D21" s="233"/>
      <c r="E21" s="233"/>
      <c r="F21" s="233"/>
      <c r="G21" s="21"/>
      <c r="H21" s="233"/>
      <c r="I21" s="205">
        <f>$H$3</f>
        <v>120</v>
      </c>
      <c r="J21" s="92"/>
      <c r="K21" s="92"/>
      <c r="L21" s="92"/>
    </row>
    <row r="22" ht="14.25" customHeight="1">
      <c r="A22" s="234" t="s">
        <v>997</v>
      </c>
      <c r="B22" s="232" t="str">
        <f>A21</f>
        <v>m²</v>
      </c>
      <c r="C22" s="233"/>
      <c r="D22" s="233"/>
      <c r="E22" s="233"/>
      <c r="F22" s="233"/>
      <c r="G22" s="21"/>
      <c r="H22" s="233"/>
      <c r="I22" s="235">
        <f>I20/I21</f>
        <v>3096.245179</v>
      </c>
      <c r="J22" s="92"/>
      <c r="K22" s="92"/>
      <c r="L22" s="92"/>
    </row>
    <row r="23" ht="14.25" customHeight="1">
      <c r="G23" s="3"/>
      <c r="I23" s="151"/>
    </row>
    <row r="24" ht="14.25" customHeight="1">
      <c r="G24" s="3"/>
    </row>
    <row r="25" ht="14.25" customHeight="1">
      <c r="A25" s="201" t="s">
        <v>998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02" t="s">
        <v>988</v>
      </c>
      <c r="B26" s="202" t="s">
        <v>989</v>
      </c>
      <c r="C26" s="202" t="s">
        <v>990</v>
      </c>
      <c r="D26" s="202" t="s">
        <v>991</v>
      </c>
      <c r="E26" s="202" t="s">
        <v>999</v>
      </c>
      <c r="F26" s="202" t="s">
        <v>992</v>
      </c>
      <c r="G26" s="4" t="s">
        <v>993</v>
      </c>
      <c r="H26" s="202" t="s">
        <v>994</v>
      </c>
      <c r="I26" s="202" t="s">
        <v>995</v>
      </c>
      <c r="K26" s="3"/>
    </row>
    <row r="27" ht="14.25" customHeight="1">
      <c r="A27" s="61" t="s">
        <v>621</v>
      </c>
      <c r="B27" s="92" t="str">
        <f>IF($A27=0,"",VLOOKUP($A27,'00_MO'!$A$4:$D$7,2,FALSE))</f>
        <v>Capataz</v>
      </c>
      <c r="C27" s="92" t="str">
        <f>IF($A27=0,"",VLOOKUP($A27,'00_MO'!$A$4:$D$7,3,FALSE))</f>
        <v>u</v>
      </c>
      <c r="D27" s="229">
        <v>1.0</v>
      </c>
      <c r="E27" s="229">
        <f>(H3/60)*1.5</f>
        <v>3</v>
      </c>
      <c r="F27" s="236">
        <v>0.4</v>
      </c>
      <c r="G27" s="217">
        <f t="shared" ref="G27:G32" si="3">ROUNDUP(((D27*E27)*(1+F27)),0)</f>
        <v>5</v>
      </c>
      <c r="H27" s="143">
        <f>IF($A27=0,"",VLOOKUP($A27,'00_MO'!$A$4:$D$7,4,FALSE))</f>
        <v>120000</v>
      </c>
      <c r="I27" s="143">
        <f t="shared" ref="I27:I30" si="4">G27*H27</f>
        <v>600000</v>
      </c>
      <c r="K27" s="153" t="s">
        <v>1061</v>
      </c>
    </row>
    <row r="28" ht="14.25" customHeight="1">
      <c r="A28" s="61" t="s">
        <v>623</v>
      </c>
      <c r="B28" s="92" t="str">
        <f>IF($A28=0,"",VLOOKUP($A28,'00_MO'!$A$4:$D$7,2,FALSE))</f>
        <v>Puntero</v>
      </c>
      <c r="C28" s="92" t="str">
        <f>IF($A28=0,"",VLOOKUP($A28,'00_MO'!$A$4:$D$7,3,FALSE))</f>
        <v>u</v>
      </c>
      <c r="D28" s="229">
        <v>2.0</v>
      </c>
      <c r="E28" s="229">
        <f>E27</f>
        <v>3</v>
      </c>
      <c r="F28" s="236">
        <v>0.4</v>
      </c>
      <c r="G28" s="217">
        <f t="shared" si="3"/>
        <v>9</v>
      </c>
      <c r="H28" s="143">
        <f>IF($A28=0,"",VLOOKUP($A28,'00_MO'!$A$4:$D$7,4,FALSE))</f>
        <v>105000</v>
      </c>
      <c r="I28" s="143">
        <f t="shared" si="4"/>
        <v>945000</v>
      </c>
      <c r="K28" s="194">
        <f>4*15</f>
        <v>60</v>
      </c>
    </row>
    <row r="29" ht="14.25" customHeight="1">
      <c r="A29" s="61" t="s">
        <v>625</v>
      </c>
      <c r="B29" s="92" t="str">
        <f>IF($A29=0,"",VLOOKUP($A29,'00_MO'!$A$4:$D$7,2,FALSE))</f>
        <v>Oficial</v>
      </c>
      <c r="C29" s="92" t="str">
        <f>IF($A29=0,"",VLOOKUP($A29,'00_MO'!$A$4:$D$7,3,FALSE))</f>
        <v>u</v>
      </c>
      <c r="D29" s="229">
        <v>3.0</v>
      </c>
      <c r="E29" s="229">
        <f>E27</f>
        <v>3</v>
      </c>
      <c r="F29" s="236">
        <v>0.4</v>
      </c>
      <c r="G29" s="217">
        <f t="shared" si="3"/>
        <v>13</v>
      </c>
      <c r="H29" s="143">
        <f>IF($A29=0,"",VLOOKUP($A29,'00_MO'!$A$4:$D$7,4,FALSE))</f>
        <v>90000</v>
      </c>
      <c r="I29" s="143">
        <f t="shared" si="4"/>
        <v>1170000</v>
      </c>
    </row>
    <row r="30" ht="14.25" customHeight="1">
      <c r="A30" s="61" t="s">
        <v>627</v>
      </c>
      <c r="B30" s="92" t="str">
        <f>IF($A30=0,"",VLOOKUP($A30,'00_MO'!$A$4:$D$7,2,FALSE))</f>
        <v>Ayudante</v>
      </c>
      <c r="C30" s="92" t="str">
        <f>IF($A30=0,"",VLOOKUP($A30,'00_MO'!$A$4:$D$7,3,FALSE))</f>
        <v>u</v>
      </c>
      <c r="D30" s="229">
        <v>3.0</v>
      </c>
      <c r="E30" s="229">
        <f>E27</f>
        <v>3</v>
      </c>
      <c r="F30" s="236">
        <v>0.4</v>
      </c>
      <c r="G30" s="217">
        <f t="shared" si="3"/>
        <v>13</v>
      </c>
      <c r="H30" s="143">
        <f>IF($A30=0,"",VLOOKUP($A30,'00_MO'!$A$4:$D$7,4,FALSE))</f>
        <v>60000</v>
      </c>
      <c r="I30" s="143">
        <f t="shared" si="4"/>
        <v>780000</v>
      </c>
      <c r="K30" s="85" t="s">
        <v>1059</v>
      </c>
      <c r="L30" s="258"/>
      <c r="M30" s="258"/>
    </row>
    <row r="31" ht="14.25" customHeight="1">
      <c r="A31" s="204"/>
      <c r="B31" s="92" t="str">
        <f>IF($A31=0,"",VLOOKUP($A31,'00_MO'!$A$4:$D$7,2,FALSE))</f>
        <v/>
      </c>
      <c r="C31" s="92" t="str">
        <f>IF($A31=0,"",VLOOKUP($A31,'00_MO'!$A$4:$D$7,3,FALSE))</f>
        <v/>
      </c>
      <c r="D31" s="204"/>
      <c r="E31" s="204"/>
      <c r="F31" s="206"/>
      <c r="G31" s="217">
        <f t="shared" si="3"/>
        <v>0</v>
      </c>
      <c r="H31" s="143" t="str">
        <f>IF($A31=0,"",VLOOKUP($A31,'00_MO'!$A$4:$D$7,4,FALSE))</f>
        <v/>
      </c>
      <c r="I31" s="143"/>
    </row>
    <row r="32" ht="14.25" customHeight="1">
      <c r="A32" s="204"/>
      <c r="B32" s="92" t="str">
        <f>IF($A32=0,"",VLOOKUP($A32,'00_MO'!$A$4:$D$7,2,FALSE))</f>
        <v/>
      </c>
      <c r="C32" s="92" t="str">
        <f>IF($A32=0,"",VLOOKUP($A32,'00_MO'!$A$4:$D$7,3,FALSE))</f>
        <v/>
      </c>
      <c r="D32" s="204"/>
      <c r="E32" s="204"/>
      <c r="F32" s="206"/>
      <c r="G32" s="217">
        <f t="shared" si="3"/>
        <v>0</v>
      </c>
      <c r="H32" s="143" t="str">
        <f>IF($A32=0,"",VLOOKUP($A32,'00_MO'!$A$4:$D$7,4,FALSE))</f>
        <v/>
      </c>
      <c r="I32" s="143"/>
    </row>
    <row r="33" ht="14.25" customHeight="1">
      <c r="F33" s="208"/>
      <c r="G33" s="3"/>
      <c r="H33" s="143"/>
      <c r="I33" s="143"/>
    </row>
    <row r="34" ht="14.25" customHeight="1">
      <c r="A34" s="222" t="s">
        <v>987</v>
      </c>
      <c r="B34" s="223"/>
      <c r="C34" s="223"/>
      <c r="D34" s="223"/>
      <c r="E34" s="223"/>
      <c r="F34" s="223"/>
      <c r="G34" s="211"/>
      <c r="H34" s="223"/>
      <c r="I34" s="224">
        <f>SUM(I27:I32)</f>
        <v>3495000</v>
      </c>
    </row>
    <row r="35" ht="14.25" customHeight="1">
      <c r="A35" s="232" t="str">
        <f>$I$3</f>
        <v>m²</v>
      </c>
      <c r="B35" s="233"/>
      <c r="C35" s="233"/>
      <c r="D35" s="233"/>
      <c r="E35" s="233"/>
      <c r="F35" s="233"/>
      <c r="G35" s="21"/>
      <c r="H35" s="233"/>
      <c r="I35" s="205">
        <f>$H$3</f>
        <v>120</v>
      </c>
      <c r="J35" s="92"/>
      <c r="K35" s="92"/>
      <c r="L35" s="92"/>
    </row>
    <row r="36" ht="14.25" customHeight="1">
      <c r="A36" s="234" t="s">
        <v>997</v>
      </c>
      <c r="B36" s="232" t="str">
        <f>A35</f>
        <v>m²</v>
      </c>
      <c r="C36" s="233"/>
      <c r="D36" s="233"/>
      <c r="E36" s="233"/>
      <c r="F36" s="233"/>
      <c r="G36" s="21"/>
      <c r="H36" s="233"/>
      <c r="I36" s="235">
        <f>I34/I35</f>
        <v>29125</v>
      </c>
      <c r="J36" s="92"/>
      <c r="K36" s="92"/>
      <c r="L36" s="92"/>
    </row>
    <row r="37" ht="14.25" customHeight="1">
      <c r="G37" s="3"/>
      <c r="I37" s="151"/>
    </row>
    <row r="38" ht="14.25" customHeight="1">
      <c r="G38" s="3"/>
    </row>
    <row r="39" ht="14.25" customHeight="1">
      <c r="A39" s="201" t="s">
        <v>1000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02" t="s">
        <v>988</v>
      </c>
      <c r="B40" s="202" t="s">
        <v>989</v>
      </c>
      <c r="C40" s="202" t="s">
        <v>990</v>
      </c>
      <c r="D40" s="202" t="s">
        <v>991</v>
      </c>
      <c r="E40" s="202" t="s">
        <v>999</v>
      </c>
      <c r="F40" s="202" t="s">
        <v>992</v>
      </c>
      <c r="G40" s="4" t="s">
        <v>993</v>
      </c>
      <c r="H40" s="202" t="s">
        <v>994</v>
      </c>
      <c r="I40" s="202" t="s">
        <v>995</v>
      </c>
    </row>
    <row r="41" ht="14.25" customHeight="1">
      <c r="A41" s="204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04"/>
      <c r="E41" s="204"/>
      <c r="F41" s="206"/>
      <c r="G41" s="217">
        <f t="shared" ref="G41:G46" si="5">ROUNDUP(((D41*E41)*(1+F41)),0)</f>
        <v>0</v>
      </c>
      <c r="H41" s="143" t="str">
        <f>IF($A41=0,"",VLOOKUP($A41,'00_Eq'!$A$4:$D$100,4,FALSE))</f>
        <v/>
      </c>
      <c r="I41" s="143"/>
    </row>
    <row r="42" ht="14.25" customHeight="1">
      <c r="A42" s="204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04"/>
      <c r="E42" s="204"/>
      <c r="F42" s="206"/>
      <c r="G42" s="217">
        <f t="shared" si="5"/>
        <v>0</v>
      </c>
      <c r="H42" s="143" t="str">
        <f>IF($A42=0,"",VLOOKUP($A42,'00_Eq'!$A$4:$D$100,4,FALSE))</f>
        <v/>
      </c>
      <c r="I42" s="143"/>
    </row>
    <row r="43" ht="14.25" customHeight="1">
      <c r="A43" s="204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04"/>
      <c r="E43" s="204"/>
      <c r="F43" s="206"/>
      <c r="G43" s="217">
        <f t="shared" si="5"/>
        <v>0</v>
      </c>
      <c r="H43" s="143" t="str">
        <f>IF($A43=0,"",VLOOKUP($A43,'00_Eq'!$A$4:$D$100,4,FALSE))</f>
        <v/>
      </c>
      <c r="I43" s="143"/>
    </row>
    <row r="44" ht="14.25" customHeight="1">
      <c r="A44" s="204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04"/>
      <c r="E44" s="204"/>
      <c r="F44" s="206"/>
      <c r="G44" s="217">
        <f t="shared" si="5"/>
        <v>0</v>
      </c>
      <c r="H44" s="143" t="str">
        <f>IF($A44=0,"",VLOOKUP($A44,'00_Eq'!$A$4:$D$100,4,FALSE))</f>
        <v/>
      </c>
      <c r="I44" s="143"/>
    </row>
    <row r="45" ht="14.25" customHeight="1">
      <c r="A45" s="204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04"/>
      <c r="E45" s="204"/>
      <c r="F45" s="206"/>
      <c r="G45" s="217">
        <f t="shared" si="5"/>
        <v>0</v>
      </c>
      <c r="H45" s="143" t="str">
        <f>IF($A45=0,"",VLOOKUP($A45,'00_Eq'!$A$4:$D$100,4,FALSE))</f>
        <v/>
      </c>
      <c r="I45" s="143"/>
    </row>
    <row r="46" ht="14.25" customHeight="1">
      <c r="A46" s="204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04"/>
      <c r="E46" s="204"/>
      <c r="F46" s="206"/>
      <c r="G46" s="217">
        <f t="shared" si="5"/>
        <v>0</v>
      </c>
      <c r="H46" s="143" t="str">
        <f>IF($A46=0,"",VLOOKUP($A46,'00_Eq'!$A$4:$D$100,4,FALSE))</f>
        <v/>
      </c>
      <c r="I46" s="143"/>
    </row>
    <row r="47" ht="14.25" customHeight="1">
      <c r="F47" s="208"/>
      <c r="G47" s="3"/>
      <c r="H47" s="143"/>
      <c r="I47" s="143"/>
    </row>
    <row r="48" ht="14.25" customHeight="1">
      <c r="A48" s="222" t="s">
        <v>987</v>
      </c>
      <c r="B48" s="223"/>
      <c r="C48" s="223"/>
      <c r="D48" s="223"/>
      <c r="E48" s="223"/>
      <c r="F48" s="223"/>
      <c r="G48" s="211"/>
      <c r="H48" s="223"/>
      <c r="I48" s="224">
        <f>SUM(I41:I46)</f>
        <v>0</v>
      </c>
    </row>
    <row r="49" ht="14.25" customHeight="1">
      <c r="A49" s="232" t="str">
        <f>$I$3</f>
        <v>m²</v>
      </c>
      <c r="B49" s="233"/>
      <c r="C49" s="233"/>
      <c r="D49" s="233"/>
      <c r="E49" s="233"/>
      <c r="F49" s="233"/>
      <c r="G49" s="21"/>
      <c r="H49" s="233"/>
      <c r="I49" s="205">
        <f>$H$3</f>
        <v>120</v>
      </c>
      <c r="J49" s="92"/>
      <c r="K49" s="92"/>
      <c r="L49" s="92"/>
    </row>
    <row r="50" ht="14.25" customHeight="1">
      <c r="A50" s="234" t="s">
        <v>997</v>
      </c>
      <c r="B50" s="232" t="str">
        <f>A49</f>
        <v>m²</v>
      </c>
      <c r="C50" s="233"/>
      <c r="D50" s="233"/>
      <c r="E50" s="233"/>
      <c r="F50" s="233"/>
      <c r="G50" s="21"/>
      <c r="H50" s="233"/>
      <c r="I50" s="235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01" t="s">
        <v>1010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02" t="s">
        <v>988</v>
      </c>
      <c r="B54" s="202" t="s">
        <v>989</v>
      </c>
      <c r="C54" s="202" t="s">
        <v>990</v>
      </c>
      <c r="D54" s="202" t="s">
        <v>991</v>
      </c>
      <c r="E54" s="202"/>
      <c r="F54" s="202" t="s">
        <v>992</v>
      </c>
      <c r="G54" s="4" t="s">
        <v>993</v>
      </c>
      <c r="H54" s="202" t="s">
        <v>994</v>
      </c>
      <c r="I54" s="202" t="s">
        <v>995</v>
      </c>
    </row>
    <row r="55" ht="14.25" customHeight="1">
      <c r="A55" s="204"/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05"/>
      <c r="E55" s="204"/>
      <c r="F55" s="206"/>
      <c r="G55" s="221">
        <f t="shared" ref="G55:G60" si="6">ROUNDUP((D55+(D55*F55)),0)</f>
        <v>0</v>
      </c>
      <c r="H55" s="143" t="str">
        <f>IF($A55=0,"",VLOOKUP($A55,'00_Mat'!$A$4:$J$1135,5,FALSE))</f>
        <v/>
      </c>
      <c r="I55" s="143"/>
    </row>
    <row r="56" ht="14.25" customHeight="1">
      <c r="A56" s="204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05"/>
      <c r="E56" s="204"/>
      <c r="F56" s="206"/>
      <c r="G56" s="221">
        <f t="shared" si="6"/>
        <v>0</v>
      </c>
      <c r="H56" s="143" t="str">
        <f>IF($A56=0,"",VLOOKUP($A56,'00_Mat'!$A$4:$J$1135,5,FALSE))</f>
        <v/>
      </c>
      <c r="I56" s="143"/>
    </row>
    <row r="57" ht="14.25" customHeight="1">
      <c r="A57" s="204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05"/>
      <c r="E57" s="204"/>
      <c r="F57" s="206"/>
      <c r="G57" s="221">
        <f t="shared" si="6"/>
        <v>0</v>
      </c>
      <c r="H57" s="143" t="str">
        <f>IF($A57=0,"",VLOOKUP($A57,'00_Mat'!$A$4:$J$1135,5,FALSE))</f>
        <v/>
      </c>
      <c r="I57" s="143"/>
    </row>
    <row r="58" ht="14.25" customHeight="1">
      <c r="A58" s="204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05"/>
      <c r="E58" s="204"/>
      <c r="F58" s="206"/>
      <c r="G58" s="221">
        <f t="shared" si="6"/>
        <v>0</v>
      </c>
      <c r="H58" s="143" t="str">
        <f>IF($A58=0,"",VLOOKUP($A58,'00_Mat'!$A$4:$J$1135,5,FALSE))</f>
        <v/>
      </c>
      <c r="I58" s="143"/>
    </row>
    <row r="59" ht="14.25" customHeight="1">
      <c r="A59" s="204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05"/>
      <c r="E59" s="204"/>
      <c r="F59" s="206"/>
      <c r="G59" s="221">
        <f t="shared" si="6"/>
        <v>0</v>
      </c>
      <c r="H59" s="143" t="str">
        <f>IF($A59=0,"",VLOOKUP($A59,'00_Mat'!$A$4:$J$1135,5,FALSE))</f>
        <v/>
      </c>
      <c r="I59" s="143"/>
    </row>
    <row r="60" ht="14.25" customHeight="1">
      <c r="A60" s="204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05"/>
      <c r="E60" s="204"/>
      <c r="F60" s="206"/>
      <c r="G60" s="221">
        <f t="shared" si="6"/>
        <v>0</v>
      </c>
      <c r="H60" s="143" t="str">
        <f>IF($A60=0,"",VLOOKUP($A60,'00_Mat'!$A$4:$J$1135,5,FALSE))</f>
        <v/>
      </c>
      <c r="I60" s="143"/>
    </row>
    <row r="61" ht="14.25" customHeight="1">
      <c r="F61" s="208"/>
      <c r="G61" s="3"/>
      <c r="H61" s="143"/>
      <c r="I61" s="143"/>
    </row>
    <row r="62" ht="14.25" customHeight="1">
      <c r="A62" s="222" t="s">
        <v>987</v>
      </c>
      <c r="B62" s="223"/>
      <c r="C62" s="223"/>
      <c r="D62" s="223"/>
      <c r="E62" s="223"/>
      <c r="F62" s="223"/>
      <c r="G62" s="211"/>
      <c r="H62" s="223"/>
      <c r="I62" s="224">
        <f>SUM(I55:I60)</f>
        <v>0</v>
      </c>
    </row>
    <row r="63" ht="14.25" customHeight="1">
      <c r="A63" s="232" t="str">
        <f>$I$3</f>
        <v>m²</v>
      </c>
      <c r="B63" s="233"/>
      <c r="C63" s="233"/>
      <c r="D63" s="233"/>
      <c r="E63" s="233"/>
      <c r="F63" s="233"/>
      <c r="G63" s="21"/>
      <c r="H63" s="233"/>
      <c r="I63" s="205">
        <f>$H$3</f>
        <v>120</v>
      </c>
      <c r="J63" s="92"/>
      <c r="K63" s="92"/>
      <c r="L63" s="92"/>
    </row>
    <row r="64" ht="14.25" customHeight="1">
      <c r="A64" s="234" t="s">
        <v>997</v>
      </c>
      <c r="B64" s="232" t="str">
        <f>A63</f>
        <v>m²</v>
      </c>
      <c r="C64" s="233"/>
      <c r="D64" s="233"/>
      <c r="E64" s="233"/>
      <c r="F64" s="233"/>
      <c r="G64" s="21"/>
      <c r="H64" s="233"/>
      <c r="I64" s="235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01" t="s">
        <v>1025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02" t="s">
        <v>988</v>
      </c>
      <c r="B68" s="202" t="s">
        <v>989</v>
      </c>
      <c r="C68" s="202" t="s">
        <v>990</v>
      </c>
      <c r="D68" s="202" t="s">
        <v>991</v>
      </c>
      <c r="E68" s="202" t="s">
        <v>999</v>
      </c>
      <c r="F68" s="202" t="s">
        <v>992</v>
      </c>
      <c r="G68" s="4" t="s">
        <v>993</v>
      </c>
      <c r="H68" s="202" t="s">
        <v>994</v>
      </c>
      <c r="I68" s="202" t="s">
        <v>995</v>
      </c>
    </row>
    <row r="69" ht="14.25" customHeight="1">
      <c r="A69" s="204"/>
      <c r="B69" s="92" t="str">
        <f>IF($A69=0,"",VLOOKUP($A69,'00_Sub'!$A$4:$D$1007,2,FALSE))</f>
        <v/>
      </c>
      <c r="C69" s="92" t="str">
        <f>IF($A69=0,"",VLOOKUP($A69,'00_Sub'!$A$4:$D$1007,3,FALSE))</f>
        <v/>
      </c>
      <c r="D69" s="204"/>
      <c r="E69" s="204"/>
      <c r="F69" s="206"/>
      <c r="G69" s="221">
        <f t="shared" ref="G69:G74" si="7">ROUNDUP((D69+(D69*F69)),0)</f>
        <v>0</v>
      </c>
      <c r="H69" s="143" t="str">
        <f>IF($A69=0,"",VLOOKUP($A69,'00_Sub'!$A$4:$D$1007,4,FALSE))</f>
        <v/>
      </c>
      <c r="I69" s="143"/>
    </row>
    <row r="70" ht="14.25" customHeight="1">
      <c r="A70" s="204"/>
      <c r="B70" s="92" t="str">
        <f>IF($A70=0,"",VLOOKUP($A70,'00_Sub'!$A$4:$D$1007,2,FALSE))</f>
        <v/>
      </c>
      <c r="C70" s="92" t="str">
        <f>IF($A70=0,"",VLOOKUP($A70,'00_Sub'!$A$4:$D$1007,3,FALSE))</f>
        <v/>
      </c>
      <c r="D70" s="204"/>
      <c r="E70" s="204"/>
      <c r="F70" s="206"/>
      <c r="G70" s="221">
        <f t="shared" si="7"/>
        <v>0</v>
      </c>
      <c r="H70" s="143" t="str">
        <f>IF($A70=0,"",VLOOKUP($A70,'00_Sub'!$A$4:$D$1007,4,FALSE))</f>
        <v/>
      </c>
      <c r="I70" s="143"/>
    </row>
    <row r="71" ht="14.25" customHeight="1">
      <c r="A71" s="204"/>
      <c r="B71" s="92" t="str">
        <f>IF($A71=0,"",VLOOKUP($A71,'00_Sub'!$A$4:$D$1007,2,FALSE))</f>
        <v/>
      </c>
      <c r="C71" s="92" t="str">
        <f>IF($A71=0,"",VLOOKUP($A71,'00_Sub'!$A$4:$D$1007,3,FALSE))</f>
        <v/>
      </c>
      <c r="D71" s="204"/>
      <c r="E71" s="204"/>
      <c r="F71" s="206"/>
      <c r="G71" s="221">
        <f t="shared" si="7"/>
        <v>0</v>
      </c>
      <c r="H71" s="143" t="str">
        <f>IF($A71=0,"",VLOOKUP($A71,'00_Sub'!$A$4:$D$1007,4,FALSE))</f>
        <v/>
      </c>
      <c r="I71" s="143"/>
    </row>
    <row r="72" ht="14.25" customHeight="1">
      <c r="A72" s="204"/>
      <c r="B72" s="92" t="str">
        <f>IF($A72=0,"",VLOOKUP($A72,'00_Sub'!$A$4:$D$1007,2,FALSE))</f>
        <v/>
      </c>
      <c r="C72" s="92" t="str">
        <f>IF($A72=0,"",VLOOKUP($A72,'00_Sub'!$A$4:$D$1007,3,FALSE))</f>
        <v/>
      </c>
      <c r="D72" s="204"/>
      <c r="E72" s="204"/>
      <c r="F72" s="206"/>
      <c r="G72" s="221">
        <f t="shared" si="7"/>
        <v>0</v>
      </c>
      <c r="H72" s="143" t="str">
        <f>IF($A72=0,"",VLOOKUP($A72,'00_Sub'!$A$4:$D$1007,4,FALSE))</f>
        <v/>
      </c>
      <c r="I72" s="143"/>
    </row>
    <row r="73" ht="14.25" customHeight="1">
      <c r="A73" s="204"/>
      <c r="B73" s="92" t="str">
        <f>IF($A73=0,"",VLOOKUP($A73,'00_Sub'!$A$4:$D$1007,2,FALSE))</f>
        <v/>
      </c>
      <c r="C73" s="92" t="str">
        <f>IF($A73=0,"",VLOOKUP($A73,'00_Sub'!$A$4:$D$1007,3,FALSE))</f>
        <v/>
      </c>
      <c r="D73" s="204"/>
      <c r="E73" s="204"/>
      <c r="F73" s="206"/>
      <c r="G73" s="221">
        <f t="shared" si="7"/>
        <v>0</v>
      </c>
      <c r="H73" s="143" t="str">
        <f>IF($A73=0,"",VLOOKUP($A73,'00_Sub'!$A$4:$D$1007,4,FALSE))</f>
        <v/>
      </c>
      <c r="I73" s="143"/>
    </row>
    <row r="74" ht="14.25" customHeight="1">
      <c r="A74" s="204"/>
      <c r="B74" s="92" t="str">
        <f>IF($A74=0,"",VLOOKUP($A74,'00_Sub'!$A$4:$D$1007,2,FALSE))</f>
        <v/>
      </c>
      <c r="C74" s="92" t="str">
        <f>IF($A74=0,"",VLOOKUP($A74,'00_Sub'!$A$4:$D$1007,3,FALSE))</f>
        <v/>
      </c>
      <c r="D74" s="204"/>
      <c r="E74" s="204"/>
      <c r="F74" s="206"/>
      <c r="G74" s="221">
        <f t="shared" si="7"/>
        <v>0</v>
      </c>
      <c r="H74" s="143" t="str">
        <f>IF($A74=0,"",VLOOKUP($A74,'00_Sub'!$A$4:$D$1007,4,FALSE))</f>
        <v/>
      </c>
      <c r="I74" s="143"/>
    </row>
    <row r="75" ht="14.25" customHeight="1">
      <c r="F75" s="208"/>
      <c r="G75" s="3"/>
      <c r="H75" s="143"/>
      <c r="I75" s="143"/>
    </row>
    <row r="76" ht="14.25" customHeight="1">
      <c r="A76" s="222" t="s">
        <v>987</v>
      </c>
      <c r="B76" s="223"/>
      <c r="C76" s="223"/>
      <c r="D76" s="223"/>
      <c r="E76" s="223"/>
      <c r="F76" s="223"/>
      <c r="G76" s="211"/>
      <c r="H76" s="223"/>
      <c r="I76" s="224">
        <f>SUM(I69:I74)</f>
        <v>0</v>
      </c>
    </row>
    <row r="77" ht="14.25" customHeight="1">
      <c r="A77" s="232" t="str">
        <f>$I$3</f>
        <v>m²</v>
      </c>
      <c r="B77" s="233"/>
      <c r="C77" s="233"/>
      <c r="D77" s="233"/>
      <c r="E77" s="233"/>
      <c r="F77" s="233"/>
      <c r="G77" s="21"/>
      <c r="H77" s="233"/>
      <c r="I77" s="205">
        <f>$H$3</f>
        <v>120</v>
      </c>
      <c r="J77" s="92"/>
      <c r="K77" s="92"/>
      <c r="L77" s="92"/>
    </row>
    <row r="78" ht="14.25" customHeight="1">
      <c r="A78" s="234" t="s">
        <v>997</v>
      </c>
      <c r="B78" s="232" t="str">
        <f>A77</f>
        <v>m²</v>
      </c>
      <c r="C78" s="233"/>
      <c r="D78" s="233"/>
      <c r="E78" s="233"/>
      <c r="F78" s="233"/>
      <c r="G78" s="21"/>
      <c r="H78" s="233"/>
      <c r="I78" s="235">
        <f>I76/I77</f>
        <v>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2"/>
  <legacyDrawing r:id="rId3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71"/>
    <col customWidth="1" min="3" max="3" width="8.14"/>
    <col customWidth="1" min="4" max="5" width="9.71"/>
    <col customWidth="1" min="6" max="6" width="12.0"/>
    <col customWidth="1" min="7" max="7" width="19.86"/>
    <col customWidth="1" min="8" max="8" width="16.0"/>
    <col customWidth="1" min="9" max="9" width="15.86"/>
    <col customWidth="1" min="10" max="12" width="8.71"/>
  </cols>
  <sheetData>
    <row r="1" ht="33.75" customHeight="1">
      <c r="A1" s="91" t="str">
        <f>'01_C&amp;P'!A1</f>
        <v>EDIFICIO LAS HERAS</v>
      </c>
      <c r="B1" s="91"/>
      <c r="C1" s="91"/>
      <c r="G1" s="3"/>
    </row>
    <row r="2" ht="14.25" customHeight="1">
      <c r="G2" s="3"/>
    </row>
    <row r="3" ht="23.25" customHeight="1">
      <c r="A3" s="195">
        <f>'01_C&amp;P'!A127</f>
        <v>46238</v>
      </c>
      <c r="B3" s="196" t="str">
        <f>IF($A3=0,"",VLOOKUP($A3,'01_C&amp;P'!$A$9:$D$192,2,FALSE))</f>
        <v>REVOQUE EXTERIOR (GRUESO FRATAZADO) CON HIDROFUGO.</v>
      </c>
      <c r="C3" s="197"/>
      <c r="D3" s="197"/>
      <c r="E3" s="197"/>
      <c r="F3" s="197"/>
      <c r="G3" s="198"/>
      <c r="H3" s="199">
        <f>IF($A3=0,"",VLOOKUP($A3,'01_C&amp;P'!$A$9:$D$192,4,FALSE))</f>
        <v>120</v>
      </c>
      <c r="I3" s="200" t="str">
        <f>IF($A3=0,"",VLOOKUP($A3,'01_C&amp;P'!$A$9:$D$192,3,FALSE))</f>
        <v>m²</v>
      </c>
    </row>
    <row r="4" ht="14.25" customHeight="1">
      <c r="G4" s="3"/>
    </row>
    <row r="5" ht="14.25" customHeight="1">
      <c r="A5" s="201" t="s">
        <v>0</v>
      </c>
      <c r="B5" s="94"/>
      <c r="C5" s="94"/>
      <c r="D5" s="94"/>
      <c r="E5" s="94"/>
      <c r="F5" s="94"/>
      <c r="G5" s="2"/>
      <c r="H5" s="94"/>
      <c r="I5" s="94"/>
      <c r="L5" s="153" t="s">
        <v>48</v>
      </c>
    </row>
    <row r="6" ht="14.25" customHeight="1">
      <c r="A6" s="202" t="s">
        <v>988</v>
      </c>
      <c r="B6" s="202" t="s">
        <v>989</v>
      </c>
      <c r="C6" s="202" t="s">
        <v>990</v>
      </c>
      <c r="D6" s="203" t="s">
        <v>991</v>
      </c>
      <c r="E6" s="197"/>
      <c r="F6" s="202" t="s">
        <v>992</v>
      </c>
      <c r="G6" s="4" t="s">
        <v>993</v>
      </c>
      <c r="H6" s="202" t="s">
        <v>994</v>
      </c>
      <c r="I6" s="202" t="s">
        <v>995</v>
      </c>
      <c r="L6" s="251">
        <f>H3</f>
        <v>120</v>
      </c>
    </row>
    <row r="7" ht="14.25" customHeight="1">
      <c r="A7" s="254" t="s">
        <v>11</v>
      </c>
      <c r="B7" s="3" t="str">
        <f>IF($A7=0,"",VLOOKUP($A7,'00_Mat'!$A$4:$J$1134,2,FALSE))</f>
        <v>Bolson de Arena (1m3) </v>
      </c>
      <c r="C7" s="3" t="str">
        <f>IF($A7=0,"",VLOOKUP($A7,'00_Mat'!$A$4:$J$1134,3,FALSE))</f>
        <v>m3</v>
      </c>
      <c r="D7" s="256">
        <f>L6*(0.017+0.006)</f>
        <v>2.76</v>
      </c>
      <c r="E7" s="254"/>
      <c r="F7" s="259">
        <v>0.1</v>
      </c>
      <c r="G7" s="221">
        <f t="shared" ref="G7:G10" si="1">ROUNDUP((D7+(D7*F7)),0)</f>
        <v>4</v>
      </c>
      <c r="H7" s="14">
        <f>IF($A7=0,"",VLOOKUP($A7,'00_Mat'!$A$4:$J$1134,5,FALSE))</f>
        <v>33470</v>
      </c>
      <c r="I7" s="14">
        <f t="shared" ref="I7:I10" si="2">G7*H7</f>
        <v>133880</v>
      </c>
      <c r="J7" s="10"/>
    </row>
    <row r="8" ht="14.25" customHeight="1">
      <c r="A8" s="254" t="s">
        <v>19</v>
      </c>
      <c r="B8" s="3" t="str">
        <f>IF($A8=0,"",VLOOKUP($A8,'00_Mat'!$A$4:$J$1134,2,FALSE))</f>
        <v>Bolsa Cemento "Loma Negra" 25 k (u)</v>
      </c>
      <c r="C8" s="3" t="str">
        <f>IF($A8=0,"",VLOOKUP($A8,'00_Mat'!$A$4:$J$1134,3,FALSE))</f>
        <v>u</v>
      </c>
      <c r="D8" s="256">
        <f>(L6*(1.85+0.45)/25)</f>
        <v>11.04</v>
      </c>
      <c r="E8" s="254"/>
      <c r="F8" s="259">
        <v>0.1</v>
      </c>
      <c r="G8" s="221">
        <f t="shared" si="1"/>
        <v>13</v>
      </c>
      <c r="H8" s="14">
        <f>IF($A8=0,"",VLOOKUP($A8,'00_Mat'!$A$4:$J$1134,5,FALSE))</f>
        <v>7000</v>
      </c>
      <c r="I8" s="14">
        <f t="shared" si="2"/>
        <v>91000</v>
      </c>
      <c r="J8" s="260"/>
    </row>
    <row r="9" ht="14.25" customHeight="1">
      <c r="A9" s="254" t="s">
        <v>25</v>
      </c>
      <c r="B9" s="3" t="str">
        <f>IF($A9=0,"",VLOOKUP($A9,'00_Mat'!$A$4:$J$1134,2,FALSE))</f>
        <v>Bolsa Cal "Cacique" 25 k (u)</v>
      </c>
      <c r="C9" s="3" t="str">
        <f>IF($A9=0,"",VLOOKUP($A9,'00_Mat'!$A$4:$J$1134,3,FALSE))</f>
        <v>u</v>
      </c>
      <c r="D9" s="256">
        <f>(L6*(3.53+1.6)/25)</f>
        <v>24.624</v>
      </c>
      <c r="E9" s="254"/>
      <c r="F9" s="259">
        <v>0.1</v>
      </c>
      <c r="G9" s="221">
        <f t="shared" si="1"/>
        <v>28</v>
      </c>
      <c r="H9" s="14">
        <f>IF($A9=0,"",VLOOKUP($A9,'00_Mat'!$A$4:$J$1134,5,FALSE))</f>
        <v>5371.900826</v>
      </c>
      <c r="I9" s="14">
        <f t="shared" si="2"/>
        <v>150413.2231</v>
      </c>
      <c r="J9" s="260"/>
    </row>
    <row r="10" ht="14.25" customHeight="1">
      <c r="A10" s="254" t="s">
        <v>29</v>
      </c>
      <c r="B10" s="3" t="str">
        <f>IF($A10=0,"",VLOOKUP($A10,'00_Mat'!$A$4:$J$1134,2,FALSE))</f>
        <v>Ceresita 20 k (u)</v>
      </c>
      <c r="C10" s="3" t="str">
        <f>IF($A10=0,"",VLOOKUP($A10,'00_Mat'!$A$4:$J$1134,3,FALSE))</f>
        <v>u</v>
      </c>
      <c r="D10" s="256">
        <f>(0.4*L6)/20</f>
        <v>2.4</v>
      </c>
      <c r="E10" s="254"/>
      <c r="F10" s="259">
        <v>0.1</v>
      </c>
      <c r="G10" s="221">
        <f t="shared" si="1"/>
        <v>3</v>
      </c>
      <c r="H10" s="14">
        <f>IF($A10=0,"",VLOOKUP($A10,'00_Mat'!$A$4:$J$1134,5,FALSE))</f>
        <v>37190.08264</v>
      </c>
      <c r="I10" s="14">
        <f t="shared" si="2"/>
        <v>111570.2479</v>
      </c>
      <c r="J10" s="260" t="s">
        <v>1063</v>
      </c>
    </row>
    <row r="11" ht="14.25" customHeight="1">
      <c r="A11" s="204"/>
      <c r="B11" s="92" t="str">
        <f>IF($A11=0,"",VLOOKUP($A11,'00_Mat'!$A$4:$J$1135,2,FALSE))</f>
        <v/>
      </c>
      <c r="C11" s="92" t="str">
        <f>IF($A11=0,"",VLOOKUP($A11,'00_Mat'!$A$4:$J$1135,3,FALSE))</f>
        <v/>
      </c>
      <c r="D11" s="204"/>
      <c r="E11" s="204"/>
      <c r="F11" s="206"/>
      <c r="G11" s="221">
        <f t="shared" ref="G11:G18" si="3">ROUNDUP((D11+(D11*F11)),0)</f>
        <v>0</v>
      </c>
      <c r="H11" s="143" t="str">
        <f>IF($A11=0,"",VLOOKUP($A11,'00_Mat'!$A$4:$J$1135,5,FALSE))</f>
        <v/>
      </c>
      <c r="I11" s="143"/>
    </row>
    <row r="12" ht="14.25" customHeight="1">
      <c r="A12" s="204"/>
      <c r="B12" s="92" t="str">
        <f>IF($A12=0,"",VLOOKUP($A12,'00_Mat'!$A$4:$J$1135,2,FALSE))</f>
        <v/>
      </c>
      <c r="C12" s="92" t="str">
        <f>IF($A12=0,"",VLOOKUP($A12,'00_Mat'!$A$4:$J$1135,3,FALSE))</f>
        <v/>
      </c>
      <c r="D12" s="204"/>
      <c r="E12" s="204"/>
      <c r="F12" s="206"/>
      <c r="G12" s="221">
        <f t="shared" si="3"/>
        <v>0</v>
      </c>
      <c r="H12" s="143" t="str">
        <f>IF($A12=0,"",VLOOKUP($A12,'00_Mat'!$A$4:$J$1135,5,FALSE))</f>
        <v/>
      </c>
      <c r="I12" s="143"/>
    </row>
    <row r="13" ht="14.25" customHeight="1">
      <c r="A13" s="204"/>
      <c r="B13" s="92" t="str">
        <f>IF($A13=0,"",VLOOKUP($A13,'00_Mat'!$A$4:$J$1135,2,FALSE))</f>
        <v/>
      </c>
      <c r="C13" s="92" t="str">
        <f>IF($A13=0,"",VLOOKUP($A13,'00_Mat'!$A$4:$J$1135,3,FALSE))</f>
        <v/>
      </c>
      <c r="D13" s="204"/>
      <c r="E13" s="204"/>
      <c r="F13" s="206"/>
      <c r="G13" s="221">
        <f t="shared" si="3"/>
        <v>0</v>
      </c>
      <c r="H13" s="143" t="str">
        <f>IF($A13=0,"",VLOOKUP($A13,'00_Mat'!$A$4:$J$1135,5,FALSE))</f>
        <v/>
      </c>
      <c r="I13" s="143"/>
    </row>
    <row r="14" ht="14.25" customHeight="1">
      <c r="A14" s="204"/>
      <c r="B14" s="92" t="str">
        <f>IF($A14=0,"",VLOOKUP($A14,'00_Mat'!$A$4:$J$1135,2,FALSE))</f>
        <v/>
      </c>
      <c r="C14" s="92" t="str">
        <f>IF($A14=0,"",VLOOKUP($A14,'00_Mat'!$A$4:$J$1135,3,FALSE))</f>
        <v/>
      </c>
      <c r="D14" s="204"/>
      <c r="E14" s="204"/>
      <c r="F14" s="206"/>
      <c r="G14" s="221">
        <f t="shared" si="3"/>
        <v>0</v>
      </c>
      <c r="H14" s="143" t="str">
        <f>IF($A14=0,"",VLOOKUP($A14,'00_Mat'!$A$4:$J$1135,5,FALSE))</f>
        <v/>
      </c>
      <c r="I14" s="143"/>
    </row>
    <row r="15" ht="14.25" customHeight="1">
      <c r="A15" s="204"/>
      <c r="B15" s="92" t="str">
        <f>IF($A15=0,"",VLOOKUP($A15,'00_Mat'!$A$4:$J$1135,2,FALSE))</f>
        <v/>
      </c>
      <c r="C15" s="92" t="str">
        <f>IF($A15=0,"",VLOOKUP($A15,'00_Mat'!$A$4:$J$1135,3,FALSE))</f>
        <v/>
      </c>
      <c r="D15" s="204"/>
      <c r="E15" s="204"/>
      <c r="F15" s="206"/>
      <c r="G15" s="221">
        <f t="shared" si="3"/>
        <v>0</v>
      </c>
      <c r="H15" s="143" t="str">
        <f>IF($A15=0,"",VLOOKUP($A15,'00_Mat'!$A$4:$J$1135,5,FALSE))</f>
        <v/>
      </c>
      <c r="I15" s="143"/>
    </row>
    <row r="16" ht="14.25" customHeight="1">
      <c r="A16" s="204"/>
      <c r="B16" s="92" t="str">
        <f>IF($A16=0,"",VLOOKUP($A16,'00_Mat'!$A$4:$J$1135,2,FALSE))</f>
        <v/>
      </c>
      <c r="C16" s="92" t="str">
        <f>IF($A16=0,"",VLOOKUP($A16,'00_Mat'!$A$4:$J$1135,3,FALSE))</f>
        <v/>
      </c>
      <c r="D16" s="204"/>
      <c r="E16" s="204"/>
      <c r="F16" s="206"/>
      <c r="G16" s="221">
        <f t="shared" si="3"/>
        <v>0</v>
      </c>
      <c r="H16" s="143" t="str">
        <f>IF($A16=0,"",VLOOKUP($A16,'00_Mat'!$A$4:$J$1135,5,FALSE))</f>
        <v/>
      </c>
      <c r="I16" s="143"/>
    </row>
    <row r="17" ht="14.25" customHeight="1">
      <c r="A17" s="204"/>
      <c r="B17" s="92" t="str">
        <f>IF($A17=0,"",VLOOKUP($A17,'00_Mat'!$A$4:$J$1135,2,FALSE))</f>
        <v/>
      </c>
      <c r="C17" s="92" t="str">
        <f>IF($A17=0,"",VLOOKUP($A17,'00_Mat'!$A$4:$J$1135,3,FALSE))</f>
        <v/>
      </c>
      <c r="D17" s="204"/>
      <c r="E17" s="204"/>
      <c r="F17" s="206"/>
      <c r="G17" s="221">
        <f t="shared" si="3"/>
        <v>0</v>
      </c>
      <c r="H17" s="143" t="str">
        <f>IF($A17=0,"",VLOOKUP($A17,'00_Mat'!$A$4:$J$1135,5,FALSE))</f>
        <v/>
      </c>
      <c r="I17" s="143"/>
    </row>
    <row r="18" ht="14.25" customHeight="1">
      <c r="A18" s="204"/>
      <c r="B18" s="92" t="str">
        <f>IF($A18=0,"",VLOOKUP($A18,'00_Mat'!$A$4:$J$1135,2,FALSE))</f>
        <v/>
      </c>
      <c r="C18" s="92" t="str">
        <f>IF($A18=0,"",VLOOKUP($A18,'00_Mat'!$A$4:$J$1135,3,FALSE))</f>
        <v/>
      </c>
      <c r="D18" s="204"/>
      <c r="E18" s="204"/>
      <c r="F18" s="206"/>
      <c r="G18" s="221">
        <f t="shared" si="3"/>
        <v>0</v>
      </c>
      <c r="H18" s="143" t="str">
        <f>IF($A18=0,"",VLOOKUP($A18,'00_Mat'!$A$4:$J$1135,5,FALSE))</f>
        <v/>
      </c>
      <c r="I18" s="143"/>
    </row>
    <row r="19" ht="14.25" customHeight="1">
      <c r="F19" s="208"/>
      <c r="G19" s="3"/>
      <c r="H19" s="143"/>
      <c r="I19" s="143"/>
    </row>
    <row r="20" ht="14.25" customHeight="1">
      <c r="A20" s="222" t="s">
        <v>996</v>
      </c>
      <c r="B20" s="223"/>
      <c r="C20" s="223"/>
      <c r="D20" s="223"/>
      <c r="E20" s="223"/>
      <c r="F20" s="223"/>
      <c r="G20" s="211"/>
      <c r="H20" s="223"/>
      <c r="I20" s="224">
        <f>SUM(I7:I18)</f>
        <v>486863.4711</v>
      </c>
      <c r="J20" s="92"/>
      <c r="K20" s="92"/>
      <c r="L20" s="92"/>
    </row>
    <row r="21" ht="14.25" customHeight="1">
      <c r="A21" s="232" t="str">
        <f>$I$3</f>
        <v>m²</v>
      </c>
      <c r="B21" s="233"/>
      <c r="C21" s="233"/>
      <c r="D21" s="233"/>
      <c r="E21" s="233"/>
      <c r="F21" s="233"/>
      <c r="G21" s="21"/>
      <c r="H21" s="233"/>
      <c r="I21" s="205">
        <f>$H$3</f>
        <v>120</v>
      </c>
      <c r="J21" s="92"/>
      <c r="K21" s="92"/>
      <c r="L21" s="92"/>
    </row>
    <row r="22" ht="14.25" customHeight="1">
      <c r="A22" s="234" t="s">
        <v>997</v>
      </c>
      <c r="B22" s="232" t="str">
        <f>A21</f>
        <v>m²</v>
      </c>
      <c r="C22" s="233"/>
      <c r="D22" s="233"/>
      <c r="E22" s="233"/>
      <c r="F22" s="233"/>
      <c r="G22" s="21"/>
      <c r="H22" s="233"/>
      <c r="I22" s="235">
        <f>I20/I21</f>
        <v>4057.195592</v>
      </c>
      <c r="J22" s="92"/>
      <c r="K22" s="92"/>
      <c r="L22" s="92"/>
    </row>
    <row r="23" ht="14.25" customHeight="1">
      <c r="G23" s="3"/>
    </row>
    <row r="24" ht="14.25" customHeight="1">
      <c r="G24" s="3"/>
    </row>
    <row r="25" ht="14.25" customHeight="1">
      <c r="A25" s="201" t="s">
        <v>998</v>
      </c>
      <c r="B25" s="94"/>
      <c r="C25" s="94"/>
      <c r="D25" s="94"/>
      <c r="E25" s="94"/>
      <c r="F25" s="94"/>
      <c r="G25" s="2"/>
      <c r="H25" s="94"/>
      <c r="I25" s="94"/>
    </row>
    <row r="26" ht="14.25" customHeight="1">
      <c r="A26" s="202" t="s">
        <v>988</v>
      </c>
      <c r="B26" s="202" t="s">
        <v>989</v>
      </c>
      <c r="C26" s="202" t="s">
        <v>990</v>
      </c>
      <c r="D26" s="202" t="s">
        <v>991</v>
      </c>
      <c r="E26" s="202" t="s">
        <v>999</v>
      </c>
      <c r="F26" s="202" t="s">
        <v>992</v>
      </c>
      <c r="G26" s="4" t="s">
        <v>993</v>
      </c>
      <c r="H26" s="202" t="s">
        <v>994</v>
      </c>
      <c r="I26" s="202" t="s">
        <v>995</v>
      </c>
    </row>
    <row r="27" ht="14.25" customHeight="1">
      <c r="A27" s="204"/>
      <c r="B27" s="92" t="str">
        <f>IF($A27=0,"",VLOOKUP($A27,'00_MO'!$A$4:$D$7,2,FALSE))</f>
        <v/>
      </c>
      <c r="C27" s="92" t="str">
        <f>IF($A27=0,"",VLOOKUP($A27,'00_MO'!$A$4:$D$7,3,FALSE))</f>
        <v/>
      </c>
      <c r="D27" s="204"/>
      <c r="E27" s="204"/>
      <c r="F27" s="206"/>
      <c r="G27" s="217">
        <f t="shared" ref="G27:G32" si="4">ROUNDUP(((D27*E27)*(1+F27)),0)</f>
        <v>0</v>
      </c>
      <c r="H27" s="143" t="str">
        <f>IF($A27=0,"",VLOOKUP($A27,'00_MO'!$A$4:$D$7,4,FALSE))</f>
        <v/>
      </c>
      <c r="I27" s="143"/>
    </row>
    <row r="28" ht="14.25" customHeight="1">
      <c r="A28" s="204"/>
      <c r="B28" s="92" t="str">
        <f>IF($A28=0,"",VLOOKUP($A28,'00_MO'!$A$4:$D$7,2,FALSE))</f>
        <v/>
      </c>
      <c r="C28" s="92" t="str">
        <f>IF($A28=0,"",VLOOKUP($A28,'00_MO'!$A$4:$D$7,3,FALSE))</f>
        <v/>
      </c>
      <c r="D28" s="204"/>
      <c r="E28" s="204"/>
      <c r="F28" s="206"/>
      <c r="G28" s="217">
        <f t="shared" si="4"/>
        <v>0</v>
      </c>
      <c r="H28" s="143" t="str">
        <f>IF($A28=0,"",VLOOKUP($A28,'00_MO'!$A$4:$D$7,4,FALSE))</f>
        <v/>
      </c>
      <c r="I28" s="143"/>
    </row>
    <row r="29" ht="14.25" customHeight="1">
      <c r="A29" s="204"/>
      <c r="B29" s="92" t="str">
        <f>IF($A29=0,"",VLOOKUP($A29,'00_MO'!$A$4:$D$7,2,FALSE))</f>
        <v/>
      </c>
      <c r="C29" s="92" t="str">
        <f>IF($A29=0,"",VLOOKUP($A29,'00_MO'!$A$4:$D$7,3,FALSE))</f>
        <v/>
      </c>
      <c r="D29" s="204"/>
      <c r="E29" s="204"/>
      <c r="F29" s="206"/>
      <c r="G29" s="217">
        <f t="shared" si="4"/>
        <v>0</v>
      </c>
      <c r="H29" s="143" t="str">
        <f>IF($A29=0,"",VLOOKUP($A29,'00_MO'!$A$4:$D$7,4,FALSE))</f>
        <v/>
      </c>
      <c r="I29" s="143"/>
    </row>
    <row r="30" ht="14.25" customHeight="1">
      <c r="A30" s="204"/>
      <c r="B30" s="92" t="str">
        <f>IF($A30=0,"",VLOOKUP($A30,'00_MO'!$A$4:$D$7,2,FALSE))</f>
        <v/>
      </c>
      <c r="C30" s="92" t="str">
        <f>IF($A30=0,"",VLOOKUP($A30,'00_MO'!$A$4:$D$7,3,FALSE))</f>
        <v/>
      </c>
      <c r="D30" s="204"/>
      <c r="E30" s="204"/>
      <c r="F30" s="206"/>
      <c r="G30" s="217">
        <f t="shared" si="4"/>
        <v>0</v>
      </c>
      <c r="H30" s="143" t="str">
        <f>IF($A30=0,"",VLOOKUP($A30,'00_MO'!$A$4:$D$7,4,FALSE))</f>
        <v/>
      </c>
      <c r="I30" s="143"/>
    </row>
    <row r="31" ht="14.25" customHeight="1">
      <c r="A31" s="204"/>
      <c r="B31" s="92" t="str">
        <f>IF($A31=0,"",VLOOKUP($A31,'00_MO'!$A$4:$D$7,2,FALSE))</f>
        <v/>
      </c>
      <c r="C31" s="92" t="str">
        <f>IF($A31=0,"",VLOOKUP($A31,'00_MO'!$A$4:$D$7,3,FALSE))</f>
        <v/>
      </c>
      <c r="D31" s="204"/>
      <c r="E31" s="204"/>
      <c r="F31" s="206"/>
      <c r="G31" s="217">
        <f t="shared" si="4"/>
        <v>0</v>
      </c>
      <c r="H31" s="143" t="str">
        <f>IF($A31=0,"",VLOOKUP($A31,'00_MO'!$A$4:$D$7,4,FALSE))</f>
        <v/>
      </c>
      <c r="I31" s="143"/>
    </row>
    <row r="32" ht="14.25" customHeight="1">
      <c r="A32" s="204"/>
      <c r="B32" s="92" t="str">
        <f>IF($A32=0,"",VLOOKUP($A32,'00_MO'!$A$4:$D$7,2,FALSE))</f>
        <v/>
      </c>
      <c r="C32" s="92" t="str">
        <f>IF($A32=0,"",VLOOKUP($A32,'00_MO'!$A$4:$D$7,3,FALSE))</f>
        <v/>
      </c>
      <c r="D32" s="204"/>
      <c r="E32" s="204"/>
      <c r="F32" s="206"/>
      <c r="G32" s="217">
        <f t="shared" si="4"/>
        <v>0</v>
      </c>
      <c r="H32" s="143" t="str">
        <f>IF($A32=0,"",VLOOKUP($A32,'00_MO'!$A$4:$D$7,4,FALSE))</f>
        <v/>
      </c>
      <c r="I32" s="143"/>
    </row>
    <row r="33" ht="14.25" customHeight="1">
      <c r="F33" s="208"/>
      <c r="G33" s="3"/>
      <c r="H33" s="143"/>
      <c r="I33" s="143"/>
    </row>
    <row r="34" ht="14.25" customHeight="1">
      <c r="A34" s="222" t="s">
        <v>987</v>
      </c>
      <c r="B34" s="223"/>
      <c r="C34" s="223"/>
      <c r="D34" s="223"/>
      <c r="E34" s="223"/>
      <c r="F34" s="223"/>
      <c r="G34" s="211"/>
      <c r="H34" s="223"/>
      <c r="I34" s="224">
        <f>SUM(I27:I32)</f>
        <v>0</v>
      </c>
    </row>
    <row r="35" ht="14.25" customHeight="1">
      <c r="A35" s="232" t="str">
        <f>$I$3</f>
        <v>m²</v>
      </c>
      <c r="B35" s="233"/>
      <c r="C35" s="233"/>
      <c r="D35" s="233"/>
      <c r="E35" s="233"/>
      <c r="F35" s="233"/>
      <c r="G35" s="21"/>
      <c r="H35" s="233"/>
      <c r="I35" s="205">
        <f>$H$3</f>
        <v>120</v>
      </c>
      <c r="J35" s="92"/>
      <c r="K35" s="92"/>
      <c r="L35" s="92"/>
    </row>
    <row r="36" ht="14.25" customHeight="1">
      <c r="A36" s="234" t="s">
        <v>997</v>
      </c>
      <c r="B36" s="232" t="str">
        <f>A35</f>
        <v>m²</v>
      </c>
      <c r="C36" s="233"/>
      <c r="D36" s="233"/>
      <c r="E36" s="233"/>
      <c r="F36" s="233"/>
      <c r="G36" s="21"/>
      <c r="H36" s="233"/>
      <c r="I36" s="235">
        <f>I34/I35</f>
        <v>0</v>
      </c>
      <c r="J36" s="92"/>
      <c r="K36" s="92"/>
      <c r="L36" s="92"/>
    </row>
    <row r="37" ht="14.25" customHeight="1">
      <c r="G37" s="3"/>
    </row>
    <row r="38" ht="14.25" customHeight="1">
      <c r="G38" s="3"/>
    </row>
    <row r="39" ht="14.25" customHeight="1">
      <c r="A39" s="201" t="s">
        <v>1000</v>
      </c>
      <c r="B39" s="94"/>
      <c r="C39" s="94"/>
      <c r="D39" s="94"/>
      <c r="E39" s="94"/>
      <c r="F39" s="94"/>
      <c r="G39" s="2"/>
      <c r="H39" s="94"/>
      <c r="I39" s="94"/>
    </row>
    <row r="40" ht="14.25" customHeight="1">
      <c r="A40" s="202" t="s">
        <v>988</v>
      </c>
      <c r="B40" s="202" t="s">
        <v>989</v>
      </c>
      <c r="C40" s="202" t="s">
        <v>990</v>
      </c>
      <c r="D40" s="202" t="s">
        <v>991</v>
      </c>
      <c r="E40" s="202" t="s">
        <v>999</v>
      </c>
      <c r="F40" s="202" t="s">
        <v>992</v>
      </c>
      <c r="G40" s="4" t="s">
        <v>993</v>
      </c>
      <c r="H40" s="202" t="s">
        <v>994</v>
      </c>
      <c r="I40" s="202" t="s">
        <v>995</v>
      </c>
    </row>
    <row r="41" ht="14.25" customHeight="1">
      <c r="A41" s="204"/>
      <c r="B41" s="92" t="str">
        <f>IF($A41=0,"",VLOOKUP($A41,'00_Eq'!$A$4:$D$100,2,FALSE))</f>
        <v/>
      </c>
      <c r="C41" s="92" t="str">
        <f>IF($A41=0,"",VLOOKUP($A41,'00_Eq'!$A$4:$D$100,3,FALSE))</f>
        <v/>
      </c>
      <c r="D41" s="204"/>
      <c r="E41" s="204"/>
      <c r="F41" s="206"/>
      <c r="G41" s="217">
        <f t="shared" ref="G41:G46" si="5">ROUNDUP(((D41*E41)*(1+F41)),0)</f>
        <v>0</v>
      </c>
      <c r="H41" s="143" t="str">
        <f>IF($A41=0,"",VLOOKUP($A41,'00_Eq'!$A$4:$D$100,4,FALSE))</f>
        <v/>
      </c>
      <c r="I41" s="143"/>
    </row>
    <row r="42" ht="14.25" customHeight="1">
      <c r="A42" s="204"/>
      <c r="B42" s="92" t="str">
        <f>IF($A42=0,"",VLOOKUP($A42,'00_Eq'!$A$4:$D$100,2,FALSE))</f>
        <v/>
      </c>
      <c r="C42" s="92" t="str">
        <f>IF($A42=0,"",VLOOKUP($A42,'00_Eq'!$A$4:$D$100,3,FALSE))</f>
        <v/>
      </c>
      <c r="D42" s="204"/>
      <c r="E42" s="204"/>
      <c r="F42" s="206"/>
      <c r="G42" s="217">
        <f t="shared" si="5"/>
        <v>0</v>
      </c>
      <c r="H42" s="143" t="str">
        <f>IF($A42=0,"",VLOOKUP($A42,'00_Eq'!$A$4:$D$100,4,FALSE))</f>
        <v/>
      </c>
      <c r="I42" s="143"/>
    </row>
    <row r="43" ht="14.25" customHeight="1">
      <c r="A43" s="204"/>
      <c r="B43" s="92" t="str">
        <f>IF($A43=0,"",VLOOKUP($A43,'00_Eq'!$A$4:$D$100,2,FALSE))</f>
        <v/>
      </c>
      <c r="C43" s="92" t="str">
        <f>IF($A43=0,"",VLOOKUP($A43,'00_Eq'!$A$4:$D$100,3,FALSE))</f>
        <v/>
      </c>
      <c r="D43" s="204"/>
      <c r="E43" s="204"/>
      <c r="F43" s="206"/>
      <c r="G43" s="217">
        <f t="shared" si="5"/>
        <v>0</v>
      </c>
      <c r="H43" s="143" t="str">
        <f>IF($A43=0,"",VLOOKUP($A43,'00_Eq'!$A$4:$D$100,4,FALSE))</f>
        <v/>
      </c>
      <c r="I43" s="143"/>
    </row>
    <row r="44" ht="14.25" customHeight="1">
      <c r="A44" s="204"/>
      <c r="B44" s="92" t="str">
        <f>IF($A44=0,"",VLOOKUP($A44,'00_Eq'!$A$4:$D$100,2,FALSE))</f>
        <v/>
      </c>
      <c r="C44" s="92" t="str">
        <f>IF($A44=0,"",VLOOKUP($A44,'00_Eq'!$A$4:$D$100,3,FALSE))</f>
        <v/>
      </c>
      <c r="D44" s="204"/>
      <c r="E44" s="204"/>
      <c r="F44" s="206"/>
      <c r="G44" s="217">
        <f t="shared" si="5"/>
        <v>0</v>
      </c>
      <c r="H44" s="143" t="str">
        <f>IF($A44=0,"",VLOOKUP($A44,'00_Eq'!$A$4:$D$100,4,FALSE))</f>
        <v/>
      </c>
      <c r="I44" s="143"/>
    </row>
    <row r="45" ht="14.25" customHeight="1">
      <c r="A45" s="204"/>
      <c r="B45" s="92" t="str">
        <f>IF($A45=0,"",VLOOKUP($A45,'00_Eq'!$A$4:$D$100,2,FALSE))</f>
        <v/>
      </c>
      <c r="C45" s="92" t="str">
        <f>IF($A45=0,"",VLOOKUP($A45,'00_Eq'!$A$4:$D$100,3,FALSE))</f>
        <v/>
      </c>
      <c r="D45" s="204"/>
      <c r="E45" s="204"/>
      <c r="F45" s="206"/>
      <c r="G45" s="217">
        <f t="shared" si="5"/>
        <v>0</v>
      </c>
      <c r="H45" s="143" t="str">
        <f>IF($A45=0,"",VLOOKUP($A45,'00_Eq'!$A$4:$D$100,4,FALSE))</f>
        <v/>
      </c>
      <c r="I45" s="143"/>
    </row>
    <row r="46" ht="14.25" customHeight="1">
      <c r="A46" s="204"/>
      <c r="B46" s="92" t="str">
        <f>IF($A46=0,"",VLOOKUP($A46,'00_Eq'!$A$4:$D$100,2,FALSE))</f>
        <v/>
      </c>
      <c r="C46" s="92" t="str">
        <f>IF($A46=0,"",VLOOKUP($A46,'00_Eq'!$A$4:$D$100,3,FALSE))</f>
        <v/>
      </c>
      <c r="D46" s="204"/>
      <c r="E46" s="204"/>
      <c r="F46" s="206"/>
      <c r="G46" s="217">
        <f t="shared" si="5"/>
        <v>0</v>
      </c>
      <c r="H46" s="143" t="str">
        <f>IF($A46=0,"",VLOOKUP($A46,'00_Eq'!$A$4:$D$100,4,FALSE))</f>
        <v/>
      </c>
      <c r="I46" s="143"/>
    </row>
    <row r="47" ht="14.25" customHeight="1">
      <c r="F47" s="208"/>
      <c r="G47" s="3"/>
      <c r="H47" s="143"/>
      <c r="I47" s="143"/>
    </row>
    <row r="48" ht="14.25" customHeight="1">
      <c r="A48" s="222" t="s">
        <v>987</v>
      </c>
      <c r="B48" s="223"/>
      <c r="C48" s="223"/>
      <c r="D48" s="223"/>
      <c r="E48" s="223"/>
      <c r="F48" s="223"/>
      <c r="G48" s="211"/>
      <c r="H48" s="223"/>
      <c r="I48" s="224">
        <f>SUM(I41:I46)</f>
        <v>0</v>
      </c>
    </row>
    <row r="49" ht="14.25" customHeight="1">
      <c r="A49" s="232" t="str">
        <f>$I$3</f>
        <v>m²</v>
      </c>
      <c r="B49" s="233"/>
      <c r="C49" s="233"/>
      <c r="D49" s="233"/>
      <c r="E49" s="233"/>
      <c r="F49" s="233"/>
      <c r="G49" s="21"/>
      <c r="H49" s="233"/>
      <c r="I49" s="205">
        <f>$H$3</f>
        <v>120</v>
      </c>
      <c r="J49" s="92"/>
      <c r="K49" s="92"/>
      <c r="L49" s="92"/>
    </row>
    <row r="50" ht="14.25" customHeight="1">
      <c r="A50" s="234" t="s">
        <v>997</v>
      </c>
      <c r="B50" s="232" t="str">
        <f>A49</f>
        <v>m²</v>
      </c>
      <c r="C50" s="233"/>
      <c r="D50" s="233"/>
      <c r="E50" s="233"/>
      <c r="F50" s="233"/>
      <c r="G50" s="21"/>
      <c r="H50" s="233"/>
      <c r="I50" s="235">
        <f>I48/I49</f>
        <v>0</v>
      </c>
      <c r="J50" s="92"/>
      <c r="K50" s="92"/>
      <c r="L50" s="92"/>
    </row>
    <row r="51" ht="14.25" customHeight="1">
      <c r="G51" s="3"/>
    </row>
    <row r="52" ht="14.25" customHeight="1">
      <c r="G52" s="3"/>
    </row>
    <row r="53" ht="14.25" customHeight="1">
      <c r="A53" s="201" t="s">
        <v>1010</v>
      </c>
      <c r="B53" s="94"/>
      <c r="C53" s="94"/>
      <c r="D53" s="94"/>
      <c r="E53" s="94"/>
      <c r="F53" s="94"/>
      <c r="G53" s="2"/>
      <c r="H53" s="94"/>
      <c r="I53" s="94"/>
    </row>
    <row r="54" ht="14.25" customHeight="1">
      <c r="A54" s="202" t="s">
        <v>988</v>
      </c>
      <c r="B54" s="202" t="s">
        <v>989</v>
      </c>
      <c r="C54" s="202" t="s">
        <v>990</v>
      </c>
      <c r="D54" s="202" t="s">
        <v>991</v>
      </c>
      <c r="E54" s="202"/>
      <c r="F54" s="202" t="s">
        <v>992</v>
      </c>
      <c r="G54" s="4" t="s">
        <v>993</v>
      </c>
      <c r="H54" s="202" t="s">
        <v>994</v>
      </c>
      <c r="I54" s="202" t="s">
        <v>995</v>
      </c>
    </row>
    <row r="55" ht="14.25" customHeight="1">
      <c r="A55" s="204"/>
      <c r="B55" s="92" t="str">
        <f>IF($A55=0,"",VLOOKUP($A55,'00_Mat'!$A$4:$J$1135,2,FALSE))</f>
        <v/>
      </c>
      <c r="C55" s="92" t="str">
        <f>IF($A55=0,"",VLOOKUP($A55,'00_Mat'!$A$4:$J$1135,3,FALSE))</f>
        <v/>
      </c>
      <c r="D55" s="205"/>
      <c r="E55" s="204"/>
      <c r="F55" s="206"/>
      <c r="G55" s="221">
        <f t="shared" ref="G55:G60" si="6">ROUNDUP((D55+(D55*F55)),0)</f>
        <v>0</v>
      </c>
      <c r="H55" s="143" t="str">
        <f>IF($A55=0,"",VLOOKUP($A55,'00_Mat'!$A$4:$J$1135,5,FALSE))</f>
        <v/>
      </c>
      <c r="I55" s="143">
        <f>G55*H55</f>
        <v>0</v>
      </c>
    </row>
    <row r="56" ht="14.25" customHeight="1">
      <c r="A56" s="204"/>
      <c r="B56" s="92" t="str">
        <f>IF($A56=0,"",VLOOKUP($A56,'00_Mat'!$A$4:$J$1135,2,FALSE))</f>
        <v/>
      </c>
      <c r="C56" s="92" t="str">
        <f>IF($A56=0,"",VLOOKUP($A56,'00_Mat'!$A$4:$J$1135,3,FALSE))</f>
        <v/>
      </c>
      <c r="D56" s="205"/>
      <c r="E56" s="204"/>
      <c r="F56" s="206"/>
      <c r="G56" s="221">
        <f t="shared" si="6"/>
        <v>0</v>
      </c>
      <c r="H56" s="143" t="str">
        <f>IF($A56=0,"",VLOOKUP($A56,'00_Mat'!$A$4:$J$1135,5,FALSE))</f>
        <v/>
      </c>
      <c r="I56" s="143"/>
    </row>
    <row r="57" ht="14.25" customHeight="1">
      <c r="A57" s="204"/>
      <c r="B57" s="92" t="str">
        <f>IF($A57=0,"",VLOOKUP($A57,'00_Mat'!$A$4:$J$1135,2,FALSE))</f>
        <v/>
      </c>
      <c r="C57" s="92" t="str">
        <f>IF($A57=0,"",VLOOKUP($A57,'00_Mat'!$A$4:$J$1135,3,FALSE))</f>
        <v/>
      </c>
      <c r="D57" s="205"/>
      <c r="E57" s="204"/>
      <c r="F57" s="206"/>
      <c r="G57" s="221">
        <f t="shared" si="6"/>
        <v>0</v>
      </c>
      <c r="H57" s="143" t="str">
        <f>IF($A57=0,"",VLOOKUP($A57,'00_Mat'!$A$4:$J$1135,5,FALSE))</f>
        <v/>
      </c>
      <c r="I57" s="143"/>
    </row>
    <row r="58" ht="14.25" customHeight="1">
      <c r="A58" s="204"/>
      <c r="B58" s="92" t="str">
        <f>IF($A58=0,"",VLOOKUP($A58,'00_Mat'!$A$4:$J$1135,2,FALSE))</f>
        <v/>
      </c>
      <c r="C58" s="92" t="str">
        <f>IF($A58=0,"",VLOOKUP($A58,'00_Mat'!$A$4:$J$1135,3,FALSE))</f>
        <v/>
      </c>
      <c r="D58" s="205"/>
      <c r="E58" s="204"/>
      <c r="F58" s="206"/>
      <c r="G58" s="221">
        <f t="shared" si="6"/>
        <v>0</v>
      </c>
      <c r="H58" s="143" t="str">
        <f>IF($A58=0,"",VLOOKUP($A58,'00_Mat'!$A$4:$J$1135,5,FALSE))</f>
        <v/>
      </c>
      <c r="I58" s="143"/>
    </row>
    <row r="59" ht="14.25" customHeight="1">
      <c r="A59" s="204"/>
      <c r="B59" s="92" t="str">
        <f>IF($A59=0,"",VLOOKUP($A59,'00_Mat'!$A$4:$J$1135,2,FALSE))</f>
        <v/>
      </c>
      <c r="C59" s="92" t="str">
        <f>IF($A59=0,"",VLOOKUP($A59,'00_Mat'!$A$4:$J$1135,3,FALSE))</f>
        <v/>
      </c>
      <c r="D59" s="205"/>
      <c r="E59" s="204"/>
      <c r="F59" s="206"/>
      <c r="G59" s="221">
        <f t="shared" si="6"/>
        <v>0</v>
      </c>
      <c r="H59" s="143" t="str">
        <f>IF($A59=0,"",VLOOKUP($A59,'00_Mat'!$A$4:$J$1135,5,FALSE))</f>
        <v/>
      </c>
      <c r="I59" s="143"/>
    </row>
    <row r="60" ht="14.25" customHeight="1">
      <c r="A60" s="204"/>
      <c r="B60" s="92" t="str">
        <f>IF($A60=0,"",VLOOKUP($A60,'00_Mat'!$A$4:$J$1135,2,FALSE))</f>
        <v/>
      </c>
      <c r="C60" s="92" t="str">
        <f>IF($A60=0,"",VLOOKUP($A60,'00_Mat'!$A$4:$J$1135,3,FALSE))</f>
        <v/>
      </c>
      <c r="D60" s="205"/>
      <c r="E60" s="204"/>
      <c r="F60" s="206"/>
      <c r="G60" s="221">
        <f t="shared" si="6"/>
        <v>0</v>
      </c>
      <c r="H60" s="143" t="str">
        <f>IF($A60=0,"",VLOOKUP($A60,'00_Mat'!$A$4:$J$1135,5,FALSE))</f>
        <v/>
      </c>
      <c r="I60" s="143"/>
    </row>
    <row r="61" ht="14.25" customHeight="1">
      <c r="F61" s="208"/>
      <c r="G61" s="3"/>
      <c r="H61" s="143"/>
      <c r="I61" s="143"/>
    </row>
    <row r="62" ht="14.25" customHeight="1">
      <c r="A62" s="222" t="s">
        <v>987</v>
      </c>
      <c r="B62" s="223"/>
      <c r="C62" s="223"/>
      <c r="D62" s="223"/>
      <c r="E62" s="223"/>
      <c r="F62" s="223"/>
      <c r="G62" s="211"/>
      <c r="H62" s="223"/>
      <c r="I62" s="224">
        <f>SUM(I55:I60)</f>
        <v>0</v>
      </c>
    </row>
    <row r="63" ht="14.25" customHeight="1">
      <c r="A63" s="232" t="str">
        <f>$I$3</f>
        <v>m²</v>
      </c>
      <c r="B63" s="233"/>
      <c r="C63" s="233"/>
      <c r="D63" s="233"/>
      <c r="E63" s="233"/>
      <c r="F63" s="233"/>
      <c r="G63" s="21"/>
      <c r="H63" s="233"/>
      <c r="I63" s="205">
        <f>$H$3</f>
        <v>120</v>
      </c>
      <c r="J63" s="92"/>
      <c r="K63" s="92"/>
      <c r="L63" s="92"/>
    </row>
    <row r="64" ht="14.25" customHeight="1">
      <c r="A64" s="234" t="s">
        <v>997</v>
      </c>
      <c r="B64" s="232" t="str">
        <f>A63</f>
        <v>m²</v>
      </c>
      <c r="C64" s="233"/>
      <c r="D64" s="233"/>
      <c r="E64" s="233"/>
      <c r="F64" s="233"/>
      <c r="G64" s="21"/>
      <c r="H64" s="233"/>
      <c r="I64" s="235">
        <f>I62/I63</f>
        <v>0</v>
      </c>
      <c r="J64" s="92"/>
      <c r="K64" s="92"/>
      <c r="L64" s="92"/>
    </row>
    <row r="65" ht="14.25" customHeight="1">
      <c r="G65" s="3"/>
    </row>
    <row r="66" ht="14.25" customHeight="1">
      <c r="G66" s="3"/>
    </row>
    <row r="67" ht="14.25" customHeight="1">
      <c r="A67" s="201" t="s">
        <v>1025</v>
      </c>
      <c r="B67" s="94"/>
      <c r="C67" s="94"/>
      <c r="D67" s="94"/>
      <c r="E67" s="94"/>
      <c r="F67" s="94"/>
      <c r="G67" s="2"/>
      <c r="H67" s="94"/>
      <c r="I67" s="94"/>
    </row>
    <row r="68" ht="14.25" customHeight="1">
      <c r="A68" s="202" t="s">
        <v>988</v>
      </c>
      <c r="B68" s="202" t="s">
        <v>989</v>
      </c>
      <c r="C68" s="202" t="s">
        <v>990</v>
      </c>
      <c r="D68" s="202" t="s">
        <v>991</v>
      </c>
      <c r="E68" s="202" t="s">
        <v>999</v>
      </c>
      <c r="F68" s="202" t="s">
        <v>992</v>
      </c>
      <c r="G68" s="4" t="s">
        <v>993</v>
      </c>
      <c r="H68" s="202" t="s">
        <v>994</v>
      </c>
      <c r="I68" s="202" t="s">
        <v>995</v>
      </c>
    </row>
    <row r="69" ht="14.25" customHeight="1">
      <c r="A69" s="20" t="s">
        <v>814</v>
      </c>
      <c r="B69" s="92" t="str">
        <f>IF($A69=0,"",VLOOKUP($A69,'00_Sub'!$A$4:$D$1007,2,FALSE))</f>
        <v>REVOQUE EXTERIOR CON SILLETA. (con ceresita)</v>
      </c>
      <c r="C69" s="92" t="str">
        <f>IF($A69=0,"",VLOOKUP($A69,'00_Sub'!$A$4:$D$1007,3,FALSE))</f>
        <v>m2</v>
      </c>
      <c r="D69" s="205">
        <f>L6</f>
        <v>120</v>
      </c>
      <c r="E69" s="204"/>
      <c r="F69" s="236">
        <v>0.5</v>
      </c>
      <c r="G69" s="221">
        <f t="shared" ref="G69:G74" si="7">ROUNDUP((D69+(D69*F69)),0)</f>
        <v>180</v>
      </c>
      <c r="H69" s="143">
        <f>IF($A69=0,"",VLOOKUP($A69,'00_Sub'!$A$4:$D$1007,4,FALSE))</f>
        <v>25000</v>
      </c>
      <c r="I69" s="143">
        <f>G69*H69</f>
        <v>4500000</v>
      </c>
      <c r="J69" s="153" t="s">
        <v>1069</v>
      </c>
    </row>
    <row r="70" ht="14.25" customHeight="1">
      <c r="A70" s="204"/>
      <c r="B70" s="92" t="str">
        <f>IF($A70=0,"",VLOOKUP($A70,'00_Sub'!$A$4:$D$1007,2,FALSE))</f>
        <v/>
      </c>
      <c r="C70" s="92" t="str">
        <f>IF($A70=0,"",VLOOKUP($A70,'00_Sub'!$A$4:$D$1007,3,FALSE))</f>
        <v/>
      </c>
      <c r="D70" s="204"/>
      <c r="E70" s="204"/>
      <c r="F70" s="206"/>
      <c r="G70" s="221">
        <f t="shared" si="7"/>
        <v>0</v>
      </c>
      <c r="H70" s="143" t="str">
        <f>IF($A70=0,"",VLOOKUP($A70,'00_Sub'!$A$4:$D$1007,4,FALSE))</f>
        <v/>
      </c>
      <c r="I70" s="143"/>
    </row>
    <row r="71" ht="14.25" customHeight="1">
      <c r="A71" s="204"/>
      <c r="B71" s="92" t="str">
        <f>IF($A71=0,"",VLOOKUP($A71,'00_Sub'!$A$4:$D$1007,2,FALSE))</f>
        <v/>
      </c>
      <c r="C71" s="92" t="str">
        <f>IF($A71=0,"",VLOOKUP($A71,'00_Sub'!$A$4:$D$1007,3,FALSE))</f>
        <v/>
      </c>
      <c r="D71" s="204"/>
      <c r="E71" s="204"/>
      <c r="F71" s="206"/>
      <c r="G71" s="221">
        <f t="shared" si="7"/>
        <v>0</v>
      </c>
      <c r="H71" s="143" t="str">
        <f>IF($A71=0,"",VLOOKUP($A71,'00_Sub'!$A$4:$D$1007,4,FALSE))</f>
        <v/>
      </c>
      <c r="I71" s="143"/>
    </row>
    <row r="72" ht="14.25" customHeight="1">
      <c r="A72" s="204"/>
      <c r="B72" s="92" t="str">
        <f>IF($A72=0,"",VLOOKUP($A72,'00_Sub'!$A$4:$D$1007,2,FALSE))</f>
        <v/>
      </c>
      <c r="C72" s="92" t="str">
        <f>IF($A72=0,"",VLOOKUP($A72,'00_Sub'!$A$4:$D$1007,3,FALSE))</f>
        <v/>
      </c>
      <c r="D72" s="204"/>
      <c r="E72" s="204"/>
      <c r="F72" s="206"/>
      <c r="G72" s="221">
        <f t="shared" si="7"/>
        <v>0</v>
      </c>
      <c r="H72" s="143" t="str">
        <f>IF($A72=0,"",VLOOKUP($A72,'00_Sub'!$A$4:$D$1007,4,FALSE))</f>
        <v/>
      </c>
      <c r="I72" s="143"/>
    </row>
    <row r="73" ht="14.25" customHeight="1">
      <c r="A73" s="204"/>
      <c r="B73" s="92" t="str">
        <f>IF($A73=0,"",VLOOKUP($A73,'00_Sub'!$A$4:$D$1007,2,FALSE))</f>
        <v/>
      </c>
      <c r="C73" s="92" t="str">
        <f>IF($A73=0,"",VLOOKUP($A73,'00_Sub'!$A$4:$D$1007,3,FALSE))</f>
        <v/>
      </c>
      <c r="D73" s="204"/>
      <c r="E73" s="204"/>
      <c r="F73" s="206"/>
      <c r="G73" s="221">
        <f t="shared" si="7"/>
        <v>0</v>
      </c>
      <c r="H73" s="143" t="str">
        <f>IF($A73=0,"",VLOOKUP($A73,'00_Sub'!$A$4:$D$1007,4,FALSE))</f>
        <v/>
      </c>
      <c r="I73" s="143"/>
    </row>
    <row r="74" ht="14.25" customHeight="1">
      <c r="A74" s="204"/>
      <c r="B74" s="92" t="str">
        <f>IF($A74=0,"",VLOOKUP($A74,'00_Sub'!$A$4:$D$1007,2,FALSE))</f>
        <v/>
      </c>
      <c r="C74" s="92" t="str">
        <f>IF($A74=0,"",VLOOKUP($A74,'00_Sub'!$A$4:$D$1007,3,FALSE))</f>
        <v/>
      </c>
      <c r="D74" s="204"/>
      <c r="E74" s="204"/>
      <c r="F74" s="206"/>
      <c r="G74" s="221">
        <f t="shared" si="7"/>
        <v>0</v>
      </c>
      <c r="H74" s="143" t="str">
        <f>IF($A74=0,"",VLOOKUP($A74,'00_Sub'!$A$4:$D$1007,4,FALSE))</f>
        <v/>
      </c>
      <c r="I74" s="143"/>
    </row>
    <row r="75" ht="14.25" customHeight="1">
      <c r="F75" s="208"/>
      <c r="G75" s="3"/>
      <c r="H75" s="143"/>
      <c r="I75" s="143"/>
    </row>
    <row r="76" ht="14.25" customHeight="1">
      <c r="A76" s="222" t="s">
        <v>987</v>
      </c>
      <c r="B76" s="223"/>
      <c r="C76" s="223"/>
      <c r="D76" s="223"/>
      <c r="E76" s="223"/>
      <c r="F76" s="223"/>
      <c r="G76" s="211"/>
      <c r="H76" s="223"/>
      <c r="I76" s="224">
        <f>SUM(I69:I74)</f>
        <v>4500000</v>
      </c>
    </row>
    <row r="77" ht="14.25" customHeight="1">
      <c r="A77" s="232" t="str">
        <f>$I$3</f>
        <v>m²</v>
      </c>
      <c r="B77" s="233"/>
      <c r="C77" s="233"/>
      <c r="D77" s="233"/>
      <c r="E77" s="233"/>
      <c r="F77" s="233"/>
      <c r="G77" s="21"/>
      <c r="H77" s="233"/>
      <c r="I77" s="205">
        <f>$H$3</f>
        <v>120</v>
      </c>
      <c r="J77" s="92"/>
      <c r="K77" s="92"/>
      <c r="L77" s="92"/>
    </row>
    <row r="78" ht="14.25" customHeight="1">
      <c r="A78" s="234" t="s">
        <v>997</v>
      </c>
      <c r="B78" s="232" t="str">
        <f>A77</f>
        <v>m²</v>
      </c>
      <c r="C78" s="233"/>
      <c r="D78" s="233"/>
      <c r="E78" s="233"/>
      <c r="F78" s="233"/>
      <c r="G78" s="21"/>
      <c r="H78" s="233"/>
      <c r="I78" s="235">
        <f>I76/I77</f>
        <v>37500</v>
      </c>
      <c r="J78" s="92"/>
      <c r="K78" s="92"/>
      <c r="L78" s="92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5.75" customHeight="1">
      <c r="G279" s="3"/>
    </row>
    <row r="280" ht="15.75" customHeight="1">
      <c r="G280" s="3"/>
    </row>
    <row r="281" ht="15.75" customHeight="1">
      <c r="G281" s="3"/>
    </row>
    <row r="282" ht="15.75" customHeight="1">
      <c r="G282" s="3"/>
    </row>
    <row r="283" ht="15.75" customHeight="1">
      <c r="G283" s="3"/>
    </row>
    <row r="284" ht="15.75" customHeight="1">
      <c r="G284" s="3"/>
    </row>
    <row r="285" ht="15.75" customHeight="1">
      <c r="G285" s="3"/>
    </row>
    <row r="286" ht="15.75" customHeight="1">
      <c r="G286" s="3"/>
    </row>
    <row r="287" ht="15.75" customHeight="1">
      <c r="G287" s="3"/>
    </row>
    <row r="288" ht="15.75" customHeight="1">
      <c r="G288" s="3"/>
    </row>
    <row r="289" ht="15.75" customHeight="1">
      <c r="G289" s="3"/>
    </row>
    <row r="290" ht="15.75" customHeight="1">
      <c r="G290" s="3"/>
    </row>
    <row r="291" ht="15.75" customHeight="1">
      <c r="G291" s="3"/>
    </row>
    <row r="292" ht="15.75" customHeight="1">
      <c r="G292" s="3"/>
    </row>
    <row r="293" ht="15.75" customHeight="1">
      <c r="G293" s="3"/>
    </row>
    <row r="294" ht="15.75" customHeight="1">
      <c r="G294" s="3"/>
    </row>
    <row r="295" ht="15.75" customHeight="1">
      <c r="G295" s="3"/>
    </row>
    <row r="296" ht="15.75" customHeight="1">
      <c r="G296" s="3"/>
    </row>
    <row r="297" ht="15.75" customHeight="1">
      <c r="G297" s="3"/>
    </row>
    <row r="298" ht="15.75" customHeight="1">
      <c r="G298" s="3"/>
    </row>
    <row r="299" ht="15.75" customHeight="1">
      <c r="G299" s="3"/>
    </row>
    <row r="300" ht="15.75" customHeight="1">
      <c r="G300" s="3"/>
    </row>
    <row r="301" ht="15.75" customHeight="1">
      <c r="G301" s="3"/>
    </row>
    <row r="302" ht="15.75" customHeight="1">
      <c r="G302" s="3"/>
    </row>
    <row r="303" ht="15.75" customHeight="1">
      <c r="G303" s="3"/>
    </row>
    <row r="304" ht="15.75" customHeight="1">
      <c r="G304" s="3"/>
    </row>
    <row r="305" ht="15.75" customHeight="1">
      <c r="G305" s="3"/>
    </row>
    <row r="306" ht="15.75" customHeight="1">
      <c r="G306" s="3"/>
    </row>
    <row r="307" ht="15.75" customHeight="1">
      <c r="G307" s="3"/>
    </row>
    <row r="308" ht="15.75" customHeight="1">
      <c r="G308" s="3"/>
    </row>
    <row r="309" ht="15.75" customHeight="1">
      <c r="G309" s="3"/>
    </row>
    <row r="310" ht="15.75" customHeight="1">
      <c r="G310" s="3"/>
    </row>
    <row r="311" ht="15.75" customHeight="1">
      <c r="G311" s="3"/>
    </row>
    <row r="312" ht="15.75" customHeight="1">
      <c r="G312" s="3"/>
    </row>
    <row r="313" ht="15.75" customHeight="1">
      <c r="G313" s="3"/>
    </row>
    <row r="314" ht="15.75" customHeight="1">
      <c r="G314" s="3"/>
    </row>
    <row r="315" ht="15.75" customHeight="1">
      <c r="G315" s="3"/>
    </row>
    <row r="316" ht="15.75" customHeight="1">
      <c r="G316" s="3"/>
    </row>
    <row r="317" ht="15.75" customHeight="1">
      <c r="G317" s="3"/>
    </row>
    <row r="318" ht="15.75" customHeight="1">
      <c r="G318" s="3"/>
    </row>
    <row r="319" ht="15.75" customHeight="1">
      <c r="G319" s="3"/>
    </row>
    <row r="320" ht="15.75" customHeight="1">
      <c r="G320" s="3"/>
    </row>
    <row r="321" ht="15.75" customHeight="1">
      <c r="G321" s="3"/>
    </row>
    <row r="322" ht="15.75" customHeight="1">
      <c r="G322" s="3"/>
    </row>
    <row r="323" ht="15.75" customHeight="1">
      <c r="G323" s="3"/>
    </row>
    <row r="324" ht="15.75" customHeight="1">
      <c r="G324" s="3"/>
    </row>
    <row r="325" ht="15.75" customHeight="1">
      <c r="G325" s="3"/>
    </row>
    <row r="326" ht="15.75" customHeight="1">
      <c r="G326" s="3"/>
    </row>
    <row r="327" ht="15.75" customHeight="1">
      <c r="G327" s="3"/>
    </row>
    <row r="328" ht="15.75" customHeight="1">
      <c r="G328" s="3"/>
    </row>
    <row r="329" ht="15.75" customHeight="1">
      <c r="G329" s="3"/>
    </row>
    <row r="330" ht="15.75" customHeight="1">
      <c r="G330" s="3"/>
    </row>
    <row r="331" ht="15.75" customHeight="1">
      <c r="G331" s="3"/>
    </row>
    <row r="332" ht="15.75" customHeight="1">
      <c r="G332" s="3"/>
    </row>
    <row r="333" ht="15.75" customHeight="1">
      <c r="G333" s="3"/>
    </row>
    <row r="334" ht="15.75" customHeight="1">
      <c r="G334" s="3"/>
    </row>
    <row r="335" ht="15.75" customHeight="1">
      <c r="G335" s="3"/>
    </row>
    <row r="336" ht="15.75" customHeight="1">
      <c r="G336" s="3"/>
    </row>
    <row r="337" ht="15.75" customHeight="1">
      <c r="G337" s="3"/>
    </row>
    <row r="338" ht="15.75" customHeight="1">
      <c r="G338" s="3"/>
    </row>
    <row r="339" ht="15.75" customHeight="1">
      <c r="G339" s="3"/>
    </row>
    <row r="340" ht="15.75" customHeight="1">
      <c r="G340" s="3"/>
    </row>
    <row r="341" ht="15.75" customHeight="1">
      <c r="G341" s="3"/>
    </row>
    <row r="342" ht="15.75" customHeight="1">
      <c r="G342" s="3"/>
    </row>
    <row r="343" ht="15.75" customHeight="1">
      <c r="G343" s="3"/>
    </row>
    <row r="344" ht="15.75" customHeight="1">
      <c r="G344" s="3"/>
    </row>
    <row r="345" ht="15.75" customHeight="1">
      <c r="G345" s="3"/>
    </row>
    <row r="346" ht="15.75" customHeight="1">
      <c r="G346" s="3"/>
    </row>
    <row r="347" ht="15.75" customHeight="1">
      <c r="G347" s="3"/>
    </row>
    <row r="348" ht="15.75" customHeight="1">
      <c r="G348" s="3"/>
    </row>
    <row r="349" ht="15.75" customHeight="1">
      <c r="G349" s="3"/>
    </row>
    <row r="350" ht="15.75" customHeight="1">
      <c r="G350" s="3"/>
    </row>
    <row r="351" ht="15.75" customHeight="1">
      <c r="G351" s="3"/>
    </row>
    <row r="352" ht="15.75" customHeight="1">
      <c r="G352" s="3"/>
    </row>
    <row r="353" ht="15.75" customHeight="1">
      <c r="G353" s="3"/>
    </row>
    <row r="354" ht="15.75" customHeight="1">
      <c r="G354" s="3"/>
    </row>
    <row r="355" ht="15.75" customHeight="1">
      <c r="G355" s="3"/>
    </row>
    <row r="356" ht="15.75" customHeight="1">
      <c r="G356" s="3"/>
    </row>
    <row r="357" ht="15.75" customHeight="1">
      <c r="G357" s="3"/>
    </row>
    <row r="358" ht="15.75" customHeight="1">
      <c r="G358" s="3"/>
    </row>
    <row r="359" ht="15.75" customHeight="1">
      <c r="G359" s="3"/>
    </row>
    <row r="360" ht="15.75" customHeight="1">
      <c r="G360" s="3"/>
    </row>
    <row r="361" ht="15.75" customHeight="1">
      <c r="G361" s="3"/>
    </row>
    <row r="362" ht="15.75" customHeight="1">
      <c r="G362" s="3"/>
    </row>
    <row r="363" ht="15.75" customHeight="1">
      <c r="G363" s="3"/>
    </row>
    <row r="364" ht="15.75" customHeight="1">
      <c r="G364" s="3"/>
    </row>
    <row r="365" ht="15.75" customHeight="1">
      <c r="G365" s="3"/>
    </row>
    <row r="366" ht="15.75" customHeight="1">
      <c r="G366" s="3"/>
    </row>
    <row r="367" ht="15.75" customHeight="1">
      <c r="G367" s="3"/>
    </row>
    <row r="368" ht="15.75" customHeight="1">
      <c r="G368" s="3"/>
    </row>
    <row r="369" ht="15.75" customHeight="1">
      <c r="G369" s="3"/>
    </row>
    <row r="370" ht="15.75" customHeight="1">
      <c r="G370" s="3"/>
    </row>
    <row r="371" ht="15.75" customHeight="1">
      <c r="G371" s="3"/>
    </row>
    <row r="372" ht="15.75" customHeight="1">
      <c r="G372" s="3"/>
    </row>
    <row r="373" ht="15.75" customHeight="1">
      <c r="G373" s="3"/>
    </row>
    <row r="374" ht="15.75" customHeight="1">
      <c r="G374" s="3"/>
    </row>
    <row r="375" ht="15.75" customHeight="1">
      <c r="G375" s="3"/>
    </row>
    <row r="376" ht="15.75" customHeight="1">
      <c r="G376" s="3"/>
    </row>
    <row r="377" ht="15.75" customHeight="1">
      <c r="G377" s="3"/>
    </row>
    <row r="378" ht="15.75" customHeight="1">
      <c r="G378" s="3"/>
    </row>
    <row r="379" ht="15.75" customHeight="1">
      <c r="G379" s="3"/>
    </row>
    <row r="380" ht="15.75" customHeight="1">
      <c r="G380" s="3"/>
    </row>
    <row r="381" ht="15.75" customHeight="1">
      <c r="G381" s="3"/>
    </row>
    <row r="382" ht="15.75" customHeight="1">
      <c r="G382" s="3"/>
    </row>
    <row r="383" ht="15.75" customHeight="1">
      <c r="G383" s="3"/>
    </row>
    <row r="384" ht="15.75" customHeight="1">
      <c r="G384" s="3"/>
    </row>
    <row r="385" ht="15.75" customHeight="1">
      <c r="G385" s="3"/>
    </row>
    <row r="386" ht="15.75" customHeight="1">
      <c r="G386" s="3"/>
    </row>
    <row r="387" ht="15.75" customHeight="1">
      <c r="G387" s="3"/>
    </row>
    <row r="388" ht="15.75" customHeight="1">
      <c r="G388" s="3"/>
    </row>
    <row r="389" ht="15.75" customHeight="1">
      <c r="G389" s="3"/>
    </row>
    <row r="390" ht="15.75" customHeight="1">
      <c r="G390" s="3"/>
    </row>
    <row r="391" ht="15.75" customHeight="1">
      <c r="G391" s="3"/>
    </row>
    <row r="392" ht="15.75" customHeight="1">
      <c r="G392" s="3"/>
    </row>
    <row r="393" ht="15.75" customHeight="1">
      <c r="G393" s="3"/>
    </row>
    <row r="394" ht="15.75" customHeight="1">
      <c r="G394" s="3"/>
    </row>
    <row r="395" ht="15.75" customHeight="1">
      <c r="G395" s="3"/>
    </row>
    <row r="396" ht="15.75" customHeight="1">
      <c r="G396" s="3"/>
    </row>
    <row r="397" ht="15.75" customHeight="1">
      <c r="G397" s="3"/>
    </row>
    <row r="398" ht="15.75" customHeight="1">
      <c r="G398" s="3"/>
    </row>
    <row r="399" ht="15.75" customHeight="1">
      <c r="G399" s="3"/>
    </row>
    <row r="400" ht="15.75" customHeight="1">
      <c r="G400" s="3"/>
    </row>
    <row r="401" ht="15.75" customHeight="1">
      <c r="G401" s="3"/>
    </row>
    <row r="402" ht="15.75" customHeight="1">
      <c r="G402" s="3"/>
    </row>
    <row r="403" ht="15.75" customHeight="1">
      <c r="G403" s="3"/>
    </row>
    <row r="404" ht="15.75" customHeight="1">
      <c r="G404" s="3"/>
    </row>
    <row r="405" ht="15.75" customHeight="1">
      <c r="G405" s="3"/>
    </row>
    <row r="406" ht="15.75" customHeight="1">
      <c r="G406" s="3"/>
    </row>
    <row r="407" ht="15.75" customHeight="1">
      <c r="G407" s="3"/>
    </row>
    <row r="408" ht="15.75" customHeight="1">
      <c r="G408" s="3"/>
    </row>
    <row r="409" ht="15.75" customHeight="1">
      <c r="G409" s="3"/>
    </row>
    <row r="410" ht="15.75" customHeight="1">
      <c r="G410" s="3"/>
    </row>
    <row r="411" ht="15.75" customHeight="1">
      <c r="G411" s="3"/>
    </row>
    <row r="412" ht="15.75" customHeight="1">
      <c r="G412" s="3"/>
    </row>
    <row r="413" ht="15.75" customHeight="1">
      <c r="G413" s="3"/>
    </row>
    <row r="414" ht="15.75" customHeight="1">
      <c r="G414" s="3"/>
    </row>
    <row r="415" ht="15.75" customHeight="1">
      <c r="G415" s="3"/>
    </row>
    <row r="416" ht="15.75" customHeight="1">
      <c r="G416" s="3"/>
    </row>
    <row r="417" ht="15.75" customHeight="1">
      <c r="G417" s="3"/>
    </row>
    <row r="418" ht="15.75" customHeight="1">
      <c r="G418" s="3"/>
    </row>
    <row r="419" ht="15.75" customHeight="1">
      <c r="G419" s="3"/>
    </row>
    <row r="420" ht="15.75" customHeight="1">
      <c r="G420" s="3"/>
    </row>
    <row r="421" ht="15.75" customHeight="1">
      <c r="G421" s="3"/>
    </row>
    <row r="422" ht="15.75" customHeight="1">
      <c r="G422" s="3"/>
    </row>
    <row r="423" ht="15.75" customHeight="1">
      <c r="G423" s="3"/>
    </row>
    <row r="424" ht="15.75" customHeight="1">
      <c r="G424" s="3"/>
    </row>
    <row r="425" ht="15.75" customHeight="1">
      <c r="G425" s="3"/>
    </row>
    <row r="426" ht="15.75" customHeight="1">
      <c r="G426" s="3"/>
    </row>
    <row r="427" ht="15.75" customHeight="1">
      <c r="G427" s="3"/>
    </row>
    <row r="428" ht="15.75" customHeight="1">
      <c r="G428" s="3"/>
    </row>
    <row r="429" ht="15.75" customHeight="1">
      <c r="G429" s="3"/>
    </row>
    <row r="430" ht="15.75" customHeight="1">
      <c r="G430" s="3"/>
    </row>
    <row r="431" ht="15.75" customHeight="1">
      <c r="G431" s="3"/>
    </row>
    <row r="432" ht="15.75" customHeight="1">
      <c r="G432" s="3"/>
    </row>
    <row r="433" ht="15.75" customHeight="1">
      <c r="G433" s="3"/>
    </row>
    <row r="434" ht="15.75" customHeight="1">
      <c r="G434" s="3"/>
    </row>
    <row r="435" ht="15.75" customHeight="1">
      <c r="G435" s="3"/>
    </row>
    <row r="436" ht="15.75" customHeight="1">
      <c r="G436" s="3"/>
    </row>
    <row r="437" ht="15.75" customHeight="1">
      <c r="G437" s="3"/>
    </row>
    <row r="438" ht="15.75" customHeight="1">
      <c r="G438" s="3"/>
    </row>
    <row r="439" ht="15.75" customHeight="1">
      <c r="G439" s="3"/>
    </row>
    <row r="440" ht="15.75" customHeight="1">
      <c r="G440" s="3"/>
    </row>
    <row r="441" ht="15.75" customHeight="1">
      <c r="G441" s="3"/>
    </row>
    <row r="442" ht="15.75" customHeight="1">
      <c r="G442" s="3"/>
    </row>
    <row r="443" ht="15.75" customHeight="1">
      <c r="G443" s="3"/>
    </row>
    <row r="444" ht="15.75" customHeight="1">
      <c r="G444" s="3"/>
    </row>
    <row r="445" ht="15.75" customHeight="1">
      <c r="G445" s="3"/>
    </row>
    <row r="446" ht="15.75" customHeight="1">
      <c r="G446" s="3"/>
    </row>
    <row r="447" ht="15.75" customHeight="1">
      <c r="G447" s="3"/>
    </row>
    <row r="448" ht="15.75" customHeight="1">
      <c r="G448" s="3"/>
    </row>
    <row r="449" ht="15.75" customHeight="1">
      <c r="G449" s="3"/>
    </row>
    <row r="450" ht="15.75" customHeight="1">
      <c r="G450" s="3"/>
    </row>
    <row r="451" ht="15.75" customHeight="1">
      <c r="G451" s="3"/>
    </row>
    <row r="452" ht="15.75" customHeight="1">
      <c r="G452" s="3"/>
    </row>
    <row r="453" ht="15.75" customHeight="1">
      <c r="G453" s="3"/>
    </row>
    <row r="454" ht="15.75" customHeight="1">
      <c r="G454" s="3"/>
    </row>
    <row r="455" ht="15.75" customHeight="1">
      <c r="G455" s="3"/>
    </row>
    <row r="456" ht="15.75" customHeight="1">
      <c r="G456" s="3"/>
    </row>
    <row r="457" ht="15.75" customHeight="1">
      <c r="G457" s="3"/>
    </row>
    <row r="458" ht="15.75" customHeight="1">
      <c r="G458" s="3"/>
    </row>
    <row r="459" ht="15.75" customHeight="1">
      <c r="G459" s="3"/>
    </row>
    <row r="460" ht="15.75" customHeight="1">
      <c r="G460" s="3"/>
    </row>
    <row r="461" ht="15.75" customHeight="1">
      <c r="G461" s="3"/>
    </row>
    <row r="462" ht="15.75" customHeight="1">
      <c r="G462" s="3"/>
    </row>
    <row r="463" ht="15.75" customHeight="1">
      <c r="G463" s="3"/>
    </row>
    <row r="464" ht="15.75" customHeight="1">
      <c r="G464" s="3"/>
    </row>
    <row r="465" ht="15.75" customHeight="1">
      <c r="G465" s="3"/>
    </row>
    <row r="466" ht="15.75" customHeight="1">
      <c r="G466" s="3"/>
    </row>
    <row r="467" ht="15.75" customHeight="1">
      <c r="G467" s="3"/>
    </row>
    <row r="468" ht="15.75" customHeight="1">
      <c r="G468" s="3"/>
    </row>
    <row r="469" ht="15.75" customHeight="1">
      <c r="G469" s="3"/>
    </row>
    <row r="470" ht="15.75" customHeight="1">
      <c r="G470" s="3"/>
    </row>
    <row r="471" ht="15.75" customHeight="1">
      <c r="G471" s="3"/>
    </row>
    <row r="472" ht="15.75" customHeight="1">
      <c r="G472" s="3"/>
    </row>
    <row r="473" ht="15.75" customHeight="1">
      <c r="G473" s="3"/>
    </row>
    <row r="474" ht="15.75" customHeight="1">
      <c r="G474" s="3"/>
    </row>
    <row r="475" ht="15.75" customHeight="1">
      <c r="G475" s="3"/>
    </row>
    <row r="476" ht="15.75" customHeight="1">
      <c r="G476" s="3"/>
    </row>
    <row r="477" ht="15.75" customHeight="1">
      <c r="G477" s="3"/>
    </row>
    <row r="478" ht="15.75" customHeight="1">
      <c r="G478" s="3"/>
    </row>
    <row r="479" ht="15.75" customHeight="1">
      <c r="G479" s="3"/>
    </row>
    <row r="480" ht="15.75" customHeight="1">
      <c r="G480" s="3"/>
    </row>
    <row r="481" ht="15.75" customHeight="1">
      <c r="G481" s="3"/>
    </row>
    <row r="482" ht="15.75" customHeight="1">
      <c r="G482" s="3"/>
    </row>
    <row r="483" ht="15.75" customHeight="1">
      <c r="G483" s="3"/>
    </row>
    <row r="484" ht="15.75" customHeight="1">
      <c r="G484" s="3"/>
    </row>
    <row r="485" ht="15.75" customHeight="1">
      <c r="G485" s="3"/>
    </row>
    <row r="486" ht="15.75" customHeight="1">
      <c r="G486" s="3"/>
    </row>
    <row r="487" ht="15.75" customHeight="1">
      <c r="G487" s="3"/>
    </row>
    <row r="488" ht="15.75" customHeight="1">
      <c r="G488" s="3"/>
    </row>
    <row r="489" ht="15.75" customHeight="1">
      <c r="G489" s="3"/>
    </row>
    <row r="490" ht="15.75" customHeight="1">
      <c r="G490" s="3"/>
    </row>
    <row r="491" ht="15.75" customHeight="1">
      <c r="G491" s="3"/>
    </row>
    <row r="492" ht="15.75" customHeight="1">
      <c r="G492" s="3"/>
    </row>
    <row r="493" ht="15.75" customHeight="1">
      <c r="G493" s="3"/>
    </row>
    <row r="494" ht="15.75" customHeight="1">
      <c r="G494" s="3"/>
    </row>
    <row r="495" ht="15.75" customHeight="1">
      <c r="G495" s="3"/>
    </row>
    <row r="496" ht="15.75" customHeight="1">
      <c r="G496" s="3"/>
    </row>
    <row r="497" ht="15.75" customHeight="1">
      <c r="G497" s="3"/>
    </row>
    <row r="498" ht="15.75" customHeight="1">
      <c r="G498" s="3"/>
    </row>
    <row r="499" ht="15.75" customHeight="1">
      <c r="G499" s="3"/>
    </row>
    <row r="500" ht="15.75" customHeight="1">
      <c r="G500" s="3"/>
    </row>
    <row r="501" ht="15.75" customHeight="1">
      <c r="G501" s="3"/>
    </row>
    <row r="502" ht="15.75" customHeight="1">
      <c r="G502" s="3"/>
    </row>
    <row r="503" ht="15.75" customHeight="1">
      <c r="G503" s="3"/>
    </row>
    <row r="504" ht="15.75" customHeight="1">
      <c r="G504" s="3"/>
    </row>
    <row r="505" ht="15.75" customHeight="1">
      <c r="G505" s="3"/>
    </row>
    <row r="506" ht="15.75" customHeight="1">
      <c r="G506" s="3"/>
    </row>
    <row r="507" ht="15.75" customHeight="1">
      <c r="G507" s="3"/>
    </row>
    <row r="508" ht="15.75" customHeight="1">
      <c r="G508" s="3"/>
    </row>
    <row r="509" ht="15.75" customHeight="1">
      <c r="G509" s="3"/>
    </row>
    <row r="510" ht="15.75" customHeight="1">
      <c r="G510" s="3"/>
    </row>
    <row r="511" ht="15.75" customHeight="1">
      <c r="G511" s="3"/>
    </row>
    <row r="512" ht="15.75" customHeight="1">
      <c r="G512" s="3"/>
    </row>
    <row r="513" ht="15.75" customHeight="1">
      <c r="G513" s="3"/>
    </row>
    <row r="514" ht="15.75" customHeight="1">
      <c r="G514" s="3"/>
    </row>
    <row r="515" ht="15.75" customHeight="1">
      <c r="G515" s="3"/>
    </row>
    <row r="516" ht="15.75" customHeight="1">
      <c r="G516" s="3"/>
    </row>
    <row r="517" ht="15.75" customHeight="1">
      <c r="G517" s="3"/>
    </row>
    <row r="518" ht="15.75" customHeight="1">
      <c r="G518" s="3"/>
    </row>
    <row r="519" ht="15.75" customHeight="1">
      <c r="G519" s="3"/>
    </row>
    <row r="520" ht="15.75" customHeight="1">
      <c r="G520" s="3"/>
    </row>
    <row r="521" ht="15.75" customHeight="1">
      <c r="G521" s="3"/>
    </row>
    <row r="522" ht="15.75" customHeight="1">
      <c r="G522" s="3"/>
    </row>
    <row r="523" ht="15.75" customHeight="1">
      <c r="G523" s="3"/>
    </row>
    <row r="524" ht="15.75" customHeight="1">
      <c r="G524" s="3"/>
    </row>
    <row r="525" ht="15.75" customHeight="1">
      <c r="G525" s="3"/>
    </row>
    <row r="526" ht="15.75" customHeight="1">
      <c r="G526" s="3"/>
    </row>
    <row r="527" ht="15.75" customHeight="1">
      <c r="G527" s="3"/>
    </row>
    <row r="528" ht="15.75" customHeight="1">
      <c r="G528" s="3"/>
    </row>
    <row r="529" ht="15.75" customHeight="1">
      <c r="G529" s="3"/>
    </row>
    <row r="530" ht="15.75" customHeight="1">
      <c r="G530" s="3"/>
    </row>
    <row r="531" ht="15.75" customHeight="1">
      <c r="G531" s="3"/>
    </row>
    <row r="532" ht="15.75" customHeight="1">
      <c r="G532" s="3"/>
    </row>
    <row r="533" ht="15.75" customHeight="1">
      <c r="G533" s="3"/>
    </row>
    <row r="534" ht="15.75" customHeight="1">
      <c r="G534" s="3"/>
    </row>
    <row r="535" ht="15.75" customHeight="1">
      <c r="G535" s="3"/>
    </row>
    <row r="536" ht="15.75" customHeight="1">
      <c r="G536" s="3"/>
    </row>
    <row r="537" ht="15.75" customHeight="1">
      <c r="G537" s="3"/>
    </row>
    <row r="538" ht="15.75" customHeight="1">
      <c r="G538" s="3"/>
    </row>
    <row r="539" ht="15.75" customHeight="1">
      <c r="G539" s="3"/>
    </row>
    <row r="540" ht="15.75" customHeight="1">
      <c r="G540" s="3"/>
    </row>
    <row r="541" ht="15.75" customHeight="1">
      <c r="G541" s="3"/>
    </row>
    <row r="542" ht="15.75" customHeight="1">
      <c r="G542" s="3"/>
    </row>
    <row r="543" ht="15.75" customHeight="1">
      <c r="G543" s="3"/>
    </row>
    <row r="544" ht="15.75" customHeight="1">
      <c r="G544" s="3"/>
    </row>
    <row r="545" ht="15.75" customHeight="1">
      <c r="G545" s="3"/>
    </row>
    <row r="546" ht="15.75" customHeight="1">
      <c r="G546" s="3"/>
    </row>
    <row r="547" ht="15.75" customHeight="1">
      <c r="G547" s="3"/>
    </row>
    <row r="548" ht="15.75" customHeight="1">
      <c r="G548" s="3"/>
    </row>
    <row r="549" ht="15.75" customHeight="1">
      <c r="G549" s="3"/>
    </row>
    <row r="550" ht="15.75" customHeight="1">
      <c r="G550" s="3"/>
    </row>
    <row r="551" ht="15.75" customHeight="1">
      <c r="G551" s="3"/>
    </row>
    <row r="552" ht="15.75" customHeight="1">
      <c r="G552" s="3"/>
    </row>
    <row r="553" ht="15.75" customHeight="1">
      <c r="G553" s="3"/>
    </row>
    <row r="554" ht="15.75" customHeight="1">
      <c r="G554" s="3"/>
    </row>
    <row r="555" ht="15.75" customHeight="1">
      <c r="G555" s="3"/>
    </row>
    <row r="556" ht="15.75" customHeight="1">
      <c r="G556" s="3"/>
    </row>
    <row r="557" ht="15.75" customHeight="1">
      <c r="G557" s="3"/>
    </row>
    <row r="558" ht="15.75" customHeight="1">
      <c r="G558" s="3"/>
    </row>
    <row r="559" ht="15.75" customHeight="1">
      <c r="G559" s="3"/>
    </row>
    <row r="560" ht="15.75" customHeight="1">
      <c r="G560" s="3"/>
    </row>
    <row r="561" ht="15.75" customHeight="1">
      <c r="G561" s="3"/>
    </row>
    <row r="562" ht="15.75" customHeight="1">
      <c r="G562" s="3"/>
    </row>
    <row r="563" ht="15.75" customHeight="1">
      <c r="G563" s="3"/>
    </row>
    <row r="564" ht="15.75" customHeight="1">
      <c r="G564" s="3"/>
    </row>
    <row r="565" ht="15.75" customHeight="1">
      <c r="G565" s="3"/>
    </row>
    <row r="566" ht="15.75" customHeight="1">
      <c r="G566" s="3"/>
    </row>
    <row r="567" ht="15.75" customHeight="1">
      <c r="G567" s="3"/>
    </row>
    <row r="568" ht="15.75" customHeight="1">
      <c r="G568" s="3"/>
    </row>
    <row r="569" ht="15.75" customHeight="1">
      <c r="G569" s="3"/>
    </row>
    <row r="570" ht="15.75" customHeight="1">
      <c r="G570" s="3"/>
    </row>
    <row r="571" ht="15.75" customHeight="1">
      <c r="G571" s="3"/>
    </row>
    <row r="572" ht="15.75" customHeight="1">
      <c r="G572" s="3"/>
    </row>
    <row r="573" ht="15.75" customHeight="1">
      <c r="G573" s="3"/>
    </row>
    <row r="574" ht="15.75" customHeight="1">
      <c r="G574" s="3"/>
    </row>
    <row r="575" ht="15.75" customHeight="1">
      <c r="G575" s="3"/>
    </row>
    <row r="576" ht="15.75" customHeight="1">
      <c r="G576" s="3"/>
    </row>
    <row r="577" ht="15.75" customHeight="1">
      <c r="G577" s="3"/>
    </row>
    <row r="578" ht="15.75" customHeight="1">
      <c r="G578" s="3"/>
    </row>
    <row r="579" ht="15.75" customHeight="1">
      <c r="G579" s="3"/>
    </row>
    <row r="580" ht="15.75" customHeight="1">
      <c r="G580" s="3"/>
    </row>
    <row r="581" ht="15.75" customHeight="1">
      <c r="G581" s="3"/>
    </row>
    <row r="582" ht="15.75" customHeight="1">
      <c r="G582" s="3"/>
    </row>
    <row r="583" ht="15.75" customHeight="1">
      <c r="G583" s="3"/>
    </row>
    <row r="584" ht="15.75" customHeight="1">
      <c r="G584" s="3"/>
    </row>
    <row r="585" ht="15.75" customHeight="1">
      <c r="G585" s="3"/>
    </row>
    <row r="586" ht="15.75" customHeight="1">
      <c r="G586" s="3"/>
    </row>
    <row r="587" ht="15.75" customHeight="1">
      <c r="G587" s="3"/>
    </row>
    <row r="588" ht="15.75" customHeight="1">
      <c r="G588" s="3"/>
    </row>
    <row r="589" ht="15.75" customHeight="1">
      <c r="G589" s="3"/>
    </row>
    <row r="590" ht="15.75" customHeight="1">
      <c r="G590" s="3"/>
    </row>
    <row r="591" ht="15.75" customHeight="1">
      <c r="G591" s="3"/>
    </row>
    <row r="592" ht="15.75" customHeight="1">
      <c r="G592" s="3"/>
    </row>
    <row r="593" ht="15.75" customHeight="1">
      <c r="G593" s="3"/>
    </row>
    <row r="594" ht="15.75" customHeight="1">
      <c r="G594" s="3"/>
    </row>
    <row r="595" ht="15.75" customHeight="1">
      <c r="G595" s="3"/>
    </row>
    <row r="596" ht="15.75" customHeight="1">
      <c r="G596" s="3"/>
    </row>
    <row r="597" ht="15.75" customHeight="1">
      <c r="G597" s="3"/>
    </row>
    <row r="598" ht="15.75" customHeight="1">
      <c r="G598" s="3"/>
    </row>
    <row r="599" ht="15.75" customHeight="1">
      <c r="G599" s="3"/>
    </row>
    <row r="600" ht="15.75" customHeight="1">
      <c r="G600" s="3"/>
    </row>
    <row r="601" ht="15.75" customHeight="1">
      <c r="G601" s="3"/>
    </row>
    <row r="602" ht="15.75" customHeight="1">
      <c r="G602" s="3"/>
    </row>
    <row r="603" ht="15.75" customHeight="1">
      <c r="G603" s="3"/>
    </row>
    <row r="604" ht="15.75" customHeight="1">
      <c r="G604" s="3"/>
    </row>
    <row r="605" ht="15.75" customHeight="1">
      <c r="G605" s="3"/>
    </row>
    <row r="606" ht="15.75" customHeight="1">
      <c r="G606" s="3"/>
    </row>
    <row r="607" ht="15.75" customHeight="1">
      <c r="G607" s="3"/>
    </row>
    <row r="608" ht="15.75" customHeight="1">
      <c r="G608" s="3"/>
    </row>
    <row r="609" ht="15.75" customHeight="1">
      <c r="G609" s="3"/>
    </row>
    <row r="610" ht="15.75" customHeight="1">
      <c r="G610" s="3"/>
    </row>
    <row r="611" ht="15.75" customHeight="1">
      <c r="G611" s="3"/>
    </row>
    <row r="612" ht="15.75" customHeight="1">
      <c r="G612" s="3"/>
    </row>
    <row r="613" ht="15.75" customHeight="1">
      <c r="G613" s="3"/>
    </row>
    <row r="614" ht="15.75" customHeight="1">
      <c r="G614" s="3"/>
    </row>
    <row r="615" ht="15.75" customHeight="1">
      <c r="G615" s="3"/>
    </row>
    <row r="616" ht="15.75" customHeight="1">
      <c r="G616" s="3"/>
    </row>
    <row r="617" ht="15.75" customHeight="1">
      <c r="G617" s="3"/>
    </row>
    <row r="618" ht="15.75" customHeight="1">
      <c r="G618" s="3"/>
    </row>
    <row r="619" ht="15.75" customHeight="1">
      <c r="G619" s="3"/>
    </row>
    <row r="620" ht="15.75" customHeight="1">
      <c r="G620" s="3"/>
    </row>
    <row r="621" ht="15.75" customHeight="1">
      <c r="G621" s="3"/>
    </row>
    <row r="622" ht="15.75" customHeight="1">
      <c r="G622" s="3"/>
    </row>
    <row r="623" ht="15.75" customHeight="1">
      <c r="G623" s="3"/>
    </row>
    <row r="624" ht="15.75" customHeight="1">
      <c r="G624" s="3"/>
    </row>
    <row r="625" ht="15.75" customHeight="1">
      <c r="G625" s="3"/>
    </row>
    <row r="626" ht="15.75" customHeight="1">
      <c r="G626" s="3"/>
    </row>
    <row r="627" ht="15.75" customHeight="1">
      <c r="G627" s="3"/>
    </row>
    <row r="628" ht="15.75" customHeight="1">
      <c r="G628" s="3"/>
    </row>
    <row r="629" ht="15.75" customHeight="1">
      <c r="G629" s="3"/>
    </row>
    <row r="630" ht="15.75" customHeight="1">
      <c r="G630" s="3"/>
    </row>
    <row r="631" ht="15.75" customHeight="1">
      <c r="G631" s="3"/>
    </row>
    <row r="632" ht="15.75" customHeight="1">
      <c r="G632" s="3"/>
    </row>
    <row r="633" ht="15.75" customHeight="1">
      <c r="G633" s="3"/>
    </row>
    <row r="634" ht="15.75" customHeight="1">
      <c r="G634" s="3"/>
    </row>
    <row r="635" ht="15.75" customHeight="1">
      <c r="G635" s="3"/>
    </row>
    <row r="636" ht="15.75" customHeight="1">
      <c r="G636" s="3"/>
    </row>
    <row r="637" ht="15.75" customHeight="1">
      <c r="G637" s="3"/>
    </row>
    <row r="638" ht="15.75" customHeight="1">
      <c r="G638" s="3"/>
    </row>
    <row r="639" ht="15.75" customHeight="1">
      <c r="G639" s="3"/>
    </row>
    <row r="640" ht="15.75" customHeight="1">
      <c r="G640" s="3"/>
    </row>
    <row r="641" ht="15.75" customHeight="1">
      <c r="G641" s="3"/>
    </row>
    <row r="642" ht="15.75" customHeight="1">
      <c r="G642" s="3"/>
    </row>
    <row r="643" ht="15.75" customHeight="1">
      <c r="G643" s="3"/>
    </row>
    <row r="644" ht="15.75" customHeight="1">
      <c r="G644" s="3"/>
    </row>
    <row r="645" ht="15.75" customHeight="1">
      <c r="G645" s="3"/>
    </row>
    <row r="646" ht="15.75" customHeight="1">
      <c r="G646" s="3"/>
    </row>
    <row r="647" ht="15.75" customHeight="1">
      <c r="G647" s="3"/>
    </row>
    <row r="648" ht="15.75" customHeight="1">
      <c r="G648" s="3"/>
    </row>
    <row r="649" ht="15.75" customHeight="1">
      <c r="G649" s="3"/>
    </row>
    <row r="650" ht="15.75" customHeight="1">
      <c r="G650" s="3"/>
    </row>
    <row r="651" ht="15.75" customHeight="1">
      <c r="G651" s="3"/>
    </row>
    <row r="652" ht="15.75" customHeight="1">
      <c r="G652" s="3"/>
    </row>
    <row r="653" ht="15.75" customHeight="1">
      <c r="G653" s="3"/>
    </row>
    <row r="654" ht="15.75" customHeight="1">
      <c r="G654" s="3"/>
    </row>
    <row r="655" ht="15.75" customHeight="1">
      <c r="G655" s="3"/>
    </row>
    <row r="656" ht="15.75" customHeight="1">
      <c r="G656" s="3"/>
    </row>
    <row r="657" ht="15.75" customHeight="1">
      <c r="G657" s="3"/>
    </row>
    <row r="658" ht="15.75" customHeight="1">
      <c r="G658" s="3"/>
    </row>
    <row r="659" ht="15.75" customHeight="1">
      <c r="G659" s="3"/>
    </row>
    <row r="660" ht="15.75" customHeight="1">
      <c r="G660" s="3"/>
    </row>
    <row r="661" ht="15.75" customHeight="1">
      <c r="G661" s="3"/>
    </row>
    <row r="662" ht="15.75" customHeight="1">
      <c r="G662" s="3"/>
    </row>
    <row r="663" ht="15.75" customHeight="1">
      <c r="G663" s="3"/>
    </row>
    <row r="664" ht="15.75" customHeight="1">
      <c r="G664" s="3"/>
    </row>
    <row r="665" ht="15.75" customHeight="1">
      <c r="G665" s="3"/>
    </row>
    <row r="666" ht="15.75" customHeight="1">
      <c r="G666" s="3"/>
    </row>
    <row r="667" ht="15.75" customHeight="1">
      <c r="G667" s="3"/>
    </row>
    <row r="668" ht="15.75" customHeight="1">
      <c r="G668" s="3"/>
    </row>
    <row r="669" ht="15.75" customHeight="1">
      <c r="G669" s="3"/>
    </row>
    <row r="670" ht="15.75" customHeight="1">
      <c r="G670" s="3"/>
    </row>
    <row r="671" ht="15.75" customHeight="1">
      <c r="G671" s="3"/>
    </row>
    <row r="672" ht="15.75" customHeight="1">
      <c r="G672" s="3"/>
    </row>
    <row r="673" ht="15.75" customHeight="1">
      <c r="G673" s="3"/>
    </row>
    <row r="674" ht="15.75" customHeight="1">
      <c r="G674" s="3"/>
    </row>
    <row r="675" ht="15.75" customHeight="1">
      <c r="G675" s="3"/>
    </row>
    <row r="676" ht="15.75" customHeight="1">
      <c r="G676" s="3"/>
    </row>
    <row r="677" ht="15.75" customHeight="1">
      <c r="G677" s="3"/>
    </row>
    <row r="678" ht="15.75" customHeight="1">
      <c r="G678" s="3"/>
    </row>
    <row r="679" ht="15.75" customHeight="1">
      <c r="G679" s="3"/>
    </row>
    <row r="680" ht="15.75" customHeight="1">
      <c r="G680" s="3"/>
    </row>
    <row r="681" ht="15.75" customHeight="1">
      <c r="G681" s="3"/>
    </row>
    <row r="682" ht="15.75" customHeight="1">
      <c r="G682" s="3"/>
    </row>
    <row r="683" ht="15.75" customHeight="1">
      <c r="G683" s="3"/>
    </row>
    <row r="684" ht="15.75" customHeight="1">
      <c r="G684" s="3"/>
    </row>
    <row r="685" ht="15.75" customHeight="1">
      <c r="G685" s="3"/>
    </row>
    <row r="686" ht="15.75" customHeight="1">
      <c r="G686" s="3"/>
    </row>
    <row r="687" ht="15.75" customHeight="1">
      <c r="G687" s="3"/>
    </row>
    <row r="688" ht="15.75" customHeight="1">
      <c r="G688" s="3"/>
    </row>
    <row r="689" ht="15.75" customHeight="1">
      <c r="G689" s="3"/>
    </row>
    <row r="690" ht="15.75" customHeight="1">
      <c r="G690" s="3"/>
    </row>
    <row r="691" ht="15.75" customHeight="1">
      <c r="G691" s="3"/>
    </row>
    <row r="692" ht="15.75" customHeight="1">
      <c r="G692" s="3"/>
    </row>
    <row r="693" ht="15.75" customHeight="1">
      <c r="G693" s="3"/>
    </row>
    <row r="694" ht="15.75" customHeight="1">
      <c r="G694" s="3"/>
    </row>
    <row r="695" ht="15.75" customHeight="1">
      <c r="G695" s="3"/>
    </row>
    <row r="696" ht="15.75" customHeight="1">
      <c r="G696" s="3"/>
    </row>
    <row r="697" ht="15.75" customHeight="1">
      <c r="G697" s="3"/>
    </row>
    <row r="698" ht="15.75" customHeight="1">
      <c r="G698" s="3"/>
    </row>
    <row r="699" ht="15.75" customHeight="1">
      <c r="G699" s="3"/>
    </row>
    <row r="700" ht="15.75" customHeight="1">
      <c r="G700" s="3"/>
    </row>
    <row r="701" ht="15.75" customHeight="1">
      <c r="G701" s="3"/>
    </row>
    <row r="702" ht="15.75" customHeight="1">
      <c r="G702" s="3"/>
    </row>
    <row r="703" ht="15.75" customHeight="1">
      <c r="G703" s="3"/>
    </row>
    <row r="704" ht="15.75" customHeight="1">
      <c r="G704" s="3"/>
    </row>
    <row r="705" ht="15.75" customHeight="1">
      <c r="G705" s="3"/>
    </row>
    <row r="706" ht="15.75" customHeight="1">
      <c r="G706" s="3"/>
    </row>
    <row r="707" ht="15.75" customHeight="1">
      <c r="G707" s="3"/>
    </row>
    <row r="708" ht="15.75" customHeight="1">
      <c r="G708" s="3"/>
    </row>
    <row r="709" ht="15.75" customHeight="1">
      <c r="G709" s="3"/>
    </row>
    <row r="710" ht="15.75" customHeight="1">
      <c r="G710" s="3"/>
    </row>
    <row r="711" ht="15.75" customHeight="1">
      <c r="G711" s="3"/>
    </row>
    <row r="712" ht="15.75" customHeight="1">
      <c r="G712" s="3"/>
    </row>
    <row r="713" ht="15.75" customHeight="1">
      <c r="G713" s="3"/>
    </row>
    <row r="714" ht="15.75" customHeight="1">
      <c r="G714" s="3"/>
    </row>
    <row r="715" ht="15.75" customHeight="1">
      <c r="G715" s="3"/>
    </row>
    <row r="716" ht="15.75" customHeight="1">
      <c r="G716" s="3"/>
    </row>
    <row r="717" ht="15.75" customHeight="1">
      <c r="G717" s="3"/>
    </row>
    <row r="718" ht="15.75" customHeight="1">
      <c r="G718" s="3"/>
    </row>
    <row r="719" ht="15.75" customHeight="1">
      <c r="G719" s="3"/>
    </row>
    <row r="720" ht="15.75" customHeight="1">
      <c r="G720" s="3"/>
    </row>
    <row r="721" ht="15.75" customHeight="1">
      <c r="G721" s="3"/>
    </row>
    <row r="722" ht="15.75" customHeight="1">
      <c r="G722" s="3"/>
    </row>
    <row r="723" ht="15.75" customHeight="1">
      <c r="G723" s="3"/>
    </row>
    <row r="724" ht="15.75" customHeight="1">
      <c r="G724" s="3"/>
    </row>
    <row r="725" ht="15.75" customHeight="1">
      <c r="G725" s="3"/>
    </row>
    <row r="726" ht="15.75" customHeight="1">
      <c r="G726" s="3"/>
    </row>
    <row r="727" ht="15.75" customHeight="1">
      <c r="G727" s="3"/>
    </row>
    <row r="728" ht="15.75" customHeight="1">
      <c r="G728" s="3"/>
    </row>
    <row r="729" ht="15.75" customHeight="1">
      <c r="G729" s="3"/>
    </row>
    <row r="730" ht="15.75" customHeight="1">
      <c r="G730" s="3"/>
    </row>
    <row r="731" ht="15.75" customHeight="1">
      <c r="G731" s="3"/>
    </row>
    <row r="732" ht="15.75" customHeight="1">
      <c r="G732" s="3"/>
    </row>
    <row r="733" ht="15.75" customHeight="1">
      <c r="G733" s="3"/>
    </row>
    <row r="734" ht="15.75" customHeight="1">
      <c r="G734" s="3"/>
    </row>
    <row r="735" ht="15.75" customHeight="1">
      <c r="G735" s="3"/>
    </row>
    <row r="736" ht="15.75" customHeight="1">
      <c r="G736" s="3"/>
    </row>
    <row r="737" ht="15.75" customHeight="1">
      <c r="G737" s="3"/>
    </row>
    <row r="738" ht="15.75" customHeight="1">
      <c r="G738" s="3"/>
    </row>
    <row r="739" ht="15.75" customHeight="1">
      <c r="G739" s="3"/>
    </row>
    <row r="740" ht="15.75" customHeight="1">
      <c r="G740" s="3"/>
    </row>
    <row r="741" ht="15.75" customHeight="1">
      <c r="G741" s="3"/>
    </row>
    <row r="742" ht="15.75" customHeight="1">
      <c r="G742" s="3"/>
    </row>
    <row r="743" ht="15.75" customHeight="1">
      <c r="G743" s="3"/>
    </row>
    <row r="744" ht="15.75" customHeight="1">
      <c r="G744" s="3"/>
    </row>
    <row r="745" ht="15.75" customHeight="1">
      <c r="G745" s="3"/>
    </row>
    <row r="746" ht="15.75" customHeight="1">
      <c r="G746" s="3"/>
    </row>
    <row r="747" ht="15.75" customHeight="1">
      <c r="G747" s="3"/>
    </row>
    <row r="748" ht="15.75" customHeight="1">
      <c r="G748" s="3"/>
    </row>
    <row r="749" ht="15.75" customHeight="1">
      <c r="G749" s="3"/>
    </row>
    <row r="750" ht="15.75" customHeight="1">
      <c r="G750" s="3"/>
    </row>
    <row r="751" ht="15.75" customHeight="1">
      <c r="G751" s="3"/>
    </row>
    <row r="752" ht="15.75" customHeight="1">
      <c r="G752" s="3"/>
    </row>
    <row r="753" ht="15.75" customHeight="1">
      <c r="G753" s="3"/>
    </row>
    <row r="754" ht="15.75" customHeight="1">
      <c r="G754" s="3"/>
    </row>
    <row r="755" ht="15.75" customHeight="1">
      <c r="G755" s="3"/>
    </row>
    <row r="756" ht="15.75" customHeight="1">
      <c r="G756" s="3"/>
    </row>
    <row r="757" ht="15.75" customHeight="1">
      <c r="G757" s="3"/>
    </row>
    <row r="758" ht="15.75" customHeight="1">
      <c r="G758" s="3"/>
    </row>
    <row r="759" ht="15.75" customHeight="1">
      <c r="G759" s="3"/>
    </row>
    <row r="760" ht="15.75" customHeight="1">
      <c r="G760" s="3"/>
    </row>
    <row r="761" ht="15.75" customHeight="1">
      <c r="G761" s="3"/>
    </row>
    <row r="762" ht="15.75" customHeight="1">
      <c r="G762" s="3"/>
    </row>
    <row r="763" ht="15.75" customHeight="1">
      <c r="G763" s="3"/>
    </row>
    <row r="764" ht="15.75" customHeight="1">
      <c r="G764" s="3"/>
    </row>
    <row r="765" ht="15.75" customHeight="1">
      <c r="G765" s="3"/>
    </row>
    <row r="766" ht="15.75" customHeight="1">
      <c r="G766" s="3"/>
    </row>
    <row r="767" ht="15.75" customHeight="1">
      <c r="G767" s="3"/>
    </row>
    <row r="768" ht="15.75" customHeight="1">
      <c r="G768" s="3"/>
    </row>
    <row r="769" ht="15.75" customHeight="1">
      <c r="G769" s="3"/>
    </row>
    <row r="770" ht="15.75" customHeight="1">
      <c r="G770" s="3"/>
    </row>
    <row r="771" ht="15.75" customHeight="1">
      <c r="G771" s="3"/>
    </row>
    <row r="772" ht="15.75" customHeight="1">
      <c r="G772" s="3"/>
    </row>
    <row r="773" ht="15.75" customHeight="1">
      <c r="G773" s="3"/>
    </row>
    <row r="774" ht="15.75" customHeight="1">
      <c r="G774" s="3"/>
    </row>
    <row r="775" ht="15.75" customHeight="1">
      <c r="G775" s="3"/>
    </row>
    <row r="776" ht="15.75" customHeight="1">
      <c r="G776" s="3"/>
    </row>
    <row r="777" ht="15.75" customHeight="1">
      <c r="G777" s="3"/>
    </row>
    <row r="778" ht="15.75" customHeight="1">
      <c r="G778" s="3"/>
    </row>
    <row r="779" ht="15.75" customHeight="1">
      <c r="G779" s="3"/>
    </row>
    <row r="780" ht="15.75" customHeight="1">
      <c r="G780" s="3"/>
    </row>
    <row r="781" ht="15.75" customHeight="1">
      <c r="G781" s="3"/>
    </row>
    <row r="782" ht="15.75" customHeight="1">
      <c r="G782" s="3"/>
    </row>
    <row r="783" ht="15.75" customHeight="1">
      <c r="G783" s="3"/>
    </row>
    <row r="784" ht="15.75" customHeight="1">
      <c r="G784" s="3"/>
    </row>
    <row r="785" ht="15.75" customHeight="1">
      <c r="G785" s="3"/>
    </row>
    <row r="786" ht="15.75" customHeight="1">
      <c r="G786" s="3"/>
    </row>
    <row r="787" ht="15.75" customHeight="1">
      <c r="G787" s="3"/>
    </row>
    <row r="788" ht="15.75" customHeight="1">
      <c r="G788" s="3"/>
    </row>
    <row r="789" ht="15.75" customHeight="1">
      <c r="G789" s="3"/>
    </row>
    <row r="790" ht="15.75" customHeight="1">
      <c r="G790" s="3"/>
    </row>
    <row r="791" ht="15.75" customHeight="1">
      <c r="G791" s="3"/>
    </row>
    <row r="792" ht="15.75" customHeight="1">
      <c r="G792" s="3"/>
    </row>
    <row r="793" ht="15.75" customHeight="1">
      <c r="G793" s="3"/>
    </row>
    <row r="794" ht="15.75" customHeight="1">
      <c r="G794" s="3"/>
    </row>
    <row r="795" ht="15.75" customHeight="1">
      <c r="G795" s="3"/>
    </row>
    <row r="796" ht="15.75" customHeight="1">
      <c r="G796" s="3"/>
    </row>
    <row r="797" ht="15.75" customHeight="1">
      <c r="G797" s="3"/>
    </row>
    <row r="798" ht="15.75" customHeight="1">
      <c r="G798" s="3"/>
    </row>
    <row r="799" ht="15.75" customHeight="1">
      <c r="G799" s="3"/>
    </row>
    <row r="800" ht="15.75" customHeight="1">
      <c r="G800" s="3"/>
    </row>
    <row r="801" ht="15.75" customHeight="1">
      <c r="G801" s="3"/>
    </row>
    <row r="802" ht="15.75" customHeight="1">
      <c r="G802" s="3"/>
    </row>
    <row r="803" ht="15.75" customHeight="1">
      <c r="G803" s="3"/>
    </row>
    <row r="804" ht="15.75" customHeight="1">
      <c r="G804" s="3"/>
    </row>
    <row r="805" ht="15.75" customHeight="1">
      <c r="G805" s="3"/>
    </row>
    <row r="806" ht="15.75" customHeight="1">
      <c r="G806" s="3"/>
    </row>
    <row r="807" ht="15.75" customHeight="1">
      <c r="G807" s="3"/>
    </row>
    <row r="808" ht="15.75" customHeight="1">
      <c r="G808" s="3"/>
    </row>
    <row r="809" ht="15.75" customHeight="1">
      <c r="G809" s="3"/>
    </row>
    <row r="810" ht="15.75" customHeight="1">
      <c r="G810" s="3"/>
    </row>
    <row r="811" ht="15.75" customHeight="1">
      <c r="G811" s="3"/>
    </row>
    <row r="812" ht="15.75" customHeight="1">
      <c r="G812" s="3"/>
    </row>
    <row r="813" ht="15.75" customHeight="1">
      <c r="G813" s="3"/>
    </row>
    <row r="814" ht="15.75" customHeight="1">
      <c r="G814" s="3"/>
    </row>
    <row r="815" ht="15.75" customHeight="1">
      <c r="G815" s="3"/>
    </row>
    <row r="816" ht="15.75" customHeight="1">
      <c r="G816" s="3"/>
    </row>
    <row r="817" ht="15.75" customHeight="1">
      <c r="G817" s="3"/>
    </row>
    <row r="818" ht="15.75" customHeight="1">
      <c r="G818" s="3"/>
    </row>
    <row r="819" ht="15.75" customHeight="1">
      <c r="G819" s="3"/>
    </row>
    <row r="820" ht="15.75" customHeight="1">
      <c r="G820" s="3"/>
    </row>
    <row r="821" ht="15.75" customHeight="1">
      <c r="G821" s="3"/>
    </row>
    <row r="822" ht="15.75" customHeight="1">
      <c r="G822" s="3"/>
    </row>
    <row r="823" ht="15.75" customHeight="1">
      <c r="G823" s="3"/>
    </row>
    <row r="824" ht="15.75" customHeight="1">
      <c r="G824" s="3"/>
    </row>
    <row r="825" ht="15.75" customHeight="1">
      <c r="G825" s="3"/>
    </row>
    <row r="826" ht="15.75" customHeight="1">
      <c r="G826" s="3"/>
    </row>
    <row r="827" ht="15.75" customHeight="1">
      <c r="G827" s="3"/>
    </row>
    <row r="828" ht="15.75" customHeight="1">
      <c r="G828" s="3"/>
    </row>
    <row r="829" ht="15.75" customHeight="1">
      <c r="G829" s="3"/>
    </row>
    <row r="830" ht="15.75" customHeight="1">
      <c r="G830" s="3"/>
    </row>
    <row r="831" ht="15.75" customHeight="1">
      <c r="G831" s="3"/>
    </row>
    <row r="832" ht="15.75" customHeight="1">
      <c r="G832" s="3"/>
    </row>
    <row r="833" ht="15.75" customHeight="1">
      <c r="G833" s="3"/>
    </row>
    <row r="834" ht="15.75" customHeight="1">
      <c r="G834" s="3"/>
    </row>
    <row r="835" ht="15.75" customHeight="1">
      <c r="G835" s="3"/>
    </row>
    <row r="836" ht="15.75" customHeight="1">
      <c r="G836" s="3"/>
    </row>
    <row r="837" ht="15.75" customHeight="1">
      <c r="G837" s="3"/>
    </row>
    <row r="838" ht="15.75" customHeight="1">
      <c r="G838" s="3"/>
    </row>
    <row r="839" ht="15.75" customHeight="1">
      <c r="G839" s="3"/>
    </row>
    <row r="840" ht="15.75" customHeight="1">
      <c r="G840" s="3"/>
    </row>
    <row r="841" ht="15.75" customHeight="1">
      <c r="G841" s="3"/>
    </row>
    <row r="842" ht="15.75" customHeight="1">
      <c r="G842" s="3"/>
    </row>
    <row r="843" ht="15.75" customHeight="1">
      <c r="G843" s="3"/>
    </row>
    <row r="844" ht="15.75" customHeight="1">
      <c r="G844" s="3"/>
    </row>
    <row r="845" ht="15.75" customHeight="1">
      <c r="G845" s="3"/>
    </row>
    <row r="846" ht="15.75" customHeight="1">
      <c r="G846" s="3"/>
    </row>
    <row r="847" ht="15.75" customHeight="1">
      <c r="G847" s="3"/>
    </row>
    <row r="848" ht="15.75" customHeight="1">
      <c r="G848" s="3"/>
    </row>
    <row r="849" ht="15.75" customHeight="1">
      <c r="G849" s="3"/>
    </row>
    <row r="850" ht="15.75" customHeight="1">
      <c r="G850" s="3"/>
    </row>
    <row r="851" ht="15.75" customHeight="1">
      <c r="G851" s="3"/>
    </row>
    <row r="852" ht="15.75" customHeight="1">
      <c r="G852" s="3"/>
    </row>
    <row r="853" ht="15.75" customHeight="1">
      <c r="G853" s="3"/>
    </row>
    <row r="854" ht="15.75" customHeight="1">
      <c r="G854" s="3"/>
    </row>
    <row r="855" ht="15.75" customHeight="1">
      <c r="G855" s="3"/>
    </row>
    <row r="856" ht="15.75" customHeight="1">
      <c r="G856" s="3"/>
    </row>
    <row r="857" ht="15.75" customHeight="1">
      <c r="G857" s="3"/>
    </row>
    <row r="858" ht="15.75" customHeight="1">
      <c r="G858" s="3"/>
    </row>
    <row r="859" ht="15.75" customHeight="1">
      <c r="G859" s="3"/>
    </row>
    <row r="860" ht="15.75" customHeight="1">
      <c r="G860" s="3"/>
    </row>
    <row r="861" ht="15.75" customHeight="1">
      <c r="G861" s="3"/>
    </row>
    <row r="862" ht="15.75" customHeight="1">
      <c r="G862" s="3"/>
    </row>
    <row r="863" ht="15.75" customHeight="1">
      <c r="G863" s="3"/>
    </row>
    <row r="864" ht="15.75" customHeight="1">
      <c r="G864" s="3"/>
    </row>
    <row r="865" ht="15.75" customHeight="1">
      <c r="G865" s="3"/>
    </row>
    <row r="866" ht="15.75" customHeight="1">
      <c r="G866" s="3"/>
    </row>
    <row r="867" ht="15.75" customHeight="1">
      <c r="G867" s="3"/>
    </row>
    <row r="868" ht="15.75" customHeight="1">
      <c r="G868" s="3"/>
    </row>
    <row r="869" ht="15.75" customHeight="1">
      <c r="G869" s="3"/>
    </row>
    <row r="870" ht="15.75" customHeight="1">
      <c r="G870" s="3"/>
    </row>
    <row r="871" ht="15.75" customHeight="1">
      <c r="G871" s="3"/>
    </row>
    <row r="872" ht="15.75" customHeight="1">
      <c r="G872" s="3"/>
    </row>
    <row r="873" ht="15.75" customHeight="1">
      <c r="G873" s="3"/>
    </row>
    <row r="874" ht="15.75" customHeight="1">
      <c r="G874" s="3"/>
    </row>
    <row r="875" ht="15.75" customHeight="1">
      <c r="G875" s="3"/>
    </row>
    <row r="876" ht="15.75" customHeight="1">
      <c r="G876" s="3"/>
    </row>
    <row r="877" ht="15.75" customHeight="1">
      <c r="G877" s="3"/>
    </row>
    <row r="878" ht="15.75" customHeight="1">
      <c r="G878" s="3"/>
    </row>
    <row r="879" ht="15.75" customHeight="1">
      <c r="G879" s="3"/>
    </row>
    <row r="880" ht="15.75" customHeight="1">
      <c r="G880" s="3"/>
    </row>
    <row r="881" ht="15.75" customHeight="1">
      <c r="G881" s="3"/>
    </row>
    <row r="882" ht="15.75" customHeight="1">
      <c r="G882" s="3"/>
    </row>
    <row r="883" ht="15.75" customHeight="1">
      <c r="G883" s="3"/>
    </row>
    <row r="884" ht="15.75" customHeight="1">
      <c r="G884" s="3"/>
    </row>
    <row r="885" ht="15.75" customHeight="1">
      <c r="G885" s="3"/>
    </row>
    <row r="886" ht="15.75" customHeight="1">
      <c r="G886" s="3"/>
    </row>
    <row r="887" ht="15.75" customHeight="1">
      <c r="G887" s="3"/>
    </row>
    <row r="888" ht="15.75" customHeight="1">
      <c r="G888" s="3"/>
    </row>
    <row r="889" ht="15.75" customHeight="1">
      <c r="G889" s="3"/>
    </row>
    <row r="890" ht="15.75" customHeight="1">
      <c r="G890" s="3"/>
    </row>
    <row r="891" ht="15.75" customHeight="1">
      <c r="G891" s="3"/>
    </row>
    <row r="892" ht="15.75" customHeight="1">
      <c r="G892" s="3"/>
    </row>
    <row r="893" ht="15.75" customHeight="1">
      <c r="G893" s="3"/>
    </row>
    <row r="894" ht="15.75" customHeight="1">
      <c r="G894" s="3"/>
    </row>
    <row r="895" ht="15.75" customHeight="1">
      <c r="G895" s="3"/>
    </row>
    <row r="896" ht="15.75" customHeight="1">
      <c r="G896" s="3"/>
    </row>
    <row r="897" ht="15.75" customHeight="1">
      <c r="G897" s="3"/>
    </row>
    <row r="898" ht="15.75" customHeight="1">
      <c r="G898" s="3"/>
    </row>
    <row r="899" ht="15.75" customHeight="1">
      <c r="G899" s="3"/>
    </row>
    <row r="900" ht="15.75" customHeight="1">
      <c r="G900" s="3"/>
    </row>
    <row r="901" ht="15.75" customHeight="1">
      <c r="G901" s="3"/>
    </row>
    <row r="902" ht="15.75" customHeight="1">
      <c r="G902" s="3"/>
    </row>
    <row r="903" ht="15.75" customHeight="1">
      <c r="G903" s="3"/>
    </row>
    <row r="904" ht="15.75" customHeight="1">
      <c r="G904" s="3"/>
    </row>
    <row r="905" ht="15.75" customHeight="1">
      <c r="G905" s="3"/>
    </row>
    <row r="906" ht="15.75" customHeight="1">
      <c r="G906" s="3"/>
    </row>
    <row r="907" ht="15.75" customHeight="1">
      <c r="G907" s="3"/>
    </row>
    <row r="908" ht="15.75" customHeight="1">
      <c r="G908" s="3"/>
    </row>
    <row r="909" ht="15.75" customHeight="1">
      <c r="G909" s="3"/>
    </row>
    <row r="910" ht="15.75" customHeight="1">
      <c r="G910" s="3"/>
    </row>
    <row r="911" ht="15.75" customHeight="1">
      <c r="G911" s="3"/>
    </row>
    <row r="912" ht="15.75" customHeight="1">
      <c r="G912" s="3"/>
    </row>
    <row r="913" ht="15.75" customHeight="1">
      <c r="G913" s="3"/>
    </row>
    <row r="914" ht="15.75" customHeight="1">
      <c r="G914" s="3"/>
    </row>
    <row r="915" ht="15.75" customHeight="1">
      <c r="G915" s="3"/>
    </row>
    <row r="916" ht="15.75" customHeight="1">
      <c r="G916" s="3"/>
    </row>
    <row r="917" ht="15.75" customHeight="1">
      <c r="G917" s="3"/>
    </row>
    <row r="918" ht="15.75" customHeight="1">
      <c r="G918" s="3"/>
    </row>
    <row r="919" ht="15.75" customHeight="1">
      <c r="G919" s="3"/>
    </row>
    <row r="920" ht="15.75" customHeight="1">
      <c r="G920" s="3"/>
    </row>
    <row r="921" ht="15.75" customHeight="1">
      <c r="G921" s="3"/>
    </row>
    <row r="922" ht="15.75" customHeight="1">
      <c r="G922" s="3"/>
    </row>
    <row r="923" ht="15.75" customHeight="1">
      <c r="G923" s="3"/>
    </row>
    <row r="924" ht="15.75" customHeight="1">
      <c r="G924" s="3"/>
    </row>
    <row r="925" ht="15.75" customHeight="1">
      <c r="G925" s="3"/>
    </row>
    <row r="926" ht="15.75" customHeight="1">
      <c r="G926" s="3"/>
    </row>
    <row r="927" ht="15.75" customHeight="1">
      <c r="G927" s="3"/>
    </row>
    <row r="928" ht="15.75" customHeight="1">
      <c r="G928" s="3"/>
    </row>
    <row r="929" ht="15.75" customHeight="1">
      <c r="G929" s="3"/>
    </row>
    <row r="930" ht="15.75" customHeight="1">
      <c r="G930" s="3"/>
    </row>
    <row r="931" ht="15.75" customHeight="1">
      <c r="G931" s="3"/>
    </row>
    <row r="932" ht="15.75" customHeight="1">
      <c r="G932" s="3"/>
    </row>
    <row r="933" ht="15.75" customHeight="1">
      <c r="G933" s="3"/>
    </row>
    <row r="934" ht="15.75" customHeight="1">
      <c r="G934" s="3"/>
    </row>
    <row r="935" ht="15.75" customHeight="1">
      <c r="G935" s="3"/>
    </row>
    <row r="936" ht="15.75" customHeight="1">
      <c r="G936" s="3"/>
    </row>
    <row r="937" ht="15.75" customHeight="1">
      <c r="G937" s="3"/>
    </row>
    <row r="938" ht="15.75" customHeight="1">
      <c r="G938" s="3"/>
    </row>
    <row r="939" ht="15.75" customHeight="1">
      <c r="G939" s="3"/>
    </row>
    <row r="940" ht="15.75" customHeight="1">
      <c r="G940" s="3"/>
    </row>
    <row r="941" ht="15.75" customHeight="1">
      <c r="G941" s="3"/>
    </row>
    <row r="942" ht="15.75" customHeight="1">
      <c r="G942" s="3"/>
    </row>
    <row r="943" ht="15.75" customHeight="1">
      <c r="G943" s="3"/>
    </row>
    <row r="944" ht="15.75" customHeight="1">
      <c r="G944" s="3"/>
    </row>
    <row r="945" ht="15.75" customHeight="1">
      <c r="G945" s="3"/>
    </row>
    <row r="946" ht="15.75" customHeight="1">
      <c r="G946" s="3"/>
    </row>
    <row r="947" ht="15.75" customHeight="1">
      <c r="G947" s="3"/>
    </row>
    <row r="948" ht="15.75" customHeight="1">
      <c r="G948" s="3"/>
    </row>
    <row r="949" ht="15.75" customHeight="1">
      <c r="G949" s="3"/>
    </row>
    <row r="950" ht="15.75" customHeight="1">
      <c r="G950" s="3"/>
    </row>
    <row r="951" ht="15.75" customHeight="1">
      <c r="G951" s="3"/>
    </row>
    <row r="952" ht="15.75" customHeight="1">
      <c r="G952" s="3"/>
    </row>
    <row r="953" ht="15.75" customHeight="1">
      <c r="G953" s="3"/>
    </row>
    <row r="954" ht="15.75" customHeight="1">
      <c r="G954" s="3"/>
    </row>
    <row r="955" ht="15.75" customHeight="1">
      <c r="G955" s="3"/>
    </row>
    <row r="956" ht="15.75" customHeight="1">
      <c r="G956" s="3"/>
    </row>
    <row r="957" ht="15.75" customHeight="1">
      <c r="G957" s="3"/>
    </row>
    <row r="958" ht="15.75" customHeight="1">
      <c r="G958" s="3"/>
    </row>
    <row r="959" ht="15.75" customHeight="1">
      <c r="G959" s="3"/>
    </row>
    <row r="960" ht="15.75" customHeight="1">
      <c r="G960" s="3"/>
    </row>
    <row r="961" ht="15.75" customHeight="1">
      <c r="G961" s="3"/>
    </row>
    <row r="962" ht="15.75" customHeight="1">
      <c r="G962" s="3"/>
    </row>
    <row r="963" ht="15.75" customHeight="1">
      <c r="G963" s="3"/>
    </row>
    <row r="964" ht="15.75" customHeight="1">
      <c r="G964" s="3"/>
    </row>
    <row r="965" ht="15.75" customHeight="1">
      <c r="G965" s="3"/>
    </row>
    <row r="966" ht="15.75" customHeight="1">
      <c r="G966" s="3"/>
    </row>
    <row r="967" ht="15.75" customHeight="1">
      <c r="G967" s="3"/>
    </row>
    <row r="968" ht="15.75" customHeight="1">
      <c r="G968" s="3"/>
    </row>
    <row r="969" ht="15.75" customHeight="1">
      <c r="G969" s="3"/>
    </row>
    <row r="970" ht="15.75" customHeight="1">
      <c r="G970" s="3"/>
    </row>
    <row r="971" ht="15.75" customHeight="1">
      <c r="G971" s="3"/>
    </row>
    <row r="972" ht="15.75" customHeight="1">
      <c r="G972" s="3"/>
    </row>
    <row r="973" ht="15.75" customHeight="1">
      <c r="G973" s="3"/>
    </row>
    <row r="974" ht="15.75" customHeight="1">
      <c r="G974" s="3"/>
    </row>
    <row r="975" ht="15.75" customHeight="1">
      <c r="G975" s="3"/>
    </row>
    <row r="976" ht="15.75" customHeight="1">
      <c r="G976" s="3"/>
    </row>
    <row r="977" ht="15.75" customHeight="1">
      <c r="G977" s="3"/>
    </row>
    <row r="978" ht="15.75" customHeight="1">
      <c r="G978" s="3"/>
    </row>
    <row r="979" ht="15.75" customHeight="1">
      <c r="G979" s="3"/>
    </row>
    <row r="980" ht="15.75" customHeight="1">
      <c r="G980" s="3"/>
    </row>
    <row r="981" ht="15.75" customHeight="1">
      <c r="G981" s="3"/>
    </row>
    <row r="982" ht="15.75" customHeight="1">
      <c r="G982" s="3"/>
    </row>
    <row r="983" ht="15.75" customHeight="1">
      <c r="G983" s="3"/>
    </row>
    <row r="984" ht="15.75" customHeight="1">
      <c r="G984" s="3"/>
    </row>
    <row r="985" ht="15.75" customHeight="1">
      <c r="G985" s="3"/>
    </row>
    <row r="986" ht="15.75" customHeight="1">
      <c r="G986" s="3"/>
    </row>
    <row r="987" ht="15.75" customHeight="1">
      <c r="G987" s="3"/>
    </row>
    <row r="988" ht="15.75" customHeight="1">
      <c r="G988" s="3"/>
    </row>
    <row r="989" ht="15.75" customHeight="1">
      <c r="G989" s="3"/>
    </row>
    <row r="990" ht="15.75" customHeight="1">
      <c r="G990" s="3"/>
    </row>
    <row r="991" ht="15.75" customHeight="1">
      <c r="G991" s="3"/>
    </row>
    <row r="992" ht="15.75" customHeight="1">
      <c r="G992" s="3"/>
    </row>
    <row r="993" ht="15.75" customHeight="1">
      <c r="G993" s="3"/>
    </row>
    <row r="994" ht="15.75" customHeight="1">
      <c r="G994" s="3"/>
    </row>
    <row r="995" ht="15.75" customHeight="1">
      <c r="G995" s="3"/>
    </row>
    <row r="996" ht="15.75" customHeight="1">
      <c r="G996" s="3"/>
    </row>
    <row r="997" ht="15.75" customHeight="1">
      <c r="G997" s="3"/>
    </row>
    <row r="998" ht="15.75" customHeight="1">
      <c r="G998" s="3"/>
    </row>
    <row r="999" ht="15.75" customHeight="1">
      <c r="G999" s="3"/>
    </row>
    <row r="1000" ht="15.75" customHeight="1">
      <c r="G1000" s="3"/>
    </row>
  </sheetData>
  <mergeCells count="2">
    <mergeCell ref="B3:F3"/>
    <mergeCell ref="D6:E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2024-05-17T17:10:50Z</dcterms:created>
  <dc:creator>Martina García Somovilla</dc:creator>
</cp:coreProperties>
</file>